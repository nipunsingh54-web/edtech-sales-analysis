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pivotTables/pivotTable6.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timelines/timeline3.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Nipun Singh\OneDrive\Desktop\Github final project\Edtech_sales_data (2024)\"/>
    </mc:Choice>
  </mc:AlternateContent>
  <xr:revisionPtr revIDLastSave="0" documentId="13_ncr:1_{8C75625E-F90D-4496-B9A3-382BB3EC1DE4}" xr6:coauthVersionLast="47" xr6:coauthVersionMax="47" xr10:uidLastSave="{00000000-0000-0000-0000-000000000000}"/>
  <bookViews>
    <workbookView xWindow="24" yWindow="24" windowWidth="23016" windowHeight="12216" activeTab="1" xr2:uid="{1A1DA1B7-2709-4027-9A83-4BEA93BC3209}"/>
  </bookViews>
  <sheets>
    <sheet name="Edtech Sales Data" sheetId="13" r:id="rId1"/>
    <sheet name="BussOverview" sheetId="30" r:id="rId2"/>
    <sheet name="Mkt&amp;course" sheetId="31" r:id="rId3"/>
    <sheet name="Enrllmnt by course" sheetId="22" r:id="rId4"/>
    <sheet name="Enrollment by Lead Source" sheetId="24" r:id="rId5"/>
    <sheet name="Revenue by course" sheetId="23" r:id="rId6"/>
    <sheet name="Monthly enrollments" sheetId="25" r:id="rId7"/>
    <sheet name="Enrollment by gender" sheetId="21" r:id="rId8"/>
    <sheet name="Enrollment status" sheetId="26" r:id="rId9"/>
    <sheet name="Enrollment by City" sheetId="27" r:id="rId10"/>
    <sheet name="KPIs" sheetId="19" r:id="rId11"/>
    <sheet name="CCF" sheetId="14" r:id="rId12"/>
  </sheets>
  <definedNames>
    <definedName name="_xlnm._FilterDatabase" localSheetId="0" hidden="1">'Edtech Sales Data'!$A$1:$M$2500</definedName>
    <definedName name="NativeTimeline_Enrollment_Date">#N/A</definedName>
    <definedName name="Slicer_Course">#N/A</definedName>
    <definedName name="Slicer_Lead_Source">#N/A</definedName>
    <definedName name="Slicer_Month1">#N/A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31" l="1"/>
  <c r="F13" i="31"/>
  <c r="E13" i="31"/>
  <c r="G13" i="30"/>
  <c r="F13" i="30"/>
  <c r="E13" i="30"/>
  <c r="G2" i="13" l="1"/>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735" i="13"/>
  <c r="G736" i="13"/>
  <c r="G737" i="13"/>
  <c r="G738" i="13"/>
  <c r="G739" i="13"/>
  <c r="G740" i="13"/>
  <c r="G741" i="13"/>
  <c r="G742" i="13"/>
  <c r="G743" i="13"/>
  <c r="G744" i="13"/>
  <c r="G745" i="13"/>
  <c r="G746" i="13"/>
  <c r="G747" i="13"/>
  <c r="G748" i="13"/>
  <c r="G749" i="13"/>
  <c r="G750" i="13"/>
  <c r="G751" i="13"/>
  <c r="G752" i="13"/>
  <c r="G753" i="13"/>
  <c r="G754" i="13"/>
  <c r="G755" i="13"/>
  <c r="G756" i="13"/>
  <c r="G757" i="13"/>
  <c r="G758" i="13"/>
  <c r="G759" i="13"/>
  <c r="G760" i="13"/>
  <c r="G761" i="13"/>
  <c r="G762" i="13"/>
  <c r="G763" i="13"/>
  <c r="G764" i="13"/>
  <c r="G765" i="13"/>
  <c r="G766" i="13"/>
  <c r="G767" i="13"/>
  <c r="G768" i="13"/>
  <c r="G769" i="13"/>
  <c r="G770" i="13"/>
  <c r="G771" i="13"/>
  <c r="G772" i="13"/>
  <c r="G773" i="13"/>
  <c r="G774" i="13"/>
  <c r="G775" i="13"/>
  <c r="G776" i="13"/>
  <c r="G777" i="13"/>
  <c r="G778" i="13"/>
  <c r="G779" i="13"/>
  <c r="G780" i="13"/>
  <c r="G781" i="13"/>
  <c r="G782" i="13"/>
  <c r="G783" i="13"/>
  <c r="G784" i="13"/>
  <c r="G785" i="13"/>
  <c r="G786" i="13"/>
  <c r="G787" i="13"/>
  <c r="G788" i="13"/>
  <c r="G789" i="13"/>
  <c r="G790" i="13"/>
  <c r="G791" i="13"/>
  <c r="G792" i="13"/>
  <c r="G793" i="13"/>
  <c r="G794" i="13"/>
  <c r="G795" i="13"/>
  <c r="G796" i="13"/>
  <c r="G797" i="13"/>
  <c r="G798" i="13"/>
  <c r="G799" i="13"/>
  <c r="G800" i="13"/>
  <c r="G801" i="13"/>
  <c r="G802" i="13"/>
  <c r="G803" i="13"/>
  <c r="G804" i="13"/>
  <c r="G805" i="13"/>
  <c r="G806" i="13"/>
  <c r="G807" i="13"/>
  <c r="G808" i="13"/>
  <c r="G809" i="13"/>
  <c r="G810" i="13"/>
  <c r="G811" i="13"/>
  <c r="G812" i="13"/>
  <c r="G813" i="13"/>
  <c r="G814" i="13"/>
  <c r="G815" i="13"/>
  <c r="G816" i="13"/>
  <c r="G817" i="13"/>
  <c r="G818" i="13"/>
  <c r="G819" i="13"/>
  <c r="G820" i="13"/>
  <c r="G821" i="13"/>
  <c r="G822" i="13"/>
  <c r="G823" i="13"/>
  <c r="G824" i="13"/>
  <c r="G825" i="13"/>
  <c r="G826" i="13"/>
  <c r="G827" i="13"/>
  <c r="G828" i="13"/>
  <c r="G829" i="13"/>
  <c r="G830" i="13"/>
  <c r="G831" i="13"/>
  <c r="G832" i="13"/>
  <c r="G833" i="13"/>
  <c r="G834" i="13"/>
  <c r="G835" i="13"/>
  <c r="G836" i="13"/>
  <c r="G837" i="13"/>
  <c r="G838" i="13"/>
  <c r="G839" i="13"/>
  <c r="G840" i="13"/>
  <c r="G841" i="13"/>
  <c r="G842" i="13"/>
  <c r="G843" i="13"/>
  <c r="G844" i="13"/>
  <c r="G845" i="13"/>
  <c r="G846" i="13"/>
  <c r="G847" i="13"/>
  <c r="G848" i="13"/>
  <c r="G849" i="13"/>
  <c r="G850" i="13"/>
  <c r="G851" i="13"/>
  <c r="G852" i="13"/>
  <c r="G853" i="13"/>
  <c r="G854" i="13"/>
  <c r="G855" i="13"/>
  <c r="G856" i="13"/>
  <c r="G857" i="13"/>
  <c r="G858" i="13"/>
  <c r="G859" i="13"/>
  <c r="G860" i="13"/>
  <c r="G861" i="13"/>
  <c r="G862" i="13"/>
  <c r="G863" i="13"/>
  <c r="G864" i="13"/>
  <c r="G865" i="13"/>
  <c r="G866" i="13"/>
  <c r="G867" i="13"/>
  <c r="G868" i="13"/>
  <c r="G869" i="13"/>
  <c r="G870" i="13"/>
  <c r="G871" i="13"/>
  <c r="G872" i="13"/>
  <c r="G873" i="13"/>
  <c r="G874" i="13"/>
  <c r="G875" i="13"/>
  <c r="G876" i="13"/>
  <c r="G877" i="13"/>
  <c r="G878" i="13"/>
  <c r="G879" i="13"/>
  <c r="G880" i="13"/>
  <c r="G881" i="13"/>
  <c r="G882" i="13"/>
  <c r="G883" i="13"/>
  <c r="G884" i="13"/>
  <c r="G885" i="13"/>
  <c r="G886" i="13"/>
  <c r="G887" i="13"/>
  <c r="G888" i="13"/>
  <c r="G889" i="13"/>
  <c r="G890" i="13"/>
  <c r="G891" i="13"/>
  <c r="G892" i="13"/>
  <c r="G893" i="13"/>
  <c r="G894" i="13"/>
  <c r="G895" i="13"/>
  <c r="G896" i="13"/>
  <c r="G897" i="13"/>
  <c r="G898" i="13"/>
  <c r="G899" i="13"/>
  <c r="G900" i="13"/>
  <c r="G901" i="13"/>
  <c r="G902" i="13"/>
  <c r="G903" i="13"/>
  <c r="G904" i="13"/>
  <c r="G905" i="13"/>
  <c r="G906" i="13"/>
  <c r="G907" i="13"/>
  <c r="G908" i="13"/>
  <c r="G909" i="13"/>
  <c r="G910" i="13"/>
  <c r="G911" i="13"/>
  <c r="G912" i="13"/>
  <c r="G913" i="13"/>
  <c r="G914" i="13"/>
  <c r="G915" i="13"/>
  <c r="G916" i="13"/>
  <c r="G917" i="13"/>
  <c r="G918" i="13"/>
  <c r="G919" i="13"/>
  <c r="G920" i="13"/>
  <c r="G921" i="13"/>
  <c r="G922" i="13"/>
  <c r="G923" i="13"/>
  <c r="G924" i="13"/>
  <c r="G925" i="13"/>
  <c r="G926" i="13"/>
  <c r="G927" i="13"/>
  <c r="G928" i="13"/>
  <c r="G929" i="13"/>
  <c r="G930" i="13"/>
  <c r="G931" i="13"/>
  <c r="G932" i="13"/>
  <c r="G933" i="13"/>
  <c r="G934" i="13"/>
  <c r="G935" i="13"/>
  <c r="G936" i="13"/>
  <c r="G937" i="13"/>
  <c r="G938" i="13"/>
  <c r="G939" i="13"/>
  <c r="G940" i="13"/>
  <c r="G941" i="13"/>
  <c r="G942" i="13"/>
  <c r="G943" i="13"/>
  <c r="G944" i="13"/>
  <c r="G945" i="13"/>
  <c r="G946" i="13"/>
  <c r="G947" i="13"/>
  <c r="G948" i="13"/>
  <c r="G949" i="13"/>
  <c r="G950" i="13"/>
  <c r="G951" i="13"/>
  <c r="G952" i="13"/>
  <c r="G953" i="13"/>
  <c r="G954" i="13"/>
  <c r="G955" i="13"/>
  <c r="G956" i="13"/>
  <c r="G957" i="13"/>
  <c r="G958" i="13"/>
  <c r="G959" i="13"/>
  <c r="G960" i="13"/>
  <c r="G961" i="13"/>
  <c r="G962"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 r="G1002" i="13"/>
  <c r="G1003" i="13"/>
  <c r="G1004" i="13"/>
  <c r="G1005" i="13"/>
  <c r="G1006" i="13"/>
  <c r="G1007" i="13"/>
  <c r="G1008" i="13"/>
  <c r="G1009" i="13"/>
  <c r="G1010" i="13"/>
  <c r="G1011" i="13"/>
  <c r="G1012" i="13"/>
  <c r="G1013" i="13"/>
  <c r="G1014" i="13"/>
  <c r="G1015" i="13"/>
  <c r="G1016" i="13"/>
  <c r="G1017" i="13"/>
  <c r="G1018" i="13"/>
  <c r="G1019" i="13"/>
  <c r="G1020" i="13"/>
  <c r="G1021" i="13"/>
  <c r="G1022" i="13"/>
  <c r="G1023" i="13"/>
  <c r="G1024" i="13"/>
  <c r="G1025" i="13"/>
  <c r="G1026" i="13"/>
  <c r="G1027" i="13"/>
  <c r="G1028" i="13"/>
  <c r="G1029" i="13"/>
  <c r="G1030" i="13"/>
  <c r="G1031" i="13"/>
  <c r="G1032" i="13"/>
  <c r="G1033" i="13"/>
  <c r="G1034" i="13"/>
  <c r="G1035" i="13"/>
  <c r="G1036" i="13"/>
  <c r="G1037" i="13"/>
  <c r="G1038" i="13"/>
  <c r="G1039" i="13"/>
  <c r="G1040" i="13"/>
  <c r="G1041" i="13"/>
  <c r="G1042" i="13"/>
  <c r="G1043" i="13"/>
  <c r="G1044" i="13"/>
  <c r="G1045" i="13"/>
  <c r="G1046" i="13"/>
  <c r="G1047" i="13"/>
  <c r="G1048" i="13"/>
  <c r="G1049" i="13"/>
  <c r="G1050" i="13"/>
  <c r="G1051" i="13"/>
  <c r="G1052" i="13"/>
  <c r="G1053" i="13"/>
  <c r="G1054" i="13"/>
  <c r="G1055" i="13"/>
  <c r="G1056" i="13"/>
  <c r="G1057" i="13"/>
  <c r="G1058" i="13"/>
  <c r="G1059" i="13"/>
  <c r="G1060" i="13"/>
  <c r="G1061" i="13"/>
  <c r="G1062" i="13"/>
  <c r="G1063" i="13"/>
  <c r="G1064" i="13"/>
  <c r="G1065" i="13"/>
  <c r="G1066" i="13"/>
  <c r="G1067" i="13"/>
  <c r="G1068" i="13"/>
  <c r="G1069" i="13"/>
  <c r="G1070" i="13"/>
  <c r="G1071" i="13"/>
  <c r="G1072" i="13"/>
  <c r="G1073" i="13"/>
  <c r="G1074" i="13"/>
  <c r="G1075" i="13"/>
  <c r="G1076" i="13"/>
  <c r="G1077" i="13"/>
  <c r="G1078" i="13"/>
  <c r="G1079" i="13"/>
  <c r="G1080" i="13"/>
  <c r="G1081" i="13"/>
  <c r="G1082" i="13"/>
  <c r="G1083" i="13"/>
  <c r="G1084" i="13"/>
  <c r="G1085" i="13"/>
  <c r="G1086" i="13"/>
  <c r="G1087" i="13"/>
  <c r="G1088" i="13"/>
  <c r="G1089" i="13"/>
  <c r="G1090" i="13"/>
  <c r="G1091" i="13"/>
  <c r="G1092" i="13"/>
  <c r="G1093" i="13"/>
  <c r="G1094" i="13"/>
  <c r="G1095" i="13"/>
  <c r="G1096" i="13"/>
  <c r="G1097" i="13"/>
  <c r="G1098" i="13"/>
  <c r="G1099" i="13"/>
  <c r="G1100" i="13"/>
  <c r="G1101" i="13"/>
  <c r="G1102" i="13"/>
  <c r="G1103" i="13"/>
  <c r="G1104" i="13"/>
  <c r="G1105" i="13"/>
  <c r="G1106" i="13"/>
  <c r="G1107" i="13"/>
  <c r="G1108" i="13"/>
  <c r="G1109" i="13"/>
  <c r="G1110" i="13"/>
  <c r="G1111" i="13"/>
  <c r="G1112" i="13"/>
  <c r="G1113" i="13"/>
  <c r="G1114" i="13"/>
  <c r="G1115" i="13"/>
  <c r="G1116" i="13"/>
  <c r="G1117" i="13"/>
  <c r="G1118" i="13"/>
  <c r="G1119" i="13"/>
  <c r="G1120" i="13"/>
  <c r="G1121" i="13"/>
  <c r="G1122" i="13"/>
  <c r="G1123" i="13"/>
  <c r="G1124" i="13"/>
  <c r="G1125" i="13"/>
  <c r="G1126" i="13"/>
  <c r="G1127" i="13"/>
  <c r="G1128" i="13"/>
  <c r="G1129" i="13"/>
  <c r="G1130" i="13"/>
  <c r="G1131" i="13"/>
  <c r="G1132" i="13"/>
  <c r="G1133" i="13"/>
  <c r="G1134" i="13"/>
  <c r="G1135" i="13"/>
  <c r="G1136" i="13"/>
  <c r="G1137" i="13"/>
  <c r="G1138" i="13"/>
  <c r="G1139" i="13"/>
  <c r="G1140" i="13"/>
  <c r="G1141" i="13"/>
  <c r="G1142" i="13"/>
  <c r="G1143" i="13"/>
  <c r="G1144" i="13"/>
  <c r="G1145" i="13"/>
  <c r="G1146" i="13"/>
  <c r="G1147" i="13"/>
  <c r="G1148" i="13"/>
  <c r="G1149" i="13"/>
  <c r="G1150" i="13"/>
  <c r="G1151" i="13"/>
  <c r="G1152" i="13"/>
  <c r="G1153" i="13"/>
  <c r="G1154" i="13"/>
  <c r="G1155" i="13"/>
  <c r="G1156" i="13"/>
  <c r="G1157" i="13"/>
  <c r="G1158" i="13"/>
  <c r="G1159" i="13"/>
  <c r="G1160" i="13"/>
  <c r="G1161" i="13"/>
  <c r="G1162" i="13"/>
  <c r="G1163" i="13"/>
  <c r="G1164" i="13"/>
  <c r="G1165" i="13"/>
  <c r="G1166" i="13"/>
  <c r="G1167" i="13"/>
  <c r="G1168" i="13"/>
  <c r="G1169" i="13"/>
  <c r="G1170" i="13"/>
  <c r="G1171" i="13"/>
  <c r="G1172" i="13"/>
  <c r="G1173" i="13"/>
  <c r="G1174" i="13"/>
  <c r="G1175" i="13"/>
  <c r="G1176" i="13"/>
  <c r="G1177" i="13"/>
  <c r="G1178" i="13"/>
  <c r="G1179" i="13"/>
  <c r="G1180" i="13"/>
  <c r="G1181" i="13"/>
  <c r="G1182" i="13"/>
  <c r="G1183" i="13"/>
  <c r="G1184" i="13"/>
  <c r="G1185" i="13"/>
  <c r="G1186" i="13"/>
  <c r="G1187" i="13"/>
  <c r="G1188" i="13"/>
  <c r="G1189" i="13"/>
  <c r="G1190" i="13"/>
  <c r="G1191" i="13"/>
  <c r="G1192" i="13"/>
  <c r="G1193" i="13"/>
  <c r="G1194" i="13"/>
  <c r="G1195" i="13"/>
  <c r="G1196" i="13"/>
  <c r="G1197" i="13"/>
  <c r="G1198" i="13"/>
  <c r="G1199" i="13"/>
  <c r="G1200" i="13"/>
  <c r="G1201" i="13"/>
  <c r="G1202" i="13"/>
  <c r="G1203" i="13"/>
  <c r="G1204" i="13"/>
  <c r="G1205" i="13"/>
  <c r="G1206" i="13"/>
  <c r="G1207" i="13"/>
  <c r="G1208" i="13"/>
  <c r="G1209" i="13"/>
  <c r="G1210" i="13"/>
  <c r="G1211" i="13"/>
  <c r="G1212" i="13"/>
  <c r="G1213" i="13"/>
  <c r="G1214" i="13"/>
  <c r="G1215" i="13"/>
  <c r="G1216" i="13"/>
  <c r="G1217" i="13"/>
  <c r="G1218" i="13"/>
  <c r="G1219" i="13"/>
  <c r="G1220" i="13"/>
  <c r="G1221" i="13"/>
  <c r="G1222" i="13"/>
  <c r="G1223" i="13"/>
  <c r="G1224" i="13"/>
  <c r="G1225" i="13"/>
  <c r="G1226" i="13"/>
  <c r="G1227" i="13"/>
  <c r="G1228" i="13"/>
  <c r="G1229" i="13"/>
  <c r="G1230" i="13"/>
  <c r="G1231" i="13"/>
  <c r="G1232" i="13"/>
  <c r="G1233" i="13"/>
  <c r="G1234" i="13"/>
  <c r="G1235" i="13"/>
  <c r="G1236" i="13"/>
  <c r="G1237" i="13"/>
  <c r="G1238" i="13"/>
  <c r="G1239" i="13"/>
  <c r="G1240" i="13"/>
  <c r="G1241" i="13"/>
  <c r="G1242" i="13"/>
  <c r="G1243" i="13"/>
  <c r="G1244" i="13"/>
  <c r="G1245" i="13"/>
  <c r="G1246" i="13"/>
  <c r="G1247" i="13"/>
  <c r="G1248" i="13"/>
  <c r="G1249" i="13"/>
  <c r="G1250" i="13"/>
  <c r="G1251" i="13"/>
  <c r="G1252" i="13"/>
  <c r="G1253" i="13"/>
  <c r="G1254" i="13"/>
  <c r="G1255" i="13"/>
  <c r="G1256" i="13"/>
  <c r="G1257" i="13"/>
  <c r="G1258" i="13"/>
  <c r="G1259" i="13"/>
  <c r="G1260" i="13"/>
  <c r="G1261" i="13"/>
  <c r="G1262" i="13"/>
  <c r="G1263" i="13"/>
  <c r="G1264" i="13"/>
  <c r="G1265" i="13"/>
  <c r="G1266" i="13"/>
  <c r="G1267" i="13"/>
  <c r="G1268" i="13"/>
  <c r="G1269" i="13"/>
  <c r="G1270" i="13"/>
  <c r="G1271" i="13"/>
  <c r="G1272" i="13"/>
  <c r="G1273" i="13"/>
  <c r="G1274" i="13"/>
  <c r="G1275" i="13"/>
  <c r="G1276" i="13"/>
  <c r="G1277" i="13"/>
  <c r="G1278" i="13"/>
  <c r="G1279" i="13"/>
  <c r="G1280" i="13"/>
  <c r="G1281" i="13"/>
  <c r="G1282" i="13"/>
  <c r="G1283" i="13"/>
  <c r="G1284" i="13"/>
  <c r="G1285" i="13"/>
  <c r="G1286" i="13"/>
  <c r="G1287" i="13"/>
  <c r="G1288" i="13"/>
  <c r="G1289" i="13"/>
  <c r="G1290" i="13"/>
  <c r="G1291" i="13"/>
  <c r="G1292" i="13"/>
  <c r="G1293" i="13"/>
  <c r="G1294" i="13"/>
  <c r="G1295" i="13"/>
  <c r="G1296" i="13"/>
  <c r="G1297" i="13"/>
  <c r="G1298" i="13"/>
  <c r="G1299" i="13"/>
  <c r="G1300" i="13"/>
  <c r="G1301" i="13"/>
  <c r="G1302" i="13"/>
  <c r="G1303" i="13"/>
  <c r="G1304" i="13"/>
  <c r="G1305" i="13"/>
  <c r="G1306" i="13"/>
  <c r="G1307" i="13"/>
  <c r="G1308" i="13"/>
  <c r="G1309" i="13"/>
  <c r="G1310" i="13"/>
  <c r="G1311" i="13"/>
  <c r="G1312" i="13"/>
  <c r="G1313" i="13"/>
  <c r="G1314" i="13"/>
  <c r="G1315" i="13"/>
  <c r="G1316" i="13"/>
  <c r="G1317" i="13"/>
  <c r="G1318" i="13"/>
  <c r="G1319" i="13"/>
  <c r="G1320" i="13"/>
  <c r="G1321" i="13"/>
  <c r="G1322" i="13"/>
  <c r="G1323" i="13"/>
  <c r="G1324" i="13"/>
  <c r="G1325" i="13"/>
  <c r="G1326" i="13"/>
  <c r="G1327" i="13"/>
  <c r="G1328" i="13"/>
  <c r="G1329" i="13"/>
  <c r="G1330" i="13"/>
  <c r="G1331" i="13"/>
  <c r="G1332" i="13"/>
  <c r="G1333" i="13"/>
  <c r="G1334" i="13"/>
  <c r="G1335" i="13"/>
  <c r="G1336" i="13"/>
  <c r="G1337" i="13"/>
  <c r="G1338" i="13"/>
  <c r="G1339" i="13"/>
  <c r="G1340" i="13"/>
  <c r="G1341" i="13"/>
  <c r="G1342" i="13"/>
  <c r="G1343" i="13"/>
  <c r="G1344" i="13"/>
  <c r="G1345" i="13"/>
  <c r="G1346" i="13"/>
  <c r="G1347" i="13"/>
  <c r="G1348" i="13"/>
  <c r="G1349" i="13"/>
  <c r="G1350" i="13"/>
  <c r="G1351" i="13"/>
  <c r="G1352" i="13"/>
  <c r="G1353" i="13"/>
  <c r="G1354" i="13"/>
  <c r="G1355" i="13"/>
  <c r="G1356" i="13"/>
  <c r="G1357" i="13"/>
  <c r="G1358" i="13"/>
  <c r="G1359" i="13"/>
  <c r="G1360" i="13"/>
  <c r="G1361" i="13"/>
  <c r="G1362" i="13"/>
  <c r="G1363" i="13"/>
  <c r="G1364" i="13"/>
  <c r="G1365" i="13"/>
  <c r="G1366" i="13"/>
  <c r="G1367" i="13"/>
  <c r="G1368" i="13"/>
  <c r="G1369" i="13"/>
  <c r="G1370" i="13"/>
  <c r="G1371" i="13"/>
  <c r="G1372" i="13"/>
  <c r="G1373" i="13"/>
  <c r="G1374" i="13"/>
  <c r="G1375" i="13"/>
  <c r="G1376" i="13"/>
  <c r="G1377" i="13"/>
  <c r="G1378" i="13"/>
  <c r="G1379" i="13"/>
  <c r="G1380" i="13"/>
  <c r="G1381" i="13"/>
  <c r="G1382" i="13"/>
  <c r="G1383" i="13"/>
  <c r="G1384" i="13"/>
  <c r="G1385" i="13"/>
  <c r="G1386" i="13"/>
  <c r="G1387" i="13"/>
  <c r="G1388" i="13"/>
  <c r="G1389" i="13"/>
  <c r="G1390" i="13"/>
  <c r="G1391" i="13"/>
  <c r="G1392" i="13"/>
  <c r="G1393" i="13"/>
  <c r="G1394" i="13"/>
  <c r="G1395" i="13"/>
  <c r="G1396" i="13"/>
  <c r="G1397" i="13"/>
  <c r="G1398" i="13"/>
  <c r="G1399" i="13"/>
  <c r="G1400" i="13"/>
  <c r="G1401" i="13"/>
  <c r="G1402" i="13"/>
  <c r="G1403" i="13"/>
  <c r="G1404" i="13"/>
  <c r="G1405" i="13"/>
  <c r="G1406" i="13"/>
  <c r="G1407" i="13"/>
  <c r="G1408" i="13"/>
  <c r="G1409" i="13"/>
  <c r="G1410" i="13"/>
  <c r="G1411" i="13"/>
  <c r="G1412" i="13"/>
  <c r="G1413" i="13"/>
  <c r="G1414" i="13"/>
  <c r="G1415" i="13"/>
  <c r="G1416" i="13"/>
  <c r="G1417" i="13"/>
  <c r="G1418" i="13"/>
  <c r="G1419" i="13"/>
  <c r="G1420" i="13"/>
  <c r="G1421" i="13"/>
  <c r="G1422" i="13"/>
  <c r="G1423" i="13"/>
  <c r="G1424" i="13"/>
  <c r="G1425" i="13"/>
  <c r="G1426" i="13"/>
  <c r="G1427" i="13"/>
  <c r="G1428" i="13"/>
  <c r="G1429" i="13"/>
  <c r="G1430" i="13"/>
  <c r="G1431" i="13"/>
  <c r="G1432" i="13"/>
  <c r="G1433" i="13"/>
  <c r="G1434" i="13"/>
  <c r="G1435" i="13"/>
  <c r="G1436" i="13"/>
  <c r="G1437" i="13"/>
  <c r="G1438" i="13"/>
  <c r="G1439" i="13"/>
  <c r="G1440" i="13"/>
  <c r="G1441" i="13"/>
  <c r="G1442" i="13"/>
  <c r="G1443" i="13"/>
  <c r="G1444" i="13"/>
  <c r="G1445" i="13"/>
  <c r="G1446" i="13"/>
  <c r="G1447" i="13"/>
  <c r="G1448" i="13"/>
  <c r="G1449" i="13"/>
  <c r="G1450" i="13"/>
  <c r="G1451" i="13"/>
  <c r="G1452" i="13"/>
  <c r="G1453" i="13"/>
  <c r="G1454" i="13"/>
  <c r="G1455" i="13"/>
  <c r="G1456" i="13"/>
  <c r="G1457" i="13"/>
  <c r="G1458" i="13"/>
  <c r="G1459" i="13"/>
  <c r="G1460" i="13"/>
  <c r="G1461" i="13"/>
  <c r="G1462" i="13"/>
  <c r="G1463" i="13"/>
  <c r="G1464" i="13"/>
  <c r="G1465" i="13"/>
  <c r="G1466" i="13"/>
  <c r="G1467" i="13"/>
  <c r="G1468" i="13"/>
  <c r="G1469" i="13"/>
  <c r="G1470" i="13"/>
  <c r="G1471" i="13"/>
  <c r="G1472" i="13"/>
  <c r="G1473" i="13"/>
  <c r="G1474" i="13"/>
  <c r="G1475" i="13"/>
  <c r="G1476" i="13"/>
  <c r="G1477" i="13"/>
  <c r="G1478" i="13"/>
  <c r="G1479" i="13"/>
  <c r="G1480" i="13"/>
  <c r="G1481" i="13"/>
  <c r="G1482" i="13"/>
  <c r="G1483" i="13"/>
  <c r="G1484" i="13"/>
  <c r="G1485" i="13"/>
  <c r="G1486" i="13"/>
  <c r="G1487" i="13"/>
  <c r="G1488" i="13"/>
  <c r="G1489" i="13"/>
  <c r="G1490" i="13"/>
  <c r="G1491" i="13"/>
  <c r="G1492" i="13"/>
  <c r="G1493" i="13"/>
  <c r="G1494" i="13"/>
  <c r="G1495" i="13"/>
  <c r="G1496" i="13"/>
  <c r="G1497" i="13"/>
  <c r="G1498" i="13"/>
  <c r="G1499" i="13"/>
  <c r="G1500" i="13"/>
  <c r="G1501" i="13"/>
  <c r="G1502" i="13"/>
  <c r="G1503" i="13"/>
  <c r="G1504" i="13"/>
  <c r="G1505" i="13"/>
  <c r="G1506" i="13"/>
  <c r="G1507" i="13"/>
  <c r="G1508" i="13"/>
  <c r="G1509" i="13"/>
  <c r="G1510" i="13"/>
  <c r="G1511" i="13"/>
  <c r="G1512" i="13"/>
  <c r="G1513" i="13"/>
  <c r="G1514" i="13"/>
  <c r="G1515" i="13"/>
  <c r="G1516" i="13"/>
  <c r="G1517" i="13"/>
  <c r="G1518" i="13"/>
  <c r="G1519" i="13"/>
  <c r="G1520" i="13"/>
  <c r="G1521" i="13"/>
  <c r="G1522" i="13"/>
  <c r="G1523" i="13"/>
  <c r="G1524" i="13"/>
  <c r="G1525" i="13"/>
  <c r="G1526" i="13"/>
  <c r="G1527" i="13"/>
  <c r="G1528" i="13"/>
  <c r="G1529" i="13"/>
  <c r="G1530" i="13"/>
  <c r="G1531" i="13"/>
  <c r="G1532" i="13"/>
  <c r="G1533" i="13"/>
  <c r="G1534" i="13"/>
  <c r="G1535" i="13"/>
  <c r="G1536" i="13"/>
  <c r="G1537" i="13"/>
  <c r="G1538" i="13"/>
  <c r="G1539" i="13"/>
  <c r="G1540" i="13"/>
  <c r="G1541" i="13"/>
  <c r="G1542" i="13"/>
  <c r="G1543" i="13"/>
  <c r="G1544" i="13"/>
  <c r="G1545" i="13"/>
  <c r="G1546" i="13"/>
  <c r="G1547" i="13"/>
  <c r="G1548" i="13"/>
  <c r="G1549" i="13"/>
  <c r="G1550" i="13"/>
  <c r="G1551" i="13"/>
  <c r="G1552" i="13"/>
  <c r="G1553" i="13"/>
  <c r="G1554" i="13"/>
  <c r="G1555" i="13"/>
  <c r="G1556" i="13"/>
  <c r="G1557" i="13"/>
  <c r="G1558" i="13"/>
  <c r="G1559" i="13"/>
  <c r="G1560" i="13"/>
  <c r="G1561" i="13"/>
  <c r="G1562" i="13"/>
  <c r="G1563" i="13"/>
  <c r="G1564" i="13"/>
  <c r="G1565" i="13"/>
  <c r="G1566" i="13"/>
  <c r="G1567" i="13"/>
  <c r="G1568" i="13"/>
  <c r="G1569" i="13"/>
  <c r="G1570" i="13"/>
  <c r="G1571" i="13"/>
  <c r="G1572" i="13"/>
  <c r="G1573" i="13"/>
  <c r="G1574" i="13"/>
  <c r="G1575" i="13"/>
  <c r="G1576" i="13"/>
  <c r="G1577" i="13"/>
  <c r="G1578" i="13"/>
  <c r="G1579" i="13"/>
  <c r="G1580" i="13"/>
  <c r="G1581" i="13"/>
  <c r="G1582" i="13"/>
  <c r="G1583" i="13"/>
  <c r="G1584" i="13"/>
  <c r="G1585" i="13"/>
  <c r="G1586" i="13"/>
  <c r="G1587" i="13"/>
  <c r="G1588" i="13"/>
  <c r="G1589" i="13"/>
  <c r="G1590" i="13"/>
  <c r="G1591" i="13"/>
  <c r="G1592" i="13"/>
  <c r="G1593" i="13"/>
  <c r="G1594" i="13"/>
  <c r="G1595" i="13"/>
  <c r="G1596" i="13"/>
  <c r="G1597" i="13"/>
  <c r="G1598" i="13"/>
  <c r="G1599" i="13"/>
  <c r="G1600" i="13"/>
  <c r="G1601" i="13"/>
  <c r="G1602" i="13"/>
  <c r="G1603" i="13"/>
  <c r="G1604" i="13"/>
  <c r="G1605" i="13"/>
  <c r="G1606" i="13"/>
  <c r="G1607" i="13"/>
  <c r="G1608" i="13"/>
  <c r="G1609" i="13"/>
  <c r="G1610" i="13"/>
  <c r="G1611" i="13"/>
  <c r="G1612" i="13"/>
  <c r="G1613" i="13"/>
  <c r="G1614" i="13"/>
  <c r="G1615" i="13"/>
  <c r="G1616" i="13"/>
  <c r="G1617" i="13"/>
  <c r="G1618" i="13"/>
  <c r="G1619" i="13"/>
  <c r="G1620" i="13"/>
  <c r="G1621" i="13"/>
  <c r="G1622" i="13"/>
  <c r="G1623" i="13"/>
  <c r="G1624" i="13"/>
  <c r="G1625" i="13"/>
  <c r="G1626" i="13"/>
  <c r="G1627" i="13"/>
  <c r="G1628" i="13"/>
  <c r="G1629" i="13"/>
  <c r="G1630" i="13"/>
  <c r="G1631" i="13"/>
  <c r="G1632" i="13"/>
  <c r="G1633" i="13"/>
  <c r="G1634" i="13"/>
  <c r="G1635" i="13"/>
  <c r="G1636" i="13"/>
  <c r="G1637" i="13"/>
  <c r="G1638" i="13"/>
  <c r="G1639" i="13"/>
  <c r="G1640" i="13"/>
  <c r="G1641" i="13"/>
  <c r="G1642" i="13"/>
  <c r="G1643" i="13"/>
  <c r="G1644" i="13"/>
  <c r="G1645" i="13"/>
  <c r="G1646" i="13"/>
  <c r="G1647" i="13"/>
  <c r="G1648" i="13"/>
  <c r="G1649" i="13"/>
  <c r="G1650" i="13"/>
  <c r="G1651" i="13"/>
  <c r="G1652" i="13"/>
  <c r="G1653" i="13"/>
  <c r="G1654" i="13"/>
  <c r="G1655" i="13"/>
  <c r="G1656" i="13"/>
  <c r="G1657" i="13"/>
  <c r="G1658" i="13"/>
  <c r="G1659" i="13"/>
  <c r="G1660" i="13"/>
  <c r="G1661" i="13"/>
  <c r="G1662" i="13"/>
  <c r="G1663" i="13"/>
  <c r="G1664" i="13"/>
  <c r="G1665" i="13"/>
  <c r="G1666" i="13"/>
  <c r="G1667" i="13"/>
  <c r="G1668" i="13"/>
  <c r="G1669" i="13"/>
  <c r="G1670" i="13"/>
  <c r="G1671" i="13"/>
  <c r="G1672" i="13"/>
  <c r="G1673" i="13"/>
  <c r="G1674" i="13"/>
  <c r="G1675" i="13"/>
  <c r="G1676" i="13"/>
  <c r="G1677" i="13"/>
  <c r="G1678" i="13"/>
  <c r="G1679" i="13"/>
  <c r="G1680" i="13"/>
  <c r="G1681" i="13"/>
  <c r="G1682" i="13"/>
  <c r="G1683" i="13"/>
  <c r="G1684" i="13"/>
  <c r="G1685" i="13"/>
  <c r="G1686" i="13"/>
  <c r="G1687" i="13"/>
  <c r="G1688" i="13"/>
  <c r="G1689" i="13"/>
  <c r="G1690" i="13"/>
  <c r="G1691" i="13"/>
  <c r="G1692" i="13"/>
  <c r="G1693" i="13"/>
  <c r="G1694" i="13"/>
  <c r="G1695" i="13"/>
  <c r="G1696" i="13"/>
  <c r="G1697" i="13"/>
  <c r="G1698" i="13"/>
  <c r="G1699" i="13"/>
  <c r="G1700" i="13"/>
  <c r="G1701" i="13"/>
  <c r="G1702" i="13"/>
  <c r="G1703" i="13"/>
  <c r="G1704" i="13"/>
  <c r="G1705" i="13"/>
  <c r="G1706" i="13"/>
  <c r="G1707" i="13"/>
  <c r="G1708" i="13"/>
  <c r="G1709" i="13"/>
  <c r="G1710" i="13"/>
  <c r="G1711" i="13"/>
  <c r="G1712" i="13"/>
  <c r="G1713" i="13"/>
  <c r="G1714" i="13"/>
  <c r="G1715" i="13"/>
  <c r="G1716" i="13"/>
  <c r="G1717" i="13"/>
  <c r="G1718" i="13"/>
  <c r="G1719" i="13"/>
  <c r="G1720" i="13"/>
  <c r="G1721" i="13"/>
  <c r="G1722" i="13"/>
  <c r="G1723" i="13"/>
  <c r="G1724" i="13"/>
  <c r="G1725" i="13"/>
  <c r="G1726" i="13"/>
  <c r="G1727" i="13"/>
  <c r="G1728" i="13"/>
  <c r="G1729" i="13"/>
  <c r="G1730" i="13"/>
  <c r="G1731" i="13"/>
  <c r="G1732" i="13"/>
  <c r="G1733" i="13"/>
  <c r="G1734" i="13"/>
  <c r="G1735" i="13"/>
  <c r="G1736" i="13"/>
  <c r="G1737" i="13"/>
  <c r="G1738" i="13"/>
  <c r="G1739" i="13"/>
  <c r="G1740" i="13"/>
  <c r="G1741" i="13"/>
  <c r="G1742" i="13"/>
  <c r="G1743" i="13"/>
  <c r="G1744" i="13"/>
  <c r="G1745" i="13"/>
  <c r="G1746" i="13"/>
  <c r="G1747" i="13"/>
  <c r="G1748" i="13"/>
  <c r="G1749" i="13"/>
  <c r="G1750" i="13"/>
  <c r="G1751" i="13"/>
  <c r="G1752" i="13"/>
  <c r="G1753" i="13"/>
  <c r="G1754" i="13"/>
  <c r="G1755" i="13"/>
  <c r="G1756" i="13"/>
  <c r="G1757" i="13"/>
  <c r="G1758" i="13"/>
  <c r="G1759" i="13"/>
  <c r="G1760" i="13"/>
  <c r="G1761" i="13"/>
  <c r="G1762" i="13"/>
  <c r="G1763" i="13"/>
  <c r="G1764" i="13"/>
  <c r="G1765" i="13"/>
  <c r="G1766" i="13"/>
  <c r="G1767" i="13"/>
  <c r="G1768" i="13"/>
  <c r="G1769" i="13"/>
  <c r="G1770" i="13"/>
  <c r="G1771" i="13"/>
  <c r="G1772" i="13"/>
  <c r="G1773" i="13"/>
  <c r="G1774" i="13"/>
  <c r="G1775" i="13"/>
  <c r="G1776" i="13"/>
  <c r="G1777" i="13"/>
  <c r="G1778" i="13"/>
  <c r="G1779" i="13"/>
  <c r="G1780" i="13"/>
  <c r="G1781" i="13"/>
  <c r="G1782" i="13"/>
  <c r="G1783" i="13"/>
  <c r="G1784" i="13"/>
  <c r="G1785" i="13"/>
  <c r="G1786" i="13"/>
  <c r="G1787" i="13"/>
  <c r="G1788" i="13"/>
  <c r="G1789" i="13"/>
  <c r="G1790" i="13"/>
  <c r="G1791" i="13"/>
  <c r="G1792" i="13"/>
  <c r="G1793" i="13"/>
  <c r="G1794" i="13"/>
  <c r="G1795" i="13"/>
  <c r="G1796" i="13"/>
  <c r="G1797" i="13"/>
  <c r="G1798" i="13"/>
  <c r="G1799" i="13"/>
  <c r="G1800" i="13"/>
  <c r="G1801" i="13"/>
  <c r="G1802" i="13"/>
  <c r="G1803" i="13"/>
  <c r="G1804" i="13"/>
  <c r="G1805" i="13"/>
  <c r="G1806" i="13"/>
  <c r="G1807" i="13"/>
  <c r="G1808" i="13"/>
  <c r="G1809" i="13"/>
  <c r="G1810" i="13"/>
  <c r="G1811" i="13"/>
  <c r="G1812" i="13"/>
  <c r="G1813" i="13"/>
  <c r="G1814" i="13"/>
  <c r="G1815" i="13"/>
  <c r="G1816" i="13"/>
  <c r="G1817" i="13"/>
  <c r="G1818" i="13"/>
  <c r="G1819" i="13"/>
  <c r="G1820" i="13"/>
  <c r="G1821" i="13"/>
  <c r="G1822" i="13"/>
  <c r="G1823" i="13"/>
  <c r="G1824" i="13"/>
  <c r="G1825" i="13"/>
  <c r="G1826" i="13"/>
  <c r="G1827" i="13"/>
  <c r="G1828" i="13"/>
  <c r="G1829" i="13"/>
  <c r="G1830" i="13"/>
  <c r="G1831" i="13"/>
  <c r="G1832" i="13"/>
  <c r="G1833" i="13"/>
  <c r="G1834" i="13"/>
  <c r="G1835" i="13"/>
  <c r="G1836" i="13"/>
  <c r="G1837" i="13"/>
  <c r="G1838" i="13"/>
  <c r="G1839" i="13"/>
  <c r="G1840" i="13"/>
  <c r="G1841" i="13"/>
  <c r="G1842" i="13"/>
  <c r="G1843" i="13"/>
  <c r="G1844" i="13"/>
  <c r="G1845" i="13"/>
  <c r="G1846" i="13"/>
  <c r="G1847" i="13"/>
  <c r="G1848" i="13"/>
  <c r="G1849" i="13"/>
  <c r="G1850" i="13"/>
  <c r="G1851" i="13"/>
  <c r="G1852" i="13"/>
  <c r="G1853" i="13"/>
  <c r="G1854" i="13"/>
  <c r="G1855" i="13"/>
  <c r="G1856" i="13"/>
  <c r="G1857" i="13"/>
  <c r="G1858" i="13"/>
  <c r="G1859" i="13"/>
  <c r="G1860" i="13"/>
  <c r="G1861" i="13"/>
  <c r="G1862" i="13"/>
  <c r="G1863" i="13"/>
  <c r="G1864" i="13"/>
  <c r="G1865" i="13"/>
  <c r="G1866" i="13"/>
  <c r="G1867" i="13"/>
  <c r="G1868" i="13"/>
  <c r="G1869" i="13"/>
  <c r="G1870" i="13"/>
  <c r="G1871" i="13"/>
  <c r="G1872" i="13"/>
  <c r="G1873" i="13"/>
  <c r="G1874" i="13"/>
  <c r="G1875" i="13"/>
  <c r="G1876" i="13"/>
  <c r="G1877" i="13"/>
  <c r="G1878" i="13"/>
  <c r="G1879" i="13"/>
  <c r="G1880" i="13"/>
  <c r="G1881" i="13"/>
  <c r="G1882" i="13"/>
  <c r="G1883" i="13"/>
  <c r="G1884" i="13"/>
  <c r="G1885" i="13"/>
  <c r="G1886" i="13"/>
  <c r="G1887" i="13"/>
  <c r="G1888" i="13"/>
  <c r="G1889" i="13"/>
  <c r="G1890" i="13"/>
  <c r="G1891" i="13"/>
  <c r="G1892" i="13"/>
  <c r="G1893" i="13"/>
  <c r="G1894" i="13"/>
  <c r="G1895" i="13"/>
  <c r="G1896" i="13"/>
  <c r="G1897" i="13"/>
  <c r="G1898" i="13"/>
  <c r="G1899" i="13"/>
  <c r="G1900" i="13"/>
  <c r="G1901" i="13"/>
  <c r="G1902" i="13"/>
  <c r="G1903" i="13"/>
  <c r="G1904" i="13"/>
  <c r="G1905" i="13"/>
  <c r="G1906" i="13"/>
  <c r="G1907" i="13"/>
  <c r="G1908" i="13"/>
  <c r="G1909" i="13"/>
  <c r="G1910" i="13"/>
  <c r="G1911" i="13"/>
  <c r="G1912" i="13"/>
  <c r="G1913" i="13"/>
  <c r="G1914" i="13"/>
  <c r="G1915" i="13"/>
  <c r="G1916" i="13"/>
  <c r="G1917" i="13"/>
  <c r="G1918" i="13"/>
  <c r="G1919" i="13"/>
  <c r="G1920" i="13"/>
  <c r="G1921" i="13"/>
  <c r="G1922" i="13"/>
  <c r="G1923" i="13"/>
  <c r="G1924" i="13"/>
  <c r="G1925" i="13"/>
  <c r="G1926" i="13"/>
  <c r="G1927" i="13"/>
  <c r="G1928" i="13"/>
  <c r="G1929" i="13"/>
  <c r="G1930" i="13"/>
  <c r="G1931" i="13"/>
  <c r="G1932" i="13"/>
  <c r="G1933" i="13"/>
  <c r="G1934" i="13"/>
  <c r="G1935" i="13"/>
  <c r="G1936" i="13"/>
  <c r="G1937" i="13"/>
  <c r="G1938" i="13"/>
  <c r="G1939" i="13"/>
  <c r="G1940" i="13"/>
  <c r="G1941" i="13"/>
  <c r="G1942" i="13"/>
  <c r="G1943" i="13"/>
  <c r="G1944" i="13"/>
  <c r="G1945" i="13"/>
  <c r="G1946" i="13"/>
  <c r="G1947" i="13"/>
  <c r="G1948" i="13"/>
  <c r="G1949" i="13"/>
  <c r="G1950" i="13"/>
  <c r="G1951" i="13"/>
  <c r="G1952" i="13"/>
  <c r="G1953" i="13"/>
  <c r="G1954" i="13"/>
  <c r="G1955" i="13"/>
  <c r="G1956" i="13"/>
  <c r="G1957" i="13"/>
  <c r="G1958" i="13"/>
  <c r="G1959" i="13"/>
  <c r="G1960" i="13"/>
  <c r="G1961" i="13"/>
  <c r="G1962" i="13"/>
  <c r="G1963" i="13"/>
  <c r="G1964" i="13"/>
  <c r="G1965" i="13"/>
  <c r="G1966" i="13"/>
  <c r="G1967" i="13"/>
  <c r="G1968" i="13"/>
  <c r="G1969" i="13"/>
  <c r="G1970" i="13"/>
  <c r="G1971" i="13"/>
  <c r="G1972" i="13"/>
  <c r="G1973" i="13"/>
  <c r="G1974" i="13"/>
  <c r="G1975" i="13"/>
  <c r="G1976" i="13"/>
  <c r="G1977" i="13"/>
  <c r="G1978" i="13"/>
  <c r="G1979" i="13"/>
  <c r="G1980" i="13"/>
  <c r="G1981" i="13"/>
  <c r="G1982" i="13"/>
  <c r="G1983" i="13"/>
  <c r="G1984" i="13"/>
  <c r="G1985" i="13"/>
  <c r="G1986" i="13"/>
  <c r="G1987" i="13"/>
  <c r="G1988" i="13"/>
  <c r="G1989" i="13"/>
  <c r="G1990" i="13"/>
  <c r="G1991" i="13"/>
  <c r="G1992" i="13"/>
  <c r="G1993" i="13"/>
  <c r="G1994" i="13"/>
  <c r="G1995" i="13"/>
  <c r="G1996" i="13"/>
  <c r="G1997" i="13"/>
  <c r="G1998" i="13"/>
  <c r="G1999" i="13"/>
  <c r="G2000" i="13"/>
  <c r="G2001" i="13"/>
  <c r="G2002" i="13"/>
  <c r="G2003" i="13"/>
  <c r="G2004" i="13"/>
  <c r="G2005" i="13"/>
  <c r="G2006" i="13"/>
  <c r="G2007" i="13"/>
  <c r="G2008" i="13"/>
  <c r="G2009" i="13"/>
  <c r="G2010" i="13"/>
  <c r="G2011" i="13"/>
  <c r="G2012" i="13"/>
  <c r="G2013" i="13"/>
  <c r="G2014" i="13"/>
  <c r="G2015" i="13"/>
  <c r="G2016" i="13"/>
  <c r="G2017" i="13"/>
  <c r="G2018" i="13"/>
  <c r="G2019" i="13"/>
  <c r="G2020" i="13"/>
  <c r="G2021" i="13"/>
  <c r="G2022" i="13"/>
  <c r="G2023" i="13"/>
  <c r="G2024" i="13"/>
  <c r="G2025" i="13"/>
  <c r="G2026" i="13"/>
  <c r="G2027" i="13"/>
  <c r="G2028" i="13"/>
  <c r="G2029" i="13"/>
  <c r="G2030" i="13"/>
  <c r="G2031" i="13"/>
  <c r="G2032" i="13"/>
  <c r="G2033" i="13"/>
  <c r="G2034" i="13"/>
  <c r="G2035" i="13"/>
  <c r="G2036" i="13"/>
  <c r="G2037" i="13"/>
  <c r="G2038" i="13"/>
  <c r="G2039" i="13"/>
  <c r="G2040" i="13"/>
  <c r="G2041" i="13"/>
  <c r="G2042" i="13"/>
  <c r="G2043" i="13"/>
  <c r="G2044" i="13"/>
  <c r="G2045" i="13"/>
  <c r="G2046" i="13"/>
  <c r="G2047" i="13"/>
  <c r="G2048" i="13"/>
  <c r="G2049" i="13"/>
  <c r="G2050" i="13"/>
  <c r="G2051" i="13"/>
  <c r="G2052" i="13"/>
  <c r="G2053" i="13"/>
  <c r="G2054" i="13"/>
  <c r="G2055" i="13"/>
  <c r="G2056" i="13"/>
  <c r="G2057" i="13"/>
  <c r="G2058" i="13"/>
  <c r="G2059" i="13"/>
  <c r="G2060" i="13"/>
  <c r="G2061" i="13"/>
  <c r="G2062" i="13"/>
  <c r="G2063" i="13"/>
  <c r="G2064" i="13"/>
  <c r="G2065" i="13"/>
  <c r="G2066" i="13"/>
  <c r="G2067" i="13"/>
  <c r="G2068" i="13"/>
  <c r="G2069" i="13"/>
  <c r="G2070" i="13"/>
  <c r="G2071" i="13"/>
  <c r="G2072" i="13"/>
  <c r="G2073" i="13"/>
  <c r="G2074" i="13"/>
  <c r="G2075" i="13"/>
  <c r="G2076" i="13"/>
  <c r="G2077" i="13"/>
  <c r="G2078" i="13"/>
  <c r="G2079" i="13"/>
  <c r="G2080" i="13"/>
  <c r="G2081" i="13"/>
  <c r="G2082" i="13"/>
  <c r="G2083" i="13"/>
  <c r="G2084" i="13"/>
  <c r="G2085" i="13"/>
  <c r="G2086" i="13"/>
  <c r="G2087" i="13"/>
  <c r="G2088" i="13"/>
  <c r="G2089" i="13"/>
  <c r="G2090" i="13"/>
  <c r="G2091" i="13"/>
  <c r="G2092" i="13"/>
  <c r="G2093" i="13"/>
  <c r="G2094" i="13"/>
  <c r="G2095" i="13"/>
  <c r="G2096" i="13"/>
  <c r="G2097" i="13"/>
  <c r="G2098" i="13"/>
  <c r="G2099" i="13"/>
  <c r="G2100" i="13"/>
  <c r="G2101" i="13"/>
  <c r="G2102" i="13"/>
  <c r="G2103" i="13"/>
  <c r="G2104" i="13"/>
  <c r="G2105" i="13"/>
  <c r="G2106" i="13"/>
  <c r="G2107" i="13"/>
  <c r="G2108" i="13"/>
  <c r="G2109" i="13"/>
  <c r="G2110" i="13"/>
  <c r="G2111" i="13"/>
  <c r="G2112" i="13"/>
  <c r="G2113" i="13"/>
  <c r="G2114" i="13"/>
  <c r="G2115" i="13"/>
  <c r="G2116" i="13"/>
  <c r="G2117" i="13"/>
  <c r="G2118" i="13"/>
  <c r="G2119" i="13"/>
  <c r="G2120" i="13"/>
  <c r="G2121" i="13"/>
  <c r="G2122" i="13"/>
  <c r="G2123" i="13"/>
  <c r="G2124" i="13"/>
  <c r="G2125" i="13"/>
  <c r="G2126" i="13"/>
  <c r="G2127" i="13"/>
  <c r="G2128" i="13"/>
  <c r="G2129" i="13"/>
  <c r="G2130" i="13"/>
  <c r="G2131" i="13"/>
  <c r="G2132" i="13"/>
  <c r="G2133" i="13"/>
  <c r="G2134" i="13"/>
  <c r="G2135" i="13"/>
  <c r="G2136" i="13"/>
  <c r="G2137" i="13"/>
  <c r="G2138" i="13"/>
  <c r="G2139" i="13"/>
  <c r="G2140" i="13"/>
  <c r="G2141" i="13"/>
  <c r="G2142" i="13"/>
  <c r="G2143" i="13"/>
  <c r="G2144" i="13"/>
  <c r="G2145" i="13"/>
  <c r="G2146" i="13"/>
  <c r="G2147" i="13"/>
  <c r="G2148" i="13"/>
  <c r="G2149" i="13"/>
  <c r="G2150" i="13"/>
  <c r="G2151" i="13"/>
  <c r="G2152" i="13"/>
  <c r="G2153" i="13"/>
  <c r="G2154" i="13"/>
  <c r="G2155" i="13"/>
  <c r="G2156" i="13"/>
  <c r="G2157" i="13"/>
  <c r="G2158" i="13"/>
  <c r="G2159" i="13"/>
  <c r="G2160" i="13"/>
  <c r="G2161" i="13"/>
  <c r="G2162" i="13"/>
  <c r="G2163" i="13"/>
  <c r="G2164" i="13"/>
  <c r="G2165" i="13"/>
  <c r="G2166" i="13"/>
  <c r="G2167" i="13"/>
  <c r="G2168" i="13"/>
  <c r="G2169" i="13"/>
  <c r="G2170" i="13"/>
  <c r="G2171" i="13"/>
  <c r="G2172" i="13"/>
  <c r="G2173" i="13"/>
  <c r="G2174" i="13"/>
  <c r="G2175" i="13"/>
  <c r="G2176" i="13"/>
  <c r="G2177" i="13"/>
  <c r="G2178" i="13"/>
  <c r="G2179" i="13"/>
  <c r="G2180" i="13"/>
  <c r="G2181" i="13"/>
  <c r="G2182" i="13"/>
  <c r="G2183" i="13"/>
  <c r="G2184" i="13"/>
  <c r="G2185" i="13"/>
  <c r="G2186" i="13"/>
  <c r="G2187" i="13"/>
  <c r="G2188" i="13"/>
  <c r="G2189" i="13"/>
  <c r="G2190" i="13"/>
  <c r="G2191" i="13"/>
  <c r="G2192" i="13"/>
  <c r="G2193" i="13"/>
  <c r="G2194" i="13"/>
  <c r="G2195" i="13"/>
  <c r="G2196" i="13"/>
  <c r="G2197" i="13"/>
  <c r="G2198" i="13"/>
  <c r="G2199" i="13"/>
  <c r="G2200" i="13"/>
  <c r="G2201" i="13"/>
  <c r="G2202" i="13"/>
  <c r="G2203" i="13"/>
  <c r="G2204" i="13"/>
  <c r="G2205" i="13"/>
  <c r="G2206" i="13"/>
  <c r="G2207" i="13"/>
  <c r="G2208" i="13"/>
  <c r="G2209" i="13"/>
  <c r="G2210" i="13"/>
  <c r="G2211" i="13"/>
  <c r="G2212" i="13"/>
  <c r="G2213" i="13"/>
  <c r="G2214" i="13"/>
  <c r="G2215" i="13"/>
  <c r="G2216" i="13"/>
  <c r="G2217" i="13"/>
  <c r="G2218" i="13"/>
  <c r="G2219" i="13"/>
  <c r="G2220" i="13"/>
  <c r="G2221" i="13"/>
  <c r="G2222" i="13"/>
  <c r="G2223" i="13"/>
  <c r="G2224" i="13"/>
  <c r="G2225" i="13"/>
  <c r="G2226" i="13"/>
  <c r="G2227" i="13"/>
  <c r="G2228" i="13"/>
  <c r="G2229" i="13"/>
  <c r="G2230" i="13"/>
  <c r="G2231" i="13"/>
  <c r="G2232" i="13"/>
  <c r="G2233" i="13"/>
  <c r="G2234" i="13"/>
  <c r="G2235" i="13"/>
  <c r="G2236" i="13"/>
  <c r="G2237" i="13"/>
  <c r="G2238" i="13"/>
  <c r="G2239" i="13"/>
  <c r="G2240" i="13"/>
  <c r="G2241" i="13"/>
  <c r="G2242" i="13"/>
  <c r="G2243" i="13"/>
  <c r="G2244" i="13"/>
  <c r="G2245" i="13"/>
  <c r="G2246" i="13"/>
  <c r="G2247" i="13"/>
  <c r="G2248" i="13"/>
  <c r="G2249" i="13"/>
  <c r="G2250" i="13"/>
  <c r="G2251" i="13"/>
  <c r="G2252" i="13"/>
  <c r="G2253" i="13"/>
  <c r="G2254" i="13"/>
  <c r="G2255" i="13"/>
  <c r="G2256" i="13"/>
  <c r="G2257" i="13"/>
  <c r="G2258" i="13"/>
  <c r="G2259" i="13"/>
  <c r="G2260" i="13"/>
  <c r="G2261" i="13"/>
  <c r="G2262" i="13"/>
  <c r="G2263" i="13"/>
  <c r="G2264" i="13"/>
  <c r="G2265" i="13"/>
  <c r="G2266" i="13"/>
  <c r="G2267" i="13"/>
  <c r="G2268" i="13"/>
  <c r="G2269" i="13"/>
  <c r="G2270" i="13"/>
  <c r="G2271" i="13"/>
  <c r="G2272" i="13"/>
  <c r="G2273" i="13"/>
  <c r="G2274" i="13"/>
  <c r="G2275" i="13"/>
  <c r="G2276" i="13"/>
  <c r="G2277" i="13"/>
  <c r="G2278" i="13"/>
  <c r="G2279" i="13"/>
  <c r="G2280" i="13"/>
  <c r="G2281" i="13"/>
  <c r="G2282" i="13"/>
  <c r="G2283" i="13"/>
  <c r="G2284" i="13"/>
  <c r="G2285" i="13"/>
  <c r="G2286" i="13"/>
  <c r="G2287" i="13"/>
  <c r="G2288" i="13"/>
  <c r="G2289" i="13"/>
  <c r="G2290" i="13"/>
  <c r="G2291" i="13"/>
  <c r="G2292" i="13"/>
  <c r="G2293" i="13"/>
  <c r="G2294" i="13"/>
  <c r="G2295" i="13"/>
  <c r="G2296" i="13"/>
  <c r="G2297" i="13"/>
  <c r="G2298" i="13"/>
  <c r="G2299" i="13"/>
  <c r="G2300" i="13"/>
  <c r="G2301" i="13"/>
  <c r="G2302" i="13"/>
  <c r="G2303" i="13"/>
  <c r="G2304" i="13"/>
  <c r="G2305" i="13"/>
  <c r="G2306" i="13"/>
  <c r="G2307" i="13"/>
  <c r="G2308" i="13"/>
  <c r="G2309" i="13"/>
  <c r="G2310" i="13"/>
  <c r="G2311" i="13"/>
  <c r="G2312" i="13"/>
  <c r="G2313" i="13"/>
  <c r="G2314" i="13"/>
  <c r="G2315" i="13"/>
  <c r="G2316" i="13"/>
  <c r="G2317" i="13"/>
  <c r="G2318" i="13"/>
  <c r="G2319" i="13"/>
  <c r="G2320" i="13"/>
  <c r="G2321" i="13"/>
  <c r="G2322" i="13"/>
  <c r="G2323" i="13"/>
  <c r="G2324" i="13"/>
  <c r="G2325" i="13"/>
  <c r="G2326" i="13"/>
  <c r="G2327" i="13"/>
  <c r="G2328" i="13"/>
  <c r="G2329" i="13"/>
  <c r="G2330" i="13"/>
  <c r="G2331" i="13"/>
  <c r="G2332" i="13"/>
  <c r="G2333" i="13"/>
  <c r="G2334" i="13"/>
  <c r="G2335" i="13"/>
  <c r="G2336" i="13"/>
  <c r="G2337" i="13"/>
  <c r="G2338" i="13"/>
  <c r="G2339" i="13"/>
  <c r="G2340" i="13"/>
  <c r="G2341" i="13"/>
  <c r="G2342" i="13"/>
  <c r="G2343" i="13"/>
  <c r="G2344" i="13"/>
  <c r="G2345" i="13"/>
  <c r="G2346" i="13"/>
  <c r="G2347" i="13"/>
  <c r="G2348" i="13"/>
  <c r="G2349" i="13"/>
  <c r="G2350" i="13"/>
  <c r="G2351" i="13"/>
  <c r="G2352" i="13"/>
  <c r="G2353" i="13"/>
  <c r="G2354" i="13"/>
  <c r="G2355" i="13"/>
  <c r="G2356" i="13"/>
  <c r="G2357" i="13"/>
  <c r="G2358" i="13"/>
  <c r="G2359" i="13"/>
  <c r="G2360" i="13"/>
  <c r="G2361" i="13"/>
  <c r="G2362" i="13"/>
  <c r="G2363" i="13"/>
  <c r="G2364" i="13"/>
  <c r="G2365" i="13"/>
  <c r="G2366" i="13"/>
  <c r="G2367" i="13"/>
  <c r="G2368" i="13"/>
  <c r="G2369" i="13"/>
  <c r="G2370" i="13"/>
  <c r="G2371" i="13"/>
  <c r="G2372" i="13"/>
  <c r="G2373" i="13"/>
  <c r="G2374" i="13"/>
  <c r="G2375" i="13"/>
  <c r="G2376" i="13"/>
  <c r="G2377" i="13"/>
  <c r="G2378" i="13"/>
  <c r="G2379" i="13"/>
  <c r="G2380" i="13"/>
  <c r="G2381" i="13"/>
  <c r="G2382" i="13"/>
  <c r="G2383" i="13"/>
  <c r="G2384" i="13"/>
  <c r="G2385" i="13"/>
  <c r="G2386" i="13"/>
  <c r="G2387" i="13"/>
  <c r="G2388" i="13"/>
  <c r="G2389" i="13"/>
  <c r="G2390" i="13"/>
  <c r="G2391" i="13"/>
  <c r="G2392" i="13"/>
  <c r="G2393" i="13"/>
  <c r="G2394" i="13"/>
  <c r="G2395" i="13"/>
  <c r="G2396" i="13"/>
  <c r="G2397" i="13"/>
  <c r="G2398" i="13"/>
  <c r="G2399" i="13"/>
  <c r="G2400" i="13"/>
  <c r="G2401" i="13"/>
  <c r="G2402" i="13"/>
  <c r="G2403" i="13"/>
  <c r="G2404" i="13"/>
  <c r="G2405" i="13"/>
  <c r="G2406" i="13"/>
  <c r="G2407" i="13"/>
  <c r="G2408" i="13"/>
  <c r="G2409" i="13"/>
  <c r="G2410" i="13"/>
  <c r="G2411" i="13"/>
  <c r="G2412" i="13"/>
  <c r="G2413" i="13"/>
  <c r="G2414" i="13"/>
  <c r="G2415" i="13"/>
  <c r="G2416" i="13"/>
  <c r="G2417" i="13"/>
  <c r="G2418" i="13"/>
  <c r="G2419" i="13"/>
  <c r="G2420" i="13"/>
  <c r="G2421" i="13"/>
  <c r="G2422" i="13"/>
  <c r="G2423" i="13"/>
  <c r="G2424" i="13"/>
  <c r="G2425" i="13"/>
  <c r="G2426" i="13"/>
  <c r="G2427" i="13"/>
  <c r="G2428" i="13"/>
  <c r="G2429" i="13"/>
  <c r="G2430" i="13"/>
  <c r="G2431" i="13"/>
  <c r="G2432" i="13"/>
  <c r="G2433" i="13"/>
  <c r="G2434" i="13"/>
  <c r="G2435" i="13"/>
  <c r="G2436" i="13"/>
  <c r="G2437" i="13"/>
  <c r="G2438" i="13"/>
  <c r="G2439" i="13"/>
  <c r="G2440" i="13"/>
  <c r="G2441" i="13"/>
  <c r="G2442" i="13"/>
  <c r="G2443" i="13"/>
  <c r="G2444" i="13"/>
  <c r="G2445" i="13"/>
  <c r="G2446" i="13"/>
  <c r="G2447" i="13"/>
  <c r="G2448" i="13"/>
  <c r="G2449" i="13"/>
  <c r="G2450" i="13"/>
  <c r="G2451" i="13"/>
  <c r="G2452" i="13"/>
  <c r="G2453" i="13"/>
  <c r="G2454" i="13"/>
  <c r="G2455" i="13"/>
  <c r="G2456" i="13"/>
  <c r="G2457" i="13"/>
  <c r="G2458" i="13"/>
  <c r="G2459" i="13"/>
  <c r="G2460" i="13"/>
  <c r="G2461" i="13"/>
  <c r="G2462" i="13"/>
  <c r="G2463" i="13"/>
  <c r="G2464" i="13"/>
  <c r="G2465" i="13"/>
  <c r="G2466" i="13"/>
  <c r="G2467" i="13"/>
  <c r="G2468" i="13"/>
  <c r="G2469" i="13"/>
  <c r="G2470" i="13"/>
  <c r="G2471" i="13"/>
  <c r="G2472" i="13"/>
  <c r="G2473" i="13"/>
  <c r="G2474" i="13"/>
  <c r="G2475" i="13"/>
  <c r="G2476" i="13"/>
  <c r="G2477" i="13"/>
  <c r="G2478" i="13"/>
  <c r="G2479" i="13"/>
  <c r="G2480" i="13"/>
  <c r="G2481" i="13"/>
  <c r="G2482" i="13"/>
  <c r="G2483" i="13"/>
  <c r="G2484" i="13"/>
  <c r="G2485" i="13"/>
  <c r="G2486" i="13"/>
  <c r="G2487" i="13"/>
  <c r="G2488" i="13"/>
  <c r="G2489" i="13"/>
  <c r="G2490" i="13"/>
  <c r="G2491" i="13"/>
  <c r="G2492" i="13"/>
  <c r="G2493" i="13"/>
  <c r="G2494" i="13"/>
  <c r="G2495" i="13"/>
  <c r="G2496" i="13"/>
  <c r="G2497" i="13"/>
  <c r="G2498" i="13"/>
  <c r="G2499" i="13"/>
  <c r="G2500" i="13"/>
  <c r="J2"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988" i="13"/>
  <c r="J989" i="13"/>
  <c r="J990" i="13"/>
  <c r="J991" i="13"/>
  <c r="J992" i="13"/>
  <c r="J993" i="13"/>
  <c r="J994" i="13"/>
  <c r="J995" i="13"/>
  <c r="J996" i="13"/>
  <c r="J997" i="13"/>
  <c r="J998" i="13"/>
  <c r="J999" i="13"/>
  <c r="J1000" i="13"/>
  <c r="J1001" i="13"/>
  <c r="J1002" i="13"/>
  <c r="J1003" i="13"/>
  <c r="J1004" i="13"/>
  <c r="J1005" i="13"/>
  <c r="J1006" i="13"/>
  <c r="J1007" i="13"/>
  <c r="J1008" i="13"/>
  <c r="J1009" i="13"/>
  <c r="J1010" i="13"/>
  <c r="J1011" i="13"/>
  <c r="J1012" i="13"/>
  <c r="J1013" i="13"/>
  <c r="J1014" i="13"/>
  <c r="J1015" i="13"/>
  <c r="J1016" i="13"/>
  <c r="J1017" i="13"/>
  <c r="J1018" i="13"/>
  <c r="J1019" i="13"/>
  <c r="J1020" i="13"/>
  <c r="J1021" i="13"/>
  <c r="J1022" i="13"/>
  <c r="J1023" i="13"/>
  <c r="J1024" i="13"/>
  <c r="J1025" i="13"/>
  <c r="J1026" i="13"/>
  <c r="J1027" i="13"/>
  <c r="J1028" i="13"/>
  <c r="J1029" i="13"/>
  <c r="J1030" i="13"/>
  <c r="J1031" i="13"/>
  <c r="J1032" i="13"/>
  <c r="J1033" i="13"/>
  <c r="J1034" i="13"/>
  <c r="J1035" i="13"/>
  <c r="J1036" i="13"/>
  <c r="J1037" i="13"/>
  <c r="J1038" i="13"/>
  <c r="J1039" i="13"/>
  <c r="J1040" i="13"/>
  <c r="J1041" i="13"/>
  <c r="J1042" i="13"/>
  <c r="J1043" i="13"/>
  <c r="J1044" i="13"/>
  <c r="J1045" i="13"/>
  <c r="J1046" i="13"/>
  <c r="J1047" i="13"/>
  <c r="J1048" i="13"/>
  <c r="J1049" i="13"/>
  <c r="J1050" i="13"/>
  <c r="J1051" i="13"/>
  <c r="J1052" i="13"/>
  <c r="J1053" i="13"/>
  <c r="J1054" i="13"/>
  <c r="J1055" i="13"/>
  <c r="J1056" i="13"/>
  <c r="J1057" i="13"/>
  <c r="J1058" i="13"/>
  <c r="J1059" i="13"/>
  <c r="J1060" i="13"/>
  <c r="J1061" i="13"/>
  <c r="J1062" i="13"/>
  <c r="J1063" i="13"/>
  <c r="J1064" i="13"/>
  <c r="J1065" i="13"/>
  <c r="J1066" i="13"/>
  <c r="J1067" i="13"/>
  <c r="J1068" i="13"/>
  <c r="J1069" i="13"/>
  <c r="J1070" i="13"/>
  <c r="J1071" i="13"/>
  <c r="J1072" i="13"/>
  <c r="J1073" i="13"/>
  <c r="J1074" i="13"/>
  <c r="J1075" i="13"/>
  <c r="J1076" i="13"/>
  <c r="J1077" i="13"/>
  <c r="J1078" i="13"/>
  <c r="J1079" i="13"/>
  <c r="J1080" i="13"/>
  <c r="J1081" i="13"/>
  <c r="J1082" i="13"/>
  <c r="J1083" i="13"/>
  <c r="J1084" i="13"/>
  <c r="J1085" i="13"/>
  <c r="J1086" i="13"/>
  <c r="J1087" i="13"/>
  <c r="J1088" i="13"/>
  <c r="J1089" i="13"/>
  <c r="J1090" i="13"/>
  <c r="J1091" i="13"/>
  <c r="J1092" i="13"/>
  <c r="J1093" i="13"/>
  <c r="J1094" i="13"/>
  <c r="J1095" i="13"/>
  <c r="J1096" i="13"/>
  <c r="J1097" i="13"/>
  <c r="J1098" i="13"/>
  <c r="J1099" i="13"/>
  <c r="J1100" i="13"/>
  <c r="J1101" i="13"/>
  <c r="J1102" i="13"/>
  <c r="J1103" i="13"/>
  <c r="J1104" i="13"/>
  <c r="J1105" i="13"/>
  <c r="J1106" i="13"/>
  <c r="J1107" i="13"/>
  <c r="J1108" i="13"/>
  <c r="J1109" i="13"/>
  <c r="J1110" i="13"/>
  <c r="J1111" i="13"/>
  <c r="J1112" i="13"/>
  <c r="J1113" i="13"/>
  <c r="J1114" i="13"/>
  <c r="J1115" i="13"/>
  <c r="J1116" i="13"/>
  <c r="J1117" i="13"/>
  <c r="J1118" i="13"/>
  <c r="J1119" i="13"/>
  <c r="J1120" i="13"/>
  <c r="J1121" i="13"/>
  <c r="J1122" i="13"/>
  <c r="J1123" i="13"/>
  <c r="J1124" i="13"/>
  <c r="J1125" i="13"/>
  <c r="J1126" i="13"/>
  <c r="J1127" i="13"/>
  <c r="J1128" i="13"/>
  <c r="J1129" i="13"/>
  <c r="J1130" i="13"/>
  <c r="J1131" i="13"/>
  <c r="J1132" i="13"/>
  <c r="J1133" i="13"/>
  <c r="J1134" i="13"/>
  <c r="J1135" i="13"/>
  <c r="J1136" i="13"/>
  <c r="J1137" i="13"/>
  <c r="J1138" i="13"/>
  <c r="J1139" i="13"/>
  <c r="J1140" i="13"/>
  <c r="J1141" i="13"/>
  <c r="J1142" i="13"/>
  <c r="J1143" i="13"/>
  <c r="J1144" i="13"/>
  <c r="J1145" i="13"/>
  <c r="J1146" i="13"/>
  <c r="J1147" i="13"/>
  <c r="J1148" i="13"/>
  <c r="J1149" i="13"/>
  <c r="J1150" i="13"/>
  <c r="J1151" i="13"/>
  <c r="J1152" i="13"/>
  <c r="J1153" i="13"/>
  <c r="J1154" i="13"/>
  <c r="J1155" i="13"/>
  <c r="J1156" i="13"/>
  <c r="J1157" i="13"/>
  <c r="J1158" i="13"/>
  <c r="J1159" i="13"/>
  <c r="J1160" i="13"/>
  <c r="J1161" i="13"/>
  <c r="J1162" i="13"/>
  <c r="J1163" i="13"/>
  <c r="J1164" i="13"/>
  <c r="J1165" i="13"/>
  <c r="J1166" i="13"/>
  <c r="J1167" i="13"/>
  <c r="J1168" i="13"/>
  <c r="J1169" i="13"/>
  <c r="J1170" i="13"/>
  <c r="J1171" i="13"/>
  <c r="J1172" i="13"/>
  <c r="J1173" i="13"/>
  <c r="J1174" i="13"/>
  <c r="J1175" i="13"/>
  <c r="J1176" i="13"/>
  <c r="J1177" i="13"/>
  <c r="J1178" i="13"/>
  <c r="J1179" i="13"/>
  <c r="J1180" i="13"/>
  <c r="J1181" i="13"/>
  <c r="J1182" i="13"/>
  <c r="J1183" i="13"/>
  <c r="J1184" i="13"/>
  <c r="J1185" i="13"/>
  <c r="J1186" i="13"/>
  <c r="J1187" i="13"/>
  <c r="J1188" i="13"/>
  <c r="J1189" i="13"/>
  <c r="J1190" i="13"/>
  <c r="J1191" i="13"/>
  <c r="J1192" i="13"/>
  <c r="J1193" i="13"/>
  <c r="J1194" i="13"/>
  <c r="J1195" i="13"/>
  <c r="J1196" i="13"/>
  <c r="J1197" i="13"/>
  <c r="J1198" i="13"/>
  <c r="J1199" i="13"/>
  <c r="J1200" i="13"/>
  <c r="J1201" i="13"/>
  <c r="J1202" i="13"/>
  <c r="J1203" i="13"/>
  <c r="J1204" i="13"/>
  <c r="J1205" i="13"/>
  <c r="J1206" i="13"/>
  <c r="J1207" i="13"/>
  <c r="J1208" i="13"/>
  <c r="J1209" i="13"/>
  <c r="J1210" i="13"/>
  <c r="J1211" i="13"/>
  <c r="J1212" i="13"/>
  <c r="J1213" i="13"/>
  <c r="J1214" i="13"/>
  <c r="J1215" i="13"/>
  <c r="J1216" i="13"/>
  <c r="J1217" i="13"/>
  <c r="J1218" i="13"/>
  <c r="J1219" i="13"/>
  <c r="J1220" i="13"/>
  <c r="J1221" i="13"/>
  <c r="J1222" i="13"/>
  <c r="J1223" i="13"/>
  <c r="J1224" i="13"/>
  <c r="J1225" i="13"/>
  <c r="J1226" i="13"/>
  <c r="J1227" i="13"/>
  <c r="J1228" i="13"/>
  <c r="J1229" i="13"/>
  <c r="J1230" i="13"/>
  <c r="J1231" i="13"/>
  <c r="J1232" i="13"/>
  <c r="J1233" i="13"/>
  <c r="J1234" i="13"/>
  <c r="J1235" i="13"/>
  <c r="J1236" i="13"/>
  <c r="J1237" i="13"/>
  <c r="J1238" i="13"/>
  <c r="J1239" i="13"/>
  <c r="J1240" i="13"/>
  <c r="J1241" i="13"/>
  <c r="J1242" i="13"/>
  <c r="J1243" i="13"/>
  <c r="J1244" i="13"/>
  <c r="J1245" i="13"/>
  <c r="J1246" i="13"/>
  <c r="J1247" i="13"/>
  <c r="J1248" i="13"/>
  <c r="J1249" i="13"/>
  <c r="J1250" i="13"/>
  <c r="J1251" i="13"/>
  <c r="J1252" i="13"/>
  <c r="J1253" i="13"/>
  <c r="J1254" i="13"/>
  <c r="J1255" i="13"/>
  <c r="J1256" i="13"/>
  <c r="J1257" i="13"/>
  <c r="J1258" i="13"/>
  <c r="J1259" i="13"/>
  <c r="J1260" i="13"/>
  <c r="J1261" i="13"/>
  <c r="J1262" i="13"/>
  <c r="J1263" i="13"/>
  <c r="J1264" i="13"/>
  <c r="J1265" i="13"/>
  <c r="J1266" i="13"/>
  <c r="J1267" i="13"/>
  <c r="J1268" i="13"/>
  <c r="J1269" i="13"/>
  <c r="J1270" i="13"/>
  <c r="J1271" i="13"/>
  <c r="J1272" i="13"/>
  <c r="J1273" i="13"/>
  <c r="J1274" i="13"/>
  <c r="J1275" i="13"/>
  <c r="J1276" i="13"/>
  <c r="J1277" i="13"/>
  <c r="J1278" i="13"/>
  <c r="J1279" i="13"/>
  <c r="J1280" i="13"/>
  <c r="J1281" i="13"/>
  <c r="J1282" i="13"/>
  <c r="J1283" i="13"/>
  <c r="J1284" i="13"/>
  <c r="J1285" i="13"/>
  <c r="J1286" i="13"/>
  <c r="J1287" i="13"/>
  <c r="J1288" i="13"/>
  <c r="J1289" i="13"/>
  <c r="J1290" i="13"/>
  <c r="J1291" i="13"/>
  <c r="J1292" i="13"/>
  <c r="J1293" i="13"/>
  <c r="J1294" i="13"/>
  <c r="J1295" i="13"/>
  <c r="J1296" i="13"/>
  <c r="J1297" i="13"/>
  <c r="J1298" i="13"/>
  <c r="J1299" i="13"/>
  <c r="J1300" i="13"/>
  <c r="J1301" i="13"/>
  <c r="J1302" i="13"/>
  <c r="J1303" i="13"/>
  <c r="J1304" i="13"/>
  <c r="J1305" i="13"/>
  <c r="J1306" i="13"/>
  <c r="J1307" i="13"/>
  <c r="J1308" i="13"/>
  <c r="J1309" i="13"/>
  <c r="J1310" i="13"/>
  <c r="J1311" i="13"/>
  <c r="J1312" i="13"/>
  <c r="J1313" i="13"/>
  <c r="J1314" i="13"/>
  <c r="J1315" i="13"/>
  <c r="J1316" i="13"/>
  <c r="J1317" i="13"/>
  <c r="J1318" i="13"/>
  <c r="J1319" i="13"/>
  <c r="J1320" i="13"/>
  <c r="J1321" i="13"/>
  <c r="J1322" i="13"/>
  <c r="J1323" i="13"/>
  <c r="J1324" i="13"/>
  <c r="J1325" i="13"/>
  <c r="J1326" i="13"/>
  <c r="J1327" i="13"/>
  <c r="J1328" i="13"/>
  <c r="J1329" i="13"/>
  <c r="J1330" i="13"/>
  <c r="J1331" i="13"/>
  <c r="J1332" i="13"/>
  <c r="J1333" i="13"/>
  <c r="J1334" i="13"/>
  <c r="J1335" i="13"/>
  <c r="J1336" i="13"/>
  <c r="J1337" i="13"/>
  <c r="J1338" i="13"/>
  <c r="J1339" i="13"/>
  <c r="J1340" i="13"/>
  <c r="J1341" i="13"/>
  <c r="J1342" i="13"/>
  <c r="J1343" i="13"/>
  <c r="J1344" i="13"/>
  <c r="J1345" i="13"/>
  <c r="J1346" i="13"/>
  <c r="J1347" i="13"/>
  <c r="J1348" i="13"/>
  <c r="J1349" i="13"/>
  <c r="J1350" i="13"/>
  <c r="J1351" i="13"/>
  <c r="J1352" i="13"/>
  <c r="J1353" i="13"/>
  <c r="J1354" i="13"/>
  <c r="J1355" i="13"/>
  <c r="J1356" i="13"/>
  <c r="J1357" i="13"/>
  <c r="J1358" i="13"/>
  <c r="J1359" i="13"/>
  <c r="J1360" i="13"/>
  <c r="J1361" i="13"/>
  <c r="J1362" i="13"/>
  <c r="J1363" i="13"/>
  <c r="J1364" i="13"/>
  <c r="J1365" i="13"/>
  <c r="J1366" i="13"/>
  <c r="J1367" i="13"/>
  <c r="J1368" i="13"/>
  <c r="J1369" i="13"/>
  <c r="J1370" i="13"/>
  <c r="J1371" i="13"/>
  <c r="J1372" i="13"/>
  <c r="J1373" i="13"/>
  <c r="J1374" i="13"/>
  <c r="J1375" i="13"/>
  <c r="J1376" i="13"/>
  <c r="J1377" i="13"/>
  <c r="J1378" i="13"/>
  <c r="J1379" i="13"/>
  <c r="J1380" i="13"/>
  <c r="J1381" i="13"/>
  <c r="J1382" i="13"/>
  <c r="J1383" i="13"/>
  <c r="J1384" i="13"/>
  <c r="J1385" i="13"/>
  <c r="J1386" i="13"/>
  <c r="J1387" i="13"/>
  <c r="J1388" i="13"/>
  <c r="J1389" i="13"/>
  <c r="J1390" i="13"/>
  <c r="J1391" i="13"/>
  <c r="J1392" i="13"/>
  <c r="J1393" i="13"/>
  <c r="J1394" i="13"/>
  <c r="J1395" i="13"/>
  <c r="J1396" i="13"/>
  <c r="J1397" i="13"/>
  <c r="J1398" i="13"/>
  <c r="J1399" i="13"/>
  <c r="J1400" i="13"/>
  <c r="J1401" i="13"/>
  <c r="J1402" i="13"/>
  <c r="J1403" i="13"/>
  <c r="J1404" i="13"/>
  <c r="J1405" i="13"/>
  <c r="J1406" i="13"/>
  <c r="J1407" i="13"/>
  <c r="J1408" i="13"/>
  <c r="J1409" i="13"/>
  <c r="J1410" i="13"/>
  <c r="J1411" i="13"/>
  <c r="J1412" i="13"/>
  <c r="J1413" i="13"/>
  <c r="J1414" i="13"/>
  <c r="J1415" i="13"/>
  <c r="J1416" i="13"/>
  <c r="J1417" i="13"/>
  <c r="J1418" i="13"/>
  <c r="J1419" i="13"/>
  <c r="J1420" i="13"/>
  <c r="J1421" i="13"/>
  <c r="J1422" i="13"/>
  <c r="J1423" i="13"/>
  <c r="J1424" i="13"/>
  <c r="J1425" i="13"/>
  <c r="J1426" i="13"/>
  <c r="J1427" i="13"/>
  <c r="J1428" i="13"/>
  <c r="J1429" i="13"/>
  <c r="J1430" i="13"/>
  <c r="J1431" i="13"/>
  <c r="J1432" i="13"/>
  <c r="J1433" i="13"/>
  <c r="J1434" i="13"/>
  <c r="J1435" i="13"/>
  <c r="J1436" i="13"/>
  <c r="J1437" i="13"/>
  <c r="J1438" i="13"/>
  <c r="J1439" i="13"/>
  <c r="J1440" i="13"/>
  <c r="J1441" i="13"/>
  <c r="J1442" i="13"/>
  <c r="J1443" i="13"/>
  <c r="J1444" i="13"/>
  <c r="J1445" i="13"/>
  <c r="J1446" i="13"/>
  <c r="J1447" i="13"/>
  <c r="J1448" i="13"/>
  <c r="J1449" i="13"/>
  <c r="J1450" i="13"/>
  <c r="J1451" i="13"/>
  <c r="J1452" i="13"/>
  <c r="J1453" i="13"/>
  <c r="J1454" i="13"/>
  <c r="J1455" i="13"/>
  <c r="J1456" i="13"/>
  <c r="J1457" i="13"/>
  <c r="J1458" i="13"/>
  <c r="J1459" i="13"/>
  <c r="J1460" i="13"/>
  <c r="J1461" i="13"/>
  <c r="J1462" i="13"/>
  <c r="J1463" i="13"/>
  <c r="J1464" i="13"/>
  <c r="J1465" i="13"/>
  <c r="J1466" i="13"/>
  <c r="J1467" i="13"/>
  <c r="J1468" i="13"/>
  <c r="J1469" i="13"/>
  <c r="J1470" i="13"/>
  <c r="J1471" i="13"/>
  <c r="J1472" i="13"/>
  <c r="J1473" i="13"/>
  <c r="J1474" i="13"/>
  <c r="J1475" i="13"/>
  <c r="J1476" i="13"/>
  <c r="J1477" i="13"/>
  <c r="J1478" i="13"/>
  <c r="J1479" i="13"/>
  <c r="J1480" i="13"/>
  <c r="J1481" i="13"/>
  <c r="J1482" i="13"/>
  <c r="J1483" i="13"/>
  <c r="J1484" i="13"/>
  <c r="J1485" i="13"/>
  <c r="J1486" i="13"/>
  <c r="J1487" i="13"/>
  <c r="J1488" i="13"/>
  <c r="J1489" i="13"/>
  <c r="J1490" i="13"/>
  <c r="J1491" i="13"/>
  <c r="J1492" i="13"/>
  <c r="J1493" i="13"/>
  <c r="J1494" i="13"/>
  <c r="J1495" i="13"/>
  <c r="J1496" i="13"/>
  <c r="J1497" i="13"/>
  <c r="J1498" i="13"/>
  <c r="J1499" i="13"/>
  <c r="J1500" i="13"/>
  <c r="J1501" i="13"/>
  <c r="J1502" i="13"/>
  <c r="J1503" i="13"/>
  <c r="J1504" i="13"/>
  <c r="J1505" i="13"/>
  <c r="J1506" i="13"/>
  <c r="J1507" i="13"/>
  <c r="J1508" i="13"/>
  <c r="J1509" i="13"/>
  <c r="J1510" i="13"/>
  <c r="J1511" i="13"/>
  <c r="J1512" i="13"/>
  <c r="J1513" i="13"/>
  <c r="J1514" i="13"/>
  <c r="J1515" i="13"/>
  <c r="J1516" i="13"/>
  <c r="J1517" i="13"/>
  <c r="J1518" i="13"/>
  <c r="J1519" i="13"/>
  <c r="J1520" i="13"/>
  <c r="J1521" i="13"/>
  <c r="J1522" i="13"/>
  <c r="J1523" i="13"/>
  <c r="J1524" i="13"/>
  <c r="J1525" i="13"/>
  <c r="J1526" i="13"/>
  <c r="J1527" i="13"/>
  <c r="J1528" i="13"/>
  <c r="J1529" i="13"/>
  <c r="J1530" i="13"/>
  <c r="J1531" i="13"/>
  <c r="J1532" i="13"/>
  <c r="J1533" i="13"/>
  <c r="J1534" i="13"/>
  <c r="J1535" i="13"/>
  <c r="J1536" i="13"/>
  <c r="J1537" i="13"/>
  <c r="J1538" i="13"/>
  <c r="J1539" i="13"/>
  <c r="J1540" i="13"/>
  <c r="J1541" i="13"/>
  <c r="J1542" i="13"/>
  <c r="J1543" i="13"/>
  <c r="J1544" i="13"/>
  <c r="J1545" i="13"/>
  <c r="J1546" i="13"/>
  <c r="J1547" i="13"/>
  <c r="J1548" i="13"/>
  <c r="J1549" i="13"/>
  <c r="J1550" i="13"/>
  <c r="J1551" i="13"/>
  <c r="J1552" i="13"/>
  <c r="J1553" i="13"/>
  <c r="J1554" i="13"/>
  <c r="J1555" i="13"/>
  <c r="J1556" i="13"/>
  <c r="J1557" i="13"/>
  <c r="J1558" i="13"/>
  <c r="J1559" i="13"/>
  <c r="J1560" i="13"/>
  <c r="J1561" i="13"/>
  <c r="J1562" i="13"/>
  <c r="J1563" i="13"/>
  <c r="J1564" i="13"/>
  <c r="J1565" i="13"/>
  <c r="J1566" i="13"/>
  <c r="J1567" i="13"/>
  <c r="J1568" i="13"/>
  <c r="J1569" i="13"/>
  <c r="J1570" i="13"/>
  <c r="J1571" i="13"/>
  <c r="J1572" i="13"/>
  <c r="J1573" i="13"/>
  <c r="J1574" i="13"/>
  <c r="J1575" i="13"/>
  <c r="J1576" i="13"/>
  <c r="J1577" i="13"/>
  <c r="J1578" i="13"/>
  <c r="J1579" i="13"/>
  <c r="J1580" i="13"/>
  <c r="J1581" i="13"/>
  <c r="J1582" i="13"/>
  <c r="J1583" i="13"/>
  <c r="J1584" i="13"/>
  <c r="J1585" i="13"/>
  <c r="J1586" i="13"/>
  <c r="J1587" i="13"/>
  <c r="J1588" i="13"/>
  <c r="J1589" i="13"/>
  <c r="J1590" i="13"/>
  <c r="J1591" i="13"/>
  <c r="J1592" i="13"/>
  <c r="J1593" i="13"/>
  <c r="J1594" i="13"/>
  <c r="J1595" i="13"/>
  <c r="J1596" i="13"/>
  <c r="J1597" i="13"/>
  <c r="J1598" i="13"/>
  <c r="J1599" i="13"/>
  <c r="J1600" i="13"/>
  <c r="J1601" i="13"/>
  <c r="J1602" i="13"/>
  <c r="J1603" i="13"/>
  <c r="J1604" i="13"/>
  <c r="J1605" i="13"/>
  <c r="J1606" i="13"/>
  <c r="J1607" i="13"/>
  <c r="J1608" i="13"/>
  <c r="J1609" i="13"/>
  <c r="J1610" i="13"/>
  <c r="J1611" i="13"/>
  <c r="J1612" i="13"/>
  <c r="J1613" i="13"/>
  <c r="J1614" i="13"/>
  <c r="J1615" i="13"/>
  <c r="J1616" i="13"/>
  <c r="J1617" i="13"/>
  <c r="J1618" i="13"/>
  <c r="J1619" i="13"/>
  <c r="J1620" i="13"/>
  <c r="J1621" i="13"/>
  <c r="J1622" i="13"/>
  <c r="J1623" i="13"/>
  <c r="J1624" i="13"/>
  <c r="J1625" i="13"/>
  <c r="J1626" i="13"/>
  <c r="J1627" i="13"/>
  <c r="J1628" i="13"/>
  <c r="J1629" i="13"/>
  <c r="J1630" i="13"/>
  <c r="J1631" i="13"/>
  <c r="J1632" i="13"/>
  <c r="J1633" i="13"/>
  <c r="J1634" i="13"/>
  <c r="J1635" i="13"/>
  <c r="J1636" i="13"/>
  <c r="J1637" i="13"/>
  <c r="J1638" i="13"/>
  <c r="J1639" i="13"/>
  <c r="J1640" i="13"/>
  <c r="J1641" i="13"/>
  <c r="J1642" i="13"/>
  <c r="J1643" i="13"/>
  <c r="J1644" i="13"/>
  <c r="J1645" i="13"/>
  <c r="J1646" i="13"/>
  <c r="J1647" i="13"/>
  <c r="J1648" i="13"/>
  <c r="J1649" i="13"/>
  <c r="J1650" i="13"/>
  <c r="J1651" i="13"/>
  <c r="J1652" i="13"/>
  <c r="J1653" i="13"/>
  <c r="J1654" i="13"/>
  <c r="J1655" i="13"/>
  <c r="J1656" i="13"/>
  <c r="J1657" i="13"/>
  <c r="J1658" i="13"/>
  <c r="J1659" i="13"/>
  <c r="J1660" i="13"/>
  <c r="J1661" i="13"/>
  <c r="J1662" i="13"/>
  <c r="J1663" i="13"/>
  <c r="J1664" i="13"/>
  <c r="J1665" i="13"/>
  <c r="J1666" i="13"/>
  <c r="J1667" i="13"/>
  <c r="J1668" i="13"/>
  <c r="J1669" i="13"/>
  <c r="J1670" i="13"/>
  <c r="J1671" i="13"/>
  <c r="J1672" i="13"/>
  <c r="J1673" i="13"/>
  <c r="J1674" i="13"/>
  <c r="J1675" i="13"/>
  <c r="J1676" i="13"/>
  <c r="J1677" i="13"/>
  <c r="J1678" i="13"/>
  <c r="J1679" i="13"/>
  <c r="J1680" i="13"/>
  <c r="J1681" i="13"/>
  <c r="J1682" i="13"/>
  <c r="J1683" i="13"/>
  <c r="J1684" i="13"/>
  <c r="J1685" i="13"/>
  <c r="J1686" i="13"/>
  <c r="J1687" i="13"/>
  <c r="J1688" i="13"/>
  <c r="J1689" i="13"/>
  <c r="J1690" i="13"/>
  <c r="J1691" i="13"/>
  <c r="J1692" i="13"/>
  <c r="J1693" i="13"/>
  <c r="J1694" i="13"/>
  <c r="J1695" i="13"/>
  <c r="J1696" i="13"/>
  <c r="J1697" i="13"/>
  <c r="J1698" i="13"/>
  <c r="J1699" i="13"/>
  <c r="J1700" i="13"/>
  <c r="J1701" i="13"/>
  <c r="J1702" i="13"/>
  <c r="J1703" i="13"/>
  <c r="J1704" i="13"/>
  <c r="J1705" i="13"/>
  <c r="J1706" i="13"/>
  <c r="J1707" i="13"/>
  <c r="J1708" i="13"/>
  <c r="J1709" i="13"/>
  <c r="J1710" i="13"/>
  <c r="J1711" i="13"/>
  <c r="J1712" i="13"/>
  <c r="J1713" i="13"/>
  <c r="J1714" i="13"/>
  <c r="J1715" i="13"/>
  <c r="J1716" i="13"/>
  <c r="J1717" i="13"/>
  <c r="J1718" i="13"/>
  <c r="J1719" i="13"/>
  <c r="J1720" i="13"/>
  <c r="J1721" i="13"/>
  <c r="J1722" i="13"/>
  <c r="J1723" i="13"/>
  <c r="J1724" i="13"/>
  <c r="J1725" i="13"/>
  <c r="J1726" i="13"/>
  <c r="J1727" i="13"/>
  <c r="J1728" i="13"/>
  <c r="J1729" i="13"/>
  <c r="J1730" i="13"/>
  <c r="J1731" i="13"/>
  <c r="J1732" i="13"/>
  <c r="J1733" i="13"/>
  <c r="J1734" i="13"/>
  <c r="J1735" i="13"/>
  <c r="J1736" i="13"/>
  <c r="J1737" i="13"/>
  <c r="J1738" i="13"/>
  <c r="J1739" i="13"/>
  <c r="J1740" i="13"/>
  <c r="J1741" i="13"/>
  <c r="J1742" i="13"/>
  <c r="J1743" i="13"/>
  <c r="J1744" i="13"/>
  <c r="J1745" i="13"/>
  <c r="J1746" i="13"/>
  <c r="J1747" i="13"/>
  <c r="J1748" i="13"/>
  <c r="J1749" i="13"/>
  <c r="J1750" i="13"/>
  <c r="J1751" i="13"/>
  <c r="J1752" i="13"/>
  <c r="J1753" i="13"/>
  <c r="J1754" i="13"/>
  <c r="J1755" i="13"/>
  <c r="J1756" i="13"/>
  <c r="J1757" i="13"/>
  <c r="J1758" i="13"/>
  <c r="J1759" i="13"/>
  <c r="J1760" i="13"/>
  <c r="J1761" i="13"/>
  <c r="J1762" i="13"/>
  <c r="J1763" i="13"/>
  <c r="J1764" i="13"/>
  <c r="J1765" i="13"/>
  <c r="J1766" i="13"/>
  <c r="J1767" i="13"/>
  <c r="J1768" i="13"/>
  <c r="J1769" i="13"/>
  <c r="J1770" i="13"/>
  <c r="J1771" i="13"/>
  <c r="J1772" i="13"/>
  <c r="J1773" i="13"/>
  <c r="J1774" i="13"/>
  <c r="J1775" i="13"/>
  <c r="J1776" i="13"/>
  <c r="J1777" i="13"/>
  <c r="J1778" i="13"/>
  <c r="J1779" i="13"/>
  <c r="J1780" i="13"/>
  <c r="J1781" i="13"/>
  <c r="J1782" i="13"/>
  <c r="J1783" i="13"/>
  <c r="J1784" i="13"/>
  <c r="J1785" i="13"/>
  <c r="J1786" i="13"/>
  <c r="J1787" i="13"/>
  <c r="J1788" i="13"/>
  <c r="J1789" i="13"/>
  <c r="J1790" i="13"/>
  <c r="J1791" i="13"/>
  <c r="J1792" i="13"/>
  <c r="J1793" i="13"/>
  <c r="J1794" i="13"/>
  <c r="J1795" i="13"/>
  <c r="J1796" i="13"/>
  <c r="J1797" i="13"/>
  <c r="J1798" i="13"/>
  <c r="J1799" i="13"/>
  <c r="J1800" i="13"/>
  <c r="J1801" i="13"/>
  <c r="J1802" i="13"/>
  <c r="J1803" i="13"/>
  <c r="J1804" i="13"/>
  <c r="J1805" i="13"/>
  <c r="J1806" i="13"/>
  <c r="J1807" i="13"/>
  <c r="J1808" i="13"/>
  <c r="J1809" i="13"/>
  <c r="J1810" i="13"/>
  <c r="J1811" i="13"/>
  <c r="J1812" i="13"/>
  <c r="J1813" i="13"/>
  <c r="J1814" i="13"/>
  <c r="J1815" i="13"/>
  <c r="J1816" i="13"/>
  <c r="J1817" i="13"/>
  <c r="J1818" i="13"/>
  <c r="J1819" i="13"/>
  <c r="J1820" i="13"/>
  <c r="J1821" i="13"/>
  <c r="J1822" i="13"/>
  <c r="J1823" i="13"/>
  <c r="J1824" i="13"/>
  <c r="J1825" i="13"/>
  <c r="J1826" i="13"/>
  <c r="J1827" i="13"/>
  <c r="J1828" i="13"/>
  <c r="J1829" i="13"/>
  <c r="J1830" i="13"/>
  <c r="J1831" i="13"/>
  <c r="J1832" i="13"/>
  <c r="J1833" i="13"/>
  <c r="J1834" i="13"/>
  <c r="J1835" i="13"/>
  <c r="J1836" i="13"/>
  <c r="J1837" i="13"/>
  <c r="J1838" i="13"/>
  <c r="J1839" i="13"/>
  <c r="J1840" i="13"/>
  <c r="J1841" i="13"/>
  <c r="J1842" i="13"/>
  <c r="J1843" i="13"/>
  <c r="J1844" i="13"/>
  <c r="J1845" i="13"/>
  <c r="J1846" i="13"/>
  <c r="J1847" i="13"/>
  <c r="J1848" i="13"/>
  <c r="J1849" i="13"/>
  <c r="J1850" i="13"/>
  <c r="J1851" i="13"/>
  <c r="J1852" i="13"/>
  <c r="J1853" i="13"/>
  <c r="J1854" i="13"/>
  <c r="J1855" i="13"/>
  <c r="J1856" i="13"/>
  <c r="J1857" i="13"/>
  <c r="J1858" i="13"/>
  <c r="J1859" i="13"/>
  <c r="J1860" i="13"/>
  <c r="J1861" i="13"/>
  <c r="J1862" i="13"/>
  <c r="J1863" i="13"/>
  <c r="J1864" i="13"/>
  <c r="J1865" i="13"/>
  <c r="J1866" i="13"/>
  <c r="J1867" i="13"/>
  <c r="J1868" i="13"/>
  <c r="J1869" i="13"/>
  <c r="J1870" i="13"/>
  <c r="J1871" i="13"/>
  <c r="J1872" i="13"/>
  <c r="J1873" i="13"/>
  <c r="J1874" i="13"/>
  <c r="J1875" i="13"/>
  <c r="J1876" i="13"/>
  <c r="J1877" i="13"/>
  <c r="J1878" i="13"/>
  <c r="J1879" i="13"/>
  <c r="J1880" i="13"/>
  <c r="J1881" i="13"/>
  <c r="J1882" i="13"/>
  <c r="J1883" i="13"/>
  <c r="J1884" i="13"/>
  <c r="J1885" i="13"/>
  <c r="J1886" i="13"/>
  <c r="J1887" i="13"/>
  <c r="J1888" i="13"/>
  <c r="J1889" i="13"/>
  <c r="J1890" i="13"/>
  <c r="J1891" i="13"/>
  <c r="J1892" i="13"/>
  <c r="J1893" i="13"/>
  <c r="J1894" i="13"/>
  <c r="J1895" i="13"/>
  <c r="J1896" i="13"/>
  <c r="J1897" i="13"/>
  <c r="J1898" i="13"/>
  <c r="J1899" i="13"/>
  <c r="J1900" i="13"/>
  <c r="J1901" i="13"/>
  <c r="J1902" i="13"/>
  <c r="J1903" i="13"/>
  <c r="J1904" i="13"/>
  <c r="J1905" i="13"/>
  <c r="J1906" i="13"/>
  <c r="J1907" i="13"/>
  <c r="J1908" i="13"/>
  <c r="J1909" i="13"/>
  <c r="J1910" i="13"/>
  <c r="J1911" i="13"/>
  <c r="J1912" i="13"/>
  <c r="J1913" i="13"/>
  <c r="J1914" i="13"/>
  <c r="J1915" i="13"/>
  <c r="J1916" i="13"/>
  <c r="J1917" i="13"/>
  <c r="J1918" i="13"/>
  <c r="J1919" i="13"/>
  <c r="J1920" i="13"/>
  <c r="J1921" i="13"/>
  <c r="J1922" i="13"/>
  <c r="J1923" i="13"/>
  <c r="J1924" i="13"/>
  <c r="J1925" i="13"/>
  <c r="J1926" i="13"/>
  <c r="J1927" i="13"/>
  <c r="J1928" i="13"/>
  <c r="J1929" i="13"/>
  <c r="J1930" i="13"/>
  <c r="J1931" i="13"/>
  <c r="J1932" i="13"/>
  <c r="J1933" i="13"/>
  <c r="J1934" i="13"/>
  <c r="J1935" i="13"/>
  <c r="J1936" i="13"/>
  <c r="J1937" i="13"/>
  <c r="J1938" i="13"/>
  <c r="J1939" i="13"/>
  <c r="J1940" i="13"/>
  <c r="J1941" i="13"/>
  <c r="J1942" i="13"/>
  <c r="J1943" i="13"/>
  <c r="J1944" i="13"/>
  <c r="J1945" i="13"/>
  <c r="J1946" i="13"/>
  <c r="J1947" i="13"/>
  <c r="J1948" i="13"/>
  <c r="J1949" i="13"/>
  <c r="J1950" i="13"/>
  <c r="J1951" i="13"/>
  <c r="J1952" i="13"/>
  <c r="J1953" i="13"/>
  <c r="J1954" i="13"/>
  <c r="J1955" i="13"/>
  <c r="J1956" i="13"/>
  <c r="J1957" i="13"/>
  <c r="J1958" i="13"/>
  <c r="J1959" i="13"/>
  <c r="J1960" i="13"/>
  <c r="J1961" i="13"/>
  <c r="J1962" i="13"/>
  <c r="J1963" i="13"/>
  <c r="J1964" i="13"/>
  <c r="J1965" i="13"/>
  <c r="J1966" i="13"/>
  <c r="J1967" i="13"/>
  <c r="J1968" i="13"/>
  <c r="J1969" i="13"/>
  <c r="J1970" i="13"/>
  <c r="J1971" i="13"/>
  <c r="J1972" i="13"/>
  <c r="J1973" i="13"/>
  <c r="J1974" i="13"/>
  <c r="J1975" i="13"/>
  <c r="J1976" i="13"/>
  <c r="J1977" i="13"/>
  <c r="J1978" i="13"/>
  <c r="J1979" i="13"/>
  <c r="J1980" i="13"/>
  <c r="J1981" i="13"/>
  <c r="J1982" i="13"/>
  <c r="J1983" i="13"/>
  <c r="J1984" i="13"/>
  <c r="J1985" i="13"/>
  <c r="J1986" i="13"/>
  <c r="J1987" i="13"/>
  <c r="J1988" i="13"/>
  <c r="J1989" i="13"/>
  <c r="J1990" i="13"/>
  <c r="J1991" i="13"/>
  <c r="J1992" i="13"/>
  <c r="J1993" i="13"/>
  <c r="J1994" i="13"/>
  <c r="J1995" i="13"/>
  <c r="J1996" i="13"/>
  <c r="J1997" i="13"/>
  <c r="J1998" i="13"/>
  <c r="J1999" i="13"/>
  <c r="J2000" i="13"/>
  <c r="J2001" i="13"/>
  <c r="J2002" i="13"/>
  <c r="J2003" i="13"/>
  <c r="J2004" i="13"/>
  <c r="J2005" i="13"/>
  <c r="J2006" i="13"/>
  <c r="J2007" i="13"/>
  <c r="J2008" i="13"/>
  <c r="J2009" i="13"/>
  <c r="J2010" i="13"/>
  <c r="J2011" i="13"/>
  <c r="J2012" i="13"/>
  <c r="J2013" i="13"/>
  <c r="J2014" i="13"/>
  <c r="J2015" i="13"/>
  <c r="J2016" i="13"/>
  <c r="J2017" i="13"/>
  <c r="J2018" i="13"/>
  <c r="J2019" i="13"/>
  <c r="J2020" i="13"/>
  <c r="J2021" i="13"/>
  <c r="J2022" i="13"/>
  <c r="J2023" i="13"/>
  <c r="J2024" i="13"/>
  <c r="J2025" i="13"/>
  <c r="J2026" i="13"/>
  <c r="J2027" i="13"/>
  <c r="J2028" i="13"/>
  <c r="J2029" i="13"/>
  <c r="J2030" i="13"/>
  <c r="J2031" i="13"/>
  <c r="J2032" i="13"/>
  <c r="J2033" i="13"/>
  <c r="J2034" i="13"/>
  <c r="J2035" i="13"/>
  <c r="J2036" i="13"/>
  <c r="J2037" i="13"/>
  <c r="J2038" i="13"/>
  <c r="J2039" i="13"/>
  <c r="J2040" i="13"/>
  <c r="J2041" i="13"/>
  <c r="J2042" i="13"/>
  <c r="J2043" i="13"/>
  <c r="J2044" i="13"/>
  <c r="J2045" i="13"/>
  <c r="J2046" i="13"/>
  <c r="J2047" i="13"/>
  <c r="J2048" i="13"/>
  <c r="J2049" i="13"/>
  <c r="J2050" i="13"/>
  <c r="J2051" i="13"/>
  <c r="J2052" i="13"/>
  <c r="J2053" i="13"/>
  <c r="J2054" i="13"/>
  <c r="J2055" i="13"/>
  <c r="J2056" i="13"/>
  <c r="J2057" i="13"/>
  <c r="J2058" i="13"/>
  <c r="J2059" i="13"/>
  <c r="J2060" i="13"/>
  <c r="J2061" i="13"/>
  <c r="J2062" i="13"/>
  <c r="J2063" i="13"/>
  <c r="J2064" i="13"/>
  <c r="J2065" i="13"/>
  <c r="J2066" i="13"/>
  <c r="J2067" i="13"/>
  <c r="J2068" i="13"/>
  <c r="J2069" i="13"/>
  <c r="J2070" i="13"/>
  <c r="J2071" i="13"/>
  <c r="J2072" i="13"/>
  <c r="J2073" i="13"/>
  <c r="J2074" i="13"/>
  <c r="J2075" i="13"/>
  <c r="J2076" i="13"/>
  <c r="J2077" i="13"/>
  <c r="J2078" i="13"/>
  <c r="J2079" i="13"/>
  <c r="J2080" i="13"/>
  <c r="J2081" i="13"/>
  <c r="J2082" i="13"/>
  <c r="J2083" i="13"/>
  <c r="J2084" i="13"/>
  <c r="J2085" i="13"/>
  <c r="J2086" i="13"/>
  <c r="J2087" i="13"/>
  <c r="J2088" i="13"/>
  <c r="J2089" i="13"/>
  <c r="J2090" i="13"/>
  <c r="J2091" i="13"/>
  <c r="J2092" i="13"/>
  <c r="J2093" i="13"/>
  <c r="J2094" i="13"/>
  <c r="J2095" i="13"/>
  <c r="J2096" i="13"/>
  <c r="J2097" i="13"/>
  <c r="J2098" i="13"/>
  <c r="J2099" i="13"/>
  <c r="J2100" i="13"/>
  <c r="J2101" i="13"/>
  <c r="J2102" i="13"/>
  <c r="J2103" i="13"/>
  <c r="J2104" i="13"/>
  <c r="J2105" i="13"/>
  <c r="J2106" i="13"/>
  <c r="J2107" i="13"/>
  <c r="J2108" i="13"/>
  <c r="J2109" i="13"/>
  <c r="J2110" i="13"/>
  <c r="J2111" i="13"/>
  <c r="J2112" i="13"/>
  <c r="J2113" i="13"/>
  <c r="J2114" i="13"/>
  <c r="J2115" i="13"/>
  <c r="J2116" i="13"/>
  <c r="J2117" i="13"/>
  <c r="J2118" i="13"/>
  <c r="J2119" i="13"/>
  <c r="J2120" i="13"/>
  <c r="J2121" i="13"/>
  <c r="J2122" i="13"/>
  <c r="J2123" i="13"/>
  <c r="J2124" i="13"/>
  <c r="J2125" i="13"/>
  <c r="J2126" i="13"/>
  <c r="J2127" i="13"/>
  <c r="J2128" i="13"/>
  <c r="J2129" i="13"/>
  <c r="J2130" i="13"/>
  <c r="J2131" i="13"/>
  <c r="J2132" i="13"/>
  <c r="J2133" i="13"/>
  <c r="J2134" i="13"/>
  <c r="J2135" i="13"/>
  <c r="J2136" i="13"/>
  <c r="J2137" i="13"/>
  <c r="J2138" i="13"/>
  <c r="J2139" i="13"/>
  <c r="J2140" i="13"/>
  <c r="J2141" i="13"/>
  <c r="J2142" i="13"/>
  <c r="J2143" i="13"/>
  <c r="J2144" i="13"/>
  <c r="J2145" i="13"/>
  <c r="J2146" i="13"/>
  <c r="J2147" i="13"/>
  <c r="J2148" i="13"/>
  <c r="J2149" i="13"/>
  <c r="J2150" i="13"/>
  <c r="J2151" i="13"/>
  <c r="J2152" i="13"/>
  <c r="J2153" i="13"/>
  <c r="J2154" i="13"/>
  <c r="J2155" i="13"/>
  <c r="J2156" i="13"/>
  <c r="J2157" i="13"/>
  <c r="J2158" i="13"/>
  <c r="J2159" i="13"/>
  <c r="J2160" i="13"/>
  <c r="J2161" i="13"/>
  <c r="J2162" i="13"/>
  <c r="J2163" i="13"/>
  <c r="J2164" i="13"/>
  <c r="J2165" i="13"/>
  <c r="J2166" i="13"/>
  <c r="J2167" i="13"/>
  <c r="J2168" i="13"/>
  <c r="J2169" i="13"/>
  <c r="J2170" i="13"/>
  <c r="J2171" i="13"/>
  <c r="J2172" i="13"/>
  <c r="J2173" i="13"/>
  <c r="J2174" i="13"/>
  <c r="J2175" i="13"/>
  <c r="J2176" i="13"/>
  <c r="J2177" i="13"/>
  <c r="J2178" i="13"/>
  <c r="J2179" i="13"/>
  <c r="J2180" i="13"/>
  <c r="J2181" i="13"/>
  <c r="J2182" i="13"/>
  <c r="J2183" i="13"/>
  <c r="J2184" i="13"/>
  <c r="J2185" i="13"/>
  <c r="J2186" i="13"/>
  <c r="J2187" i="13"/>
  <c r="J2188" i="13"/>
  <c r="J2189" i="13"/>
  <c r="J2190" i="13"/>
  <c r="J2191" i="13"/>
  <c r="J2192" i="13"/>
  <c r="J2193" i="13"/>
  <c r="J2194" i="13"/>
  <c r="J2195" i="13"/>
  <c r="J2196" i="13"/>
  <c r="J2197" i="13"/>
  <c r="J2198" i="13"/>
  <c r="J2199" i="13"/>
  <c r="J2200" i="13"/>
  <c r="J2201" i="13"/>
  <c r="J2202" i="13"/>
  <c r="J2203" i="13"/>
  <c r="J2204" i="13"/>
  <c r="J2205" i="13"/>
  <c r="J2206" i="13"/>
  <c r="J2207" i="13"/>
  <c r="J2208" i="13"/>
  <c r="J2209" i="13"/>
  <c r="J2210" i="13"/>
  <c r="J2211" i="13"/>
  <c r="J2212" i="13"/>
  <c r="J2213" i="13"/>
  <c r="J2214" i="13"/>
  <c r="J2215" i="13"/>
  <c r="J2216" i="13"/>
  <c r="J2217" i="13"/>
  <c r="J2218" i="13"/>
  <c r="J2219" i="13"/>
  <c r="J2220" i="13"/>
  <c r="J2221" i="13"/>
  <c r="J2222" i="13"/>
  <c r="J2223" i="13"/>
  <c r="J2224" i="13"/>
  <c r="J2225" i="13"/>
  <c r="J2226" i="13"/>
  <c r="J2227" i="13"/>
  <c r="J2228" i="13"/>
  <c r="J2229" i="13"/>
  <c r="J2230" i="13"/>
  <c r="J2231" i="13"/>
  <c r="J2232" i="13"/>
  <c r="J2233" i="13"/>
  <c r="J2234" i="13"/>
  <c r="J2235" i="13"/>
  <c r="J2236" i="13"/>
  <c r="J2237" i="13"/>
  <c r="J2238" i="13"/>
  <c r="J2239" i="13"/>
  <c r="J2240" i="13"/>
  <c r="J2241" i="13"/>
  <c r="J2242" i="13"/>
  <c r="J2243" i="13"/>
  <c r="J2244" i="13"/>
  <c r="J2245" i="13"/>
  <c r="J2246" i="13"/>
  <c r="J2247" i="13"/>
  <c r="J2248" i="13"/>
  <c r="J2249" i="13"/>
  <c r="J2250" i="13"/>
  <c r="J2251" i="13"/>
  <c r="J2252" i="13"/>
  <c r="J2253" i="13"/>
  <c r="J2254" i="13"/>
  <c r="J2255" i="13"/>
  <c r="J2256" i="13"/>
  <c r="J2257" i="13"/>
  <c r="J2258" i="13"/>
  <c r="J2259" i="13"/>
  <c r="J2260" i="13"/>
  <c r="J2261" i="13"/>
  <c r="J2262" i="13"/>
  <c r="J2263" i="13"/>
  <c r="J2264" i="13"/>
  <c r="J2265" i="13"/>
  <c r="J2266" i="13"/>
  <c r="J2267" i="13"/>
  <c r="J2268" i="13"/>
  <c r="J2269" i="13"/>
  <c r="J2270" i="13"/>
  <c r="J2271" i="13"/>
  <c r="J2272" i="13"/>
  <c r="J2273" i="13"/>
  <c r="J2274" i="13"/>
  <c r="J2275" i="13"/>
  <c r="J2276" i="13"/>
  <c r="J2277" i="13"/>
  <c r="J2278" i="13"/>
  <c r="J2279" i="13"/>
  <c r="J2280" i="13"/>
  <c r="J2281" i="13"/>
  <c r="J2282" i="13"/>
  <c r="J2283" i="13"/>
  <c r="J2284" i="13"/>
  <c r="J2285" i="13"/>
  <c r="J2286" i="13"/>
  <c r="J2287" i="13"/>
  <c r="J2288" i="13"/>
  <c r="J2289" i="13"/>
  <c r="J2290" i="13"/>
  <c r="J2291" i="13"/>
  <c r="J2292" i="13"/>
  <c r="J2293" i="13"/>
  <c r="J2294" i="13"/>
  <c r="J2295" i="13"/>
  <c r="J2296" i="13"/>
  <c r="J2297" i="13"/>
  <c r="J2298" i="13"/>
  <c r="J2299" i="13"/>
  <c r="J2300" i="13"/>
  <c r="J2301" i="13"/>
  <c r="J2302" i="13"/>
  <c r="J2303" i="13"/>
  <c r="J2304" i="13"/>
  <c r="J2305" i="13"/>
  <c r="J2306" i="13"/>
  <c r="J2307" i="13"/>
  <c r="J2308" i="13"/>
  <c r="J2309" i="13"/>
  <c r="J2310" i="13"/>
  <c r="J2311" i="13"/>
  <c r="J2312" i="13"/>
  <c r="J2313" i="13"/>
  <c r="J2314" i="13"/>
  <c r="J2315" i="13"/>
  <c r="J2316" i="13"/>
  <c r="J2317" i="13"/>
  <c r="J2318" i="13"/>
  <c r="J2319" i="13"/>
  <c r="J2320" i="13"/>
  <c r="J2321" i="13"/>
  <c r="J2322" i="13"/>
  <c r="J2323" i="13"/>
  <c r="J2324" i="13"/>
  <c r="J2325" i="13"/>
  <c r="J2326" i="13"/>
  <c r="J2327" i="13"/>
  <c r="J2328" i="13"/>
  <c r="J2329" i="13"/>
  <c r="J2330" i="13"/>
  <c r="J2331" i="13"/>
  <c r="J2332" i="13"/>
  <c r="J2333" i="13"/>
  <c r="J2334" i="13"/>
  <c r="J2335" i="13"/>
  <c r="J2336" i="13"/>
  <c r="J2337" i="13"/>
  <c r="J2338" i="13"/>
  <c r="J2339" i="13"/>
  <c r="J2340" i="13"/>
  <c r="J2341" i="13"/>
  <c r="J2342" i="13"/>
  <c r="J2343" i="13"/>
  <c r="J2344" i="13"/>
  <c r="J2345" i="13"/>
  <c r="J2346" i="13"/>
  <c r="J2347" i="13"/>
  <c r="J2348" i="13"/>
  <c r="J2349" i="13"/>
  <c r="J2350" i="13"/>
  <c r="J2351" i="13"/>
  <c r="J2352" i="13"/>
  <c r="J2353" i="13"/>
  <c r="J2354" i="13"/>
  <c r="J2355" i="13"/>
  <c r="J2356" i="13"/>
  <c r="J2357" i="13"/>
  <c r="J2358" i="13"/>
  <c r="J2359" i="13"/>
  <c r="J2360" i="13"/>
  <c r="J2361" i="13"/>
  <c r="J2362" i="13"/>
  <c r="J2363" i="13"/>
  <c r="J2364" i="13"/>
  <c r="J2365" i="13"/>
  <c r="J2366" i="13"/>
  <c r="J2367" i="13"/>
  <c r="J2368" i="13"/>
  <c r="J2369" i="13"/>
  <c r="J2370" i="13"/>
  <c r="J2371" i="13"/>
  <c r="J2372" i="13"/>
  <c r="J2373" i="13"/>
  <c r="J2374" i="13"/>
  <c r="J2375" i="13"/>
  <c r="J2376" i="13"/>
  <c r="J2377" i="13"/>
  <c r="J2378" i="13"/>
  <c r="J2379" i="13"/>
  <c r="J2380" i="13"/>
  <c r="J2381" i="13"/>
  <c r="J2382" i="13"/>
  <c r="J2383" i="13"/>
  <c r="J2384" i="13"/>
  <c r="J2385" i="13"/>
  <c r="J2386" i="13"/>
  <c r="J2387" i="13"/>
  <c r="J2388" i="13"/>
  <c r="J2389" i="13"/>
  <c r="J2390" i="13"/>
  <c r="J2391" i="13"/>
  <c r="J2392" i="13"/>
  <c r="J2393" i="13"/>
  <c r="J2394" i="13"/>
  <c r="J2395" i="13"/>
  <c r="J2396" i="13"/>
  <c r="J2397" i="13"/>
  <c r="J2398" i="13"/>
  <c r="J2399" i="13"/>
  <c r="J2400" i="13"/>
  <c r="J2401" i="13"/>
  <c r="J2402" i="13"/>
  <c r="J2403" i="13"/>
  <c r="J2404" i="13"/>
  <c r="J2405" i="13"/>
  <c r="J2406" i="13"/>
  <c r="J2407" i="13"/>
  <c r="J2408" i="13"/>
  <c r="J2409" i="13"/>
  <c r="J2410" i="13"/>
  <c r="J2411" i="13"/>
  <c r="J2412" i="13"/>
  <c r="J2413" i="13"/>
  <c r="J2414" i="13"/>
  <c r="J2415" i="13"/>
  <c r="J2416" i="13"/>
  <c r="J2417" i="13"/>
  <c r="J2418" i="13"/>
  <c r="J2419" i="13"/>
  <c r="J2420" i="13"/>
  <c r="J2421" i="13"/>
  <c r="J2422" i="13"/>
  <c r="J2423" i="13"/>
  <c r="J2424" i="13"/>
  <c r="J2425" i="13"/>
  <c r="J2426" i="13"/>
  <c r="J2427" i="13"/>
  <c r="J2428" i="13"/>
  <c r="J2429" i="13"/>
  <c r="J2430" i="13"/>
  <c r="J2431" i="13"/>
  <c r="J2432" i="13"/>
  <c r="J2433" i="13"/>
  <c r="J2434" i="13"/>
  <c r="J2435" i="13"/>
  <c r="J2436" i="13"/>
  <c r="J2437" i="13"/>
  <c r="J2438" i="13"/>
  <c r="J2439" i="13"/>
  <c r="J2440" i="13"/>
  <c r="J2441" i="13"/>
  <c r="J2442" i="13"/>
  <c r="J2443" i="13"/>
  <c r="J2444" i="13"/>
  <c r="J2445" i="13"/>
  <c r="J2446" i="13"/>
  <c r="J2447" i="13"/>
  <c r="J2448" i="13"/>
  <c r="J2449" i="13"/>
  <c r="J2450" i="13"/>
  <c r="J2451" i="13"/>
  <c r="J2452" i="13"/>
  <c r="J2453" i="13"/>
  <c r="J2454" i="13"/>
  <c r="J2455" i="13"/>
  <c r="J2456" i="13"/>
  <c r="J2457" i="13"/>
  <c r="J2458" i="13"/>
  <c r="J2459" i="13"/>
  <c r="J2460" i="13"/>
  <c r="J2461" i="13"/>
  <c r="J2462" i="13"/>
  <c r="J2463" i="13"/>
  <c r="J2464" i="13"/>
  <c r="J2465" i="13"/>
  <c r="J2466" i="13"/>
  <c r="J2467" i="13"/>
  <c r="J2468" i="13"/>
  <c r="J2469" i="13"/>
  <c r="J2470" i="13"/>
  <c r="J2471" i="13"/>
  <c r="J2472" i="13"/>
  <c r="J2473" i="13"/>
  <c r="J2474" i="13"/>
  <c r="J2475" i="13"/>
  <c r="J2476" i="13"/>
  <c r="J2477" i="13"/>
  <c r="J2478" i="13"/>
  <c r="J2479" i="13"/>
  <c r="J2480" i="13"/>
  <c r="J2481" i="13"/>
  <c r="J2482" i="13"/>
  <c r="J2483" i="13"/>
  <c r="J2484" i="13"/>
  <c r="J2485" i="13"/>
  <c r="J2486" i="13"/>
  <c r="J2487" i="13"/>
  <c r="J2488" i="13"/>
  <c r="J2489" i="13"/>
  <c r="J2490" i="13"/>
  <c r="J2491" i="13"/>
  <c r="J2492" i="13"/>
  <c r="J2493" i="13"/>
  <c r="J2494" i="13"/>
  <c r="J2495" i="13"/>
  <c r="J2496" i="13"/>
  <c r="J2497" i="13"/>
  <c r="J2498" i="13"/>
  <c r="J2499" i="13"/>
  <c r="J2500" i="13"/>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188" i="13"/>
  <c r="L189" i="13"/>
  <c r="L190" i="13"/>
  <c r="L191" i="13"/>
  <c r="L192" i="13"/>
  <c r="L193" i="13"/>
  <c r="L194" i="13"/>
  <c r="L195" i="13"/>
  <c r="L196" i="13"/>
  <c r="L197" i="13"/>
  <c r="L198" i="13"/>
  <c r="L199" i="13"/>
  <c r="L200" i="13"/>
  <c r="L201" i="13"/>
  <c r="L202" i="13"/>
  <c r="L203" i="13"/>
  <c r="L204" i="13"/>
  <c r="L205" i="13"/>
  <c r="L206" i="13"/>
  <c r="L207" i="13"/>
  <c r="L208" i="13"/>
  <c r="L209" i="13"/>
  <c r="L210" i="13"/>
  <c r="L211" i="13"/>
  <c r="L212" i="13"/>
  <c r="L213" i="13"/>
  <c r="L214" i="13"/>
  <c r="L215" i="13"/>
  <c r="L216" i="13"/>
  <c r="L217" i="13"/>
  <c r="L218" i="13"/>
  <c r="L219" i="13"/>
  <c r="L220" i="13"/>
  <c r="L221" i="13"/>
  <c r="L222" i="13"/>
  <c r="L223" i="13"/>
  <c r="L224" i="13"/>
  <c r="L225" i="13"/>
  <c r="L226" i="13"/>
  <c r="L227" i="13"/>
  <c r="L228" i="13"/>
  <c r="L229" i="13"/>
  <c r="L230" i="13"/>
  <c r="L231" i="13"/>
  <c r="L232" i="13"/>
  <c r="L233" i="13"/>
  <c r="L234" i="13"/>
  <c r="L235" i="13"/>
  <c r="L236" i="13"/>
  <c r="L237" i="13"/>
  <c r="L238" i="13"/>
  <c r="L239" i="13"/>
  <c r="L240" i="13"/>
  <c r="L241" i="13"/>
  <c r="L242" i="13"/>
  <c r="L243" i="13"/>
  <c r="L244" i="13"/>
  <c r="L245" i="13"/>
  <c r="L246" i="13"/>
  <c r="L247" i="13"/>
  <c r="L248" i="13"/>
  <c r="L249" i="13"/>
  <c r="L250" i="13"/>
  <c r="L251" i="13"/>
  <c r="L252" i="13"/>
  <c r="L253" i="13"/>
  <c r="L254" i="13"/>
  <c r="L255" i="13"/>
  <c r="L256" i="13"/>
  <c r="L257" i="13"/>
  <c r="L258" i="13"/>
  <c r="L259" i="13"/>
  <c r="L260" i="13"/>
  <c r="L261" i="13"/>
  <c r="L262" i="13"/>
  <c r="L263" i="13"/>
  <c r="L264" i="13"/>
  <c r="L265" i="13"/>
  <c r="L266" i="13"/>
  <c r="L267" i="13"/>
  <c r="L268" i="13"/>
  <c r="L269" i="13"/>
  <c r="L270" i="13"/>
  <c r="L271" i="13"/>
  <c r="L272" i="13"/>
  <c r="L273" i="13"/>
  <c r="L274" i="13"/>
  <c r="L275" i="13"/>
  <c r="L276" i="13"/>
  <c r="L277" i="13"/>
  <c r="L278" i="13"/>
  <c r="L279" i="13"/>
  <c r="L280" i="13"/>
  <c r="L281" i="13"/>
  <c r="L282" i="13"/>
  <c r="L283" i="13"/>
  <c r="L284" i="13"/>
  <c r="L285" i="13"/>
  <c r="L286" i="13"/>
  <c r="L287" i="13"/>
  <c r="L288" i="13"/>
  <c r="L289" i="13"/>
  <c r="L290" i="13"/>
  <c r="L291" i="13"/>
  <c r="L292" i="13"/>
  <c r="L293" i="13"/>
  <c r="L294" i="13"/>
  <c r="L295" i="13"/>
  <c r="L296" i="13"/>
  <c r="L297" i="13"/>
  <c r="L298" i="13"/>
  <c r="L299" i="13"/>
  <c r="L300" i="13"/>
  <c r="L301" i="13"/>
  <c r="L302" i="13"/>
  <c r="L303" i="13"/>
  <c r="L304" i="13"/>
  <c r="L305" i="13"/>
  <c r="L306" i="13"/>
  <c r="L307" i="13"/>
  <c r="L308" i="13"/>
  <c r="L309" i="13"/>
  <c r="L310" i="13"/>
  <c r="L311" i="13"/>
  <c r="L312" i="13"/>
  <c r="L313" i="13"/>
  <c r="L314" i="13"/>
  <c r="L315" i="13"/>
  <c r="L316" i="13"/>
  <c r="L317" i="13"/>
  <c r="L318" i="13"/>
  <c r="L319" i="13"/>
  <c r="L320" i="13"/>
  <c r="L321" i="13"/>
  <c r="L322" i="13"/>
  <c r="L323" i="13"/>
  <c r="L324" i="13"/>
  <c r="L325" i="13"/>
  <c r="L326" i="13"/>
  <c r="L327" i="13"/>
  <c r="L328" i="13"/>
  <c r="L329" i="13"/>
  <c r="L330" i="13"/>
  <c r="L331" i="13"/>
  <c r="L332" i="13"/>
  <c r="L333" i="13"/>
  <c r="L334" i="13"/>
  <c r="L335" i="13"/>
  <c r="L336" i="13"/>
  <c r="L337" i="13"/>
  <c r="L338" i="13"/>
  <c r="L339" i="13"/>
  <c r="L340" i="13"/>
  <c r="L341" i="13"/>
  <c r="L342" i="13"/>
  <c r="L343" i="13"/>
  <c r="L344" i="13"/>
  <c r="L345" i="13"/>
  <c r="L346" i="13"/>
  <c r="L347" i="13"/>
  <c r="L348" i="13"/>
  <c r="L349" i="13"/>
  <c r="L350" i="13"/>
  <c r="L351" i="13"/>
  <c r="L352" i="13"/>
  <c r="L353" i="13"/>
  <c r="L354" i="13"/>
  <c r="L355" i="13"/>
  <c r="L356" i="13"/>
  <c r="L357" i="13"/>
  <c r="L358" i="13"/>
  <c r="L359" i="13"/>
  <c r="L360" i="13"/>
  <c r="L361" i="13"/>
  <c r="L362" i="13"/>
  <c r="L363" i="13"/>
  <c r="L364" i="13"/>
  <c r="L365" i="13"/>
  <c r="L366" i="13"/>
  <c r="L367" i="13"/>
  <c r="L368" i="13"/>
  <c r="L369" i="13"/>
  <c r="L370" i="13"/>
  <c r="L371" i="13"/>
  <c r="L372" i="13"/>
  <c r="L373" i="13"/>
  <c r="L374" i="13"/>
  <c r="L375" i="13"/>
  <c r="L376" i="13"/>
  <c r="L377" i="13"/>
  <c r="L378" i="13"/>
  <c r="L379" i="13"/>
  <c r="L380" i="13"/>
  <c r="L381" i="13"/>
  <c r="L382" i="13"/>
  <c r="L383" i="13"/>
  <c r="L384" i="13"/>
  <c r="L385" i="13"/>
  <c r="L386" i="13"/>
  <c r="L387" i="13"/>
  <c r="L388" i="13"/>
  <c r="L389" i="13"/>
  <c r="L390" i="13"/>
  <c r="L391" i="13"/>
  <c r="L392" i="13"/>
  <c r="L393" i="13"/>
  <c r="L394" i="13"/>
  <c r="L395" i="13"/>
  <c r="L396" i="13"/>
  <c r="L397" i="13"/>
  <c r="L398" i="13"/>
  <c r="L399" i="13"/>
  <c r="L400" i="13"/>
  <c r="L401" i="13"/>
  <c r="L402" i="13"/>
  <c r="L403" i="13"/>
  <c r="L404" i="13"/>
  <c r="L405" i="13"/>
  <c r="L406" i="13"/>
  <c r="L407" i="13"/>
  <c r="L408" i="13"/>
  <c r="L409" i="13"/>
  <c r="L410" i="13"/>
  <c r="L411" i="13"/>
  <c r="L412" i="13"/>
  <c r="L413" i="13"/>
  <c r="L414" i="13"/>
  <c r="L415" i="13"/>
  <c r="L416" i="13"/>
  <c r="L417" i="13"/>
  <c r="L418" i="13"/>
  <c r="L419" i="13"/>
  <c r="L420" i="13"/>
  <c r="L421" i="13"/>
  <c r="L422" i="13"/>
  <c r="L423" i="13"/>
  <c r="L424" i="13"/>
  <c r="L425" i="13"/>
  <c r="L426" i="13"/>
  <c r="L427" i="13"/>
  <c r="L428" i="13"/>
  <c r="L429" i="13"/>
  <c r="L430" i="13"/>
  <c r="L431" i="13"/>
  <c r="L432" i="13"/>
  <c r="L433" i="13"/>
  <c r="L434" i="13"/>
  <c r="L435" i="13"/>
  <c r="L436" i="13"/>
  <c r="L437" i="13"/>
  <c r="L438" i="13"/>
  <c r="L439" i="13"/>
  <c r="L440" i="13"/>
  <c r="L441" i="13"/>
  <c r="L442" i="13"/>
  <c r="L443" i="13"/>
  <c r="L444" i="13"/>
  <c r="L445" i="13"/>
  <c r="L446" i="13"/>
  <c r="L447" i="13"/>
  <c r="L448" i="13"/>
  <c r="L449" i="13"/>
  <c r="L450" i="13"/>
  <c r="L451" i="13"/>
  <c r="L452" i="13"/>
  <c r="L453" i="13"/>
  <c r="L454" i="13"/>
  <c r="L455" i="13"/>
  <c r="L456" i="13"/>
  <c r="L457" i="13"/>
  <c r="L458" i="13"/>
  <c r="L459" i="13"/>
  <c r="L460" i="13"/>
  <c r="L461" i="13"/>
  <c r="L462" i="13"/>
  <c r="L463" i="13"/>
  <c r="L464" i="13"/>
  <c r="L465" i="13"/>
  <c r="L466" i="13"/>
  <c r="L467" i="13"/>
  <c r="L468" i="13"/>
  <c r="L469" i="13"/>
  <c r="L470" i="13"/>
  <c r="L471" i="13"/>
  <c r="L472" i="13"/>
  <c r="L473" i="13"/>
  <c r="L474" i="13"/>
  <c r="L475" i="13"/>
  <c r="L476" i="13"/>
  <c r="L477" i="13"/>
  <c r="L478" i="13"/>
  <c r="L479" i="13"/>
  <c r="L480" i="13"/>
  <c r="L481" i="13"/>
  <c r="L482" i="13"/>
  <c r="L483" i="13"/>
  <c r="L484" i="13"/>
  <c r="L485" i="13"/>
  <c r="L486" i="13"/>
  <c r="L487" i="13"/>
  <c r="L488" i="13"/>
  <c r="L489" i="13"/>
  <c r="L490" i="13"/>
  <c r="L491" i="13"/>
  <c r="L492" i="13"/>
  <c r="L493" i="13"/>
  <c r="L494" i="13"/>
  <c r="L495" i="13"/>
  <c r="L496" i="13"/>
  <c r="L497" i="13"/>
  <c r="L498" i="13"/>
  <c r="L499" i="13"/>
  <c r="L500" i="13"/>
  <c r="L501" i="13"/>
  <c r="L502" i="13"/>
  <c r="L503" i="13"/>
  <c r="L504" i="13"/>
  <c r="L505" i="13"/>
  <c r="L506" i="13"/>
  <c r="L507" i="13"/>
  <c r="L508" i="13"/>
  <c r="L509" i="13"/>
  <c r="L510" i="13"/>
  <c r="L511" i="13"/>
  <c r="L512" i="13"/>
  <c r="L513" i="13"/>
  <c r="L514" i="13"/>
  <c r="L515" i="13"/>
  <c r="L516" i="13"/>
  <c r="L517" i="13"/>
  <c r="L518" i="13"/>
  <c r="L519" i="13"/>
  <c r="L520" i="13"/>
  <c r="L521" i="13"/>
  <c r="L522" i="13"/>
  <c r="L523" i="13"/>
  <c r="L524" i="13"/>
  <c r="L525" i="13"/>
  <c r="L526" i="13"/>
  <c r="L527" i="13"/>
  <c r="L528" i="13"/>
  <c r="L529" i="13"/>
  <c r="L530" i="13"/>
  <c r="L531" i="13"/>
  <c r="L532" i="13"/>
  <c r="L533" i="13"/>
  <c r="L534" i="13"/>
  <c r="L535" i="13"/>
  <c r="L536" i="13"/>
  <c r="L537" i="13"/>
  <c r="L538" i="13"/>
  <c r="L539" i="13"/>
  <c r="L540" i="13"/>
  <c r="L541" i="13"/>
  <c r="L542" i="13"/>
  <c r="L543" i="13"/>
  <c r="L544" i="13"/>
  <c r="L545" i="13"/>
  <c r="L546" i="13"/>
  <c r="L547" i="13"/>
  <c r="L548" i="13"/>
  <c r="L549" i="13"/>
  <c r="L550" i="13"/>
  <c r="L551" i="13"/>
  <c r="L552" i="13"/>
  <c r="L553" i="13"/>
  <c r="L554" i="13"/>
  <c r="L555" i="13"/>
  <c r="L556" i="13"/>
  <c r="L557" i="13"/>
  <c r="L558" i="13"/>
  <c r="L559" i="13"/>
  <c r="L560" i="13"/>
  <c r="L561" i="13"/>
  <c r="L562" i="13"/>
  <c r="L563" i="13"/>
  <c r="L564" i="13"/>
  <c r="L565" i="13"/>
  <c r="L566" i="13"/>
  <c r="L567" i="13"/>
  <c r="L568" i="13"/>
  <c r="L569" i="13"/>
  <c r="L570" i="13"/>
  <c r="L571" i="13"/>
  <c r="L572" i="13"/>
  <c r="L573" i="13"/>
  <c r="L574" i="13"/>
  <c r="L575" i="13"/>
  <c r="L576" i="13"/>
  <c r="L577" i="13"/>
  <c r="L578" i="13"/>
  <c r="L579" i="13"/>
  <c r="L580" i="13"/>
  <c r="L581" i="13"/>
  <c r="L582" i="13"/>
  <c r="L583" i="13"/>
  <c r="L584" i="13"/>
  <c r="L585" i="13"/>
  <c r="L586" i="13"/>
  <c r="L587" i="13"/>
  <c r="L588" i="13"/>
  <c r="L589" i="13"/>
  <c r="L590" i="13"/>
  <c r="L591" i="13"/>
  <c r="L592" i="13"/>
  <c r="L593" i="13"/>
  <c r="L594" i="13"/>
  <c r="L595" i="13"/>
  <c r="L596" i="13"/>
  <c r="L597" i="13"/>
  <c r="L598" i="13"/>
  <c r="L599" i="13"/>
  <c r="L600" i="13"/>
  <c r="L601" i="13"/>
  <c r="L602" i="13"/>
  <c r="L603" i="13"/>
  <c r="L604" i="13"/>
  <c r="L605" i="13"/>
  <c r="L606" i="13"/>
  <c r="L607" i="13"/>
  <c r="L608" i="13"/>
  <c r="L609" i="13"/>
  <c r="L610" i="13"/>
  <c r="L611" i="13"/>
  <c r="L612" i="13"/>
  <c r="L613" i="13"/>
  <c r="L614" i="13"/>
  <c r="L615" i="13"/>
  <c r="L616" i="13"/>
  <c r="L617" i="13"/>
  <c r="L618" i="13"/>
  <c r="L619" i="13"/>
  <c r="L620" i="13"/>
  <c r="L621" i="13"/>
  <c r="L622" i="13"/>
  <c r="L623" i="13"/>
  <c r="L624" i="13"/>
  <c r="L625" i="13"/>
  <c r="L626" i="13"/>
  <c r="L627" i="13"/>
  <c r="L628" i="13"/>
  <c r="L629" i="13"/>
  <c r="L630" i="13"/>
  <c r="L631" i="13"/>
  <c r="L632" i="13"/>
  <c r="L633" i="13"/>
  <c r="L634" i="13"/>
  <c r="L635" i="13"/>
  <c r="L636" i="13"/>
  <c r="L637" i="13"/>
  <c r="L638" i="13"/>
  <c r="L639" i="13"/>
  <c r="L640" i="13"/>
  <c r="L641" i="13"/>
  <c r="L642" i="13"/>
  <c r="L643" i="13"/>
  <c r="L644" i="13"/>
  <c r="L645" i="13"/>
  <c r="L646" i="13"/>
  <c r="L647" i="13"/>
  <c r="L648" i="13"/>
  <c r="L649" i="13"/>
  <c r="L650" i="13"/>
  <c r="L651" i="13"/>
  <c r="L652" i="13"/>
  <c r="L653" i="13"/>
  <c r="L654" i="13"/>
  <c r="L655" i="13"/>
  <c r="L656" i="13"/>
  <c r="L657" i="13"/>
  <c r="L658" i="13"/>
  <c r="L659" i="13"/>
  <c r="L660" i="13"/>
  <c r="L661" i="13"/>
  <c r="L662" i="13"/>
  <c r="L663" i="13"/>
  <c r="L664" i="13"/>
  <c r="L665" i="13"/>
  <c r="L666" i="13"/>
  <c r="L667" i="13"/>
  <c r="L668" i="13"/>
  <c r="L669" i="13"/>
  <c r="L670" i="13"/>
  <c r="L671" i="13"/>
  <c r="L672" i="13"/>
  <c r="L673" i="13"/>
  <c r="L674" i="13"/>
  <c r="L675" i="13"/>
  <c r="L676" i="13"/>
  <c r="L677" i="13"/>
  <c r="L678" i="13"/>
  <c r="L679" i="13"/>
  <c r="L680" i="13"/>
  <c r="L681" i="13"/>
  <c r="L682" i="13"/>
  <c r="L683" i="13"/>
  <c r="L684" i="13"/>
  <c r="L685" i="13"/>
  <c r="L686" i="13"/>
  <c r="L687" i="13"/>
  <c r="L688" i="13"/>
  <c r="L689" i="13"/>
  <c r="L690" i="13"/>
  <c r="L691" i="13"/>
  <c r="L692" i="13"/>
  <c r="L693" i="13"/>
  <c r="L694" i="13"/>
  <c r="L695" i="13"/>
  <c r="L696" i="13"/>
  <c r="L697" i="13"/>
  <c r="L698" i="13"/>
  <c r="L699" i="13"/>
  <c r="L700" i="13"/>
  <c r="L701" i="13"/>
  <c r="L702" i="13"/>
  <c r="L703" i="13"/>
  <c r="L704" i="13"/>
  <c r="L705" i="13"/>
  <c r="L706" i="13"/>
  <c r="L707" i="13"/>
  <c r="L708" i="13"/>
  <c r="L709" i="13"/>
  <c r="L710" i="13"/>
  <c r="L711" i="13"/>
  <c r="L712" i="13"/>
  <c r="L713" i="13"/>
  <c r="L714" i="13"/>
  <c r="L715" i="13"/>
  <c r="L716" i="13"/>
  <c r="L717" i="13"/>
  <c r="L718" i="13"/>
  <c r="L719" i="13"/>
  <c r="L720" i="13"/>
  <c r="L721" i="13"/>
  <c r="L722" i="13"/>
  <c r="L723" i="13"/>
  <c r="L724" i="13"/>
  <c r="L725" i="13"/>
  <c r="L726" i="13"/>
  <c r="L727" i="13"/>
  <c r="L728" i="13"/>
  <c r="L729" i="13"/>
  <c r="L730" i="13"/>
  <c r="L731" i="13"/>
  <c r="L732" i="13"/>
  <c r="L733" i="13"/>
  <c r="L734" i="13"/>
  <c r="L735" i="13"/>
  <c r="L736" i="13"/>
  <c r="L737" i="13"/>
  <c r="L738" i="13"/>
  <c r="L739" i="13"/>
  <c r="L740" i="13"/>
  <c r="L741" i="13"/>
  <c r="L742" i="13"/>
  <c r="L743" i="13"/>
  <c r="L744" i="13"/>
  <c r="L745" i="13"/>
  <c r="L746" i="13"/>
  <c r="L747" i="13"/>
  <c r="L748" i="13"/>
  <c r="L749" i="13"/>
  <c r="L750" i="13"/>
  <c r="L751" i="13"/>
  <c r="L752" i="13"/>
  <c r="L753" i="13"/>
  <c r="L754" i="13"/>
  <c r="L755" i="13"/>
  <c r="L756" i="13"/>
  <c r="L757" i="13"/>
  <c r="L758" i="13"/>
  <c r="L759" i="13"/>
  <c r="L760" i="13"/>
  <c r="L761" i="13"/>
  <c r="L762" i="13"/>
  <c r="L763" i="13"/>
  <c r="L764" i="13"/>
  <c r="L765" i="13"/>
  <c r="L766" i="13"/>
  <c r="L767" i="13"/>
  <c r="L768" i="13"/>
  <c r="L769" i="13"/>
  <c r="L770" i="13"/>
  <c r="L771" i="13"/>
  <c r="L772" i="13"/>
  <c r="L773" i="13"/>
  <c r="L774" i="13"/>
  <c r="L775" i="13"/>
  <c r="L776" i="13"/>
  <c r="L777" i="13"/>
  <c r="L778" i="13"/>
  <c r="L779" i="13"/>
  <c r="L780" i="13"/>
  <c r="L781" i="13"/>
  <c r="L782" i="13"/>
  <c r="L783" i="13"/>
  <c r="L784" i="13"/>
  <c r="L785" i="13"/>
  <c r="L786" i="13"/>
  <c r="L787" i="13"/>
  <c r="L788" i="13"/>
  <c r="L789" i="13"/>
  <c r="L790" i="13"/>
  <c r="L791" i="13"/>
  <c r="L792" i="13"/>
  <c r="L793" i="13"/>
  <c r="L794" i="13"/>
  <c r="L795" i="13"/>
  <c r="L796" i="13"/>
  <c r="L797" i="13"/>
  <c r="L798" i="13"/>
  <c r="L799" i="13"/>
  <c r="L800" i="13"/>
  <c r="L801" i="13"/>
  <c r="L802" i="13"/>
  <c r="L803" i="13"/>
  <c r="L804" i="13"/>
  <c r="L805" i="13"/>
  <c r="L806" i="13"/>
  <c r="L807" i="13"/>
  <c r="L808" i="13"/>
  <c r="L809" i="13"/>
  <c r="L810" i="13"/>
  <c r="L811" i="13"/>
  <c r="L812" i="13"/>
  <c r="L813" i="13"/>
  <c r="L814" i="13"/>
  <c r="L815" i="13"/>
  <c r="L816" i="13"/>
  <c r="L817" i="13"/>
  <c r="L818" i="13"/>
  <c r="L819" i="13"/>
  <c r="L820" i="13"/>
  <c r="L821" i="13"/>
  <c r="L822" i="13"/>
  <c r="L823" i="13"/>
  <c r="L824" i="13"/>
  <c r="L825" i="13"/>
  <c r="L826" i="13"/>
  <c r="L827" i="13"/>
  <c r="L828" i="13"/>
  <c r="L829" i="13"/>
  <c r="L830" i="13"/>
  <c r="L831" i="13"/>
  <c r="L832" i="13"/>
  <c r="L833" i="13"/>
  <c r="L834" i="13"/>
  <c r="L835" i="13"/>
  <c r="L836" i="13"/>
  <c r="L837" i="13"/>
  <c r="L838" i="13"/>
  <c r="L839" i="13"/>
  <c r="L840" i="13"/>
  <c r="L841" i="13"/>
  <c r="L842" i="13"/>
  <c r="L843" i="13"/>
  <c r="L844" i="13"/>
  <c r="L845" i="13"/>
  <c r="L846" i="13"/>
  <c r="L847" i="13"/>
  <c r="L848" i="13"/>
  <c r="L849" i="13"/>
  <c r="L850" i="13"/>
  <c r="L851" i="13"/>
  <c r="L852" i="13"/>
  <c r="L853" i="13"/>
  <c r="L854" i="13"/>
  <c r="L855" i="13"/>
  <c r="L856" i="13"/>
  <c r="L857" i="13"/>
  <c r="L858" i="13"/>
  <c r="L859" i="13"/>
  <c r="L860" i="13"/>
  <c r="L861" i="13"/>
  <c r="L862" i="13"/>
  <c r="L863" i="13"/>
  <c r="L864" i="13"/>
  <c r="L865" i="13"/>
  <c r="L866" i="13"/>
  <c r="L867" i="13"/>
  <c r="L868" i="13"/>
  <c r="L869" i="13"/>
  <c r="L870" i="13"/>
  <c r="L871" i="13"/>
  <c r="L872" i="13"/>
  <c r="L873" i="13"/>
  <c r="L874" i="13"/>
  <c r="L875" i="13"/>
  <c r="L876" i="13"/>
  <c r="L877" i="13"/>
  <c r="L878" i="13"/>
  <c r="L879" i="13"/>
  <c r="L880" i="13"/>
  <c r="L881" i="13"/>
  <c r="L882" i="13"/>
  <c r="L883" i="13"/>
  <c r="L884" i="13"/>
  <c r="L885" i="13"/>
  <c r="L886" i="13"/>
  <c r="L887" i="13"/>
  <c r="L888" i="13"/>
  <c r="L889" i="13"/>
  <c r="L890" i="13"/>
  <c r="L891" i="13"/>
  <c r="L892" i="13"/>
  <c r="L893" i="13"/>
  <c r="L894" i="13"/>
  <c r="L895" i="13"/>
  <c r="L896" i="13"/>
  <c r="L897" i="13"/>
  <c r="L898" i="13"/>
  <c r="L899" i="13"/>
  <c r="L900" i="13"/>
  <c r="L901" i="13"/>
  <c r="L902" i="13"/>
  <c r="L903" i="13"/>
  <c r="L904" i="13"/>
  <c r="L905" i="13"/>
  <c r="L906" i="13"/>
  <c r="L907" i="13"/>
  <c r="L908" i="13"/>
  <c r="L909" i="13"/>
  <c r="L910" i="13"/>
  <c r="L911" i="13"/>
  <c r="L912" i="13"/>
  <c r="L913" i="13"/>
  <c r="L914" i="13"/>
  <c r="L915" i="13"/>
  <c r="L916" i="13"/>
  <c r="L917" i="13"/>
  <c r="L918" i="13"/>
  <c r="L919" i="13"/>
  <c r="L920" i="13"/>
  <c r="L921" i="13"/>
  <c r="L922" i="13"/>
  <c r="L923" i="13"/>
  <c r="L924" i="13"/>
  <c r="L925" i="13"/>
  <c r="L926" i="13"/>
  <c r="L927" i="13"/>
  <c r="L928" i="13"/>
  <c r="L929" i="13"/>
  <c r="L930" i="13"/>
  <c r="L931" i="13"/>
  <c r="L932" i="13"/>
  <c r="L933" i="13"/>
  <c r="L934" i="13"/>
  <c r="L935" i="13"/>
  <c r="L936" i="13"/>
  <c r="L937" i="13"/>
  <c r="L938" i="13"/>
  <c r="L939" i="13"/>
  <c r="L940" i="13"/>
  <c r="L941" i="13"/>
  <c r="L942" i="13"/>
  <c r="L943" i="13"/>
  <c r="L944" i="13"/>
  <c r="L945" i="13"/>
  <c r="L946" i="13"/>
  <c r="L947" i="13"/>
  <c r="L948" i="13"/>
  <c r="L949" i="13"/>
  <c r="L950" i="13"/>
  <c r="L951" i="13"/>
  <c r="L952" i="13"/>
  <c r="L953" i="13"/>
  <c r="L954" i="13"/>
  <c r="L955" i="13"/>
  <c r="L956" i="13"/>
  <c r="L957" i="13"/>
  <c r="L958" i="13"/>
  <c r="L959" i="13"/>
  <c r="L960" i="13"/>
  <c r="L961" i="13"/>
  <c r="L962" i="13"/>
  <c r="L963" i="13"/>
  <c r="L964" i="13"/>
  <c r="L965" i="13"/>
  <c r="L966" i="13"/>
  <c r="L967" i="13"/>
  <c r="L968" i="13"/>
  <c r="L969" i="13"/>
  <c r="L970" i="13"/>
  <c r="L971" i="13"/>
  <c r="L972" i="13"/>
  <c r="L973" i="13"/>
  <c r="L974" i="13"/>
  <c r="L975" i="13"/>
  <c r="L976" i="13"/>
  <c r="L977" i="13"/>
  <c r="L978" i="13"/>
  <c r="L979" i="13"/>
  <c r="L980" i="13"/>
  <c r="L981" i="13"/>
  <c r="L982" i="13"/>
  <c r="L983" i="13"/>
  <c r="L984" i="13"/>
  <c r="L985" i="13"/>
  <c r="L986" i="13"/>
  <c r="L987" i="13"/>
  <c r="L988" i="13"/>
  <c r="L989" i="13"/>
  <c r="L990" i="13"/>
  <c r="L991" i="13"/>
  <c r="L992" i="13"/>
  <c r="L993" i="13"/>
  <c r="L994" i="13"/>
  <c r="L995" i="13"/>
  <c r="L996" i="13"/>
  <c r="L997" i="13"/>
  <c r="L998" i="13"/>
  <c r="L999" i="13"/>
  <c r="L1000" i="13"/>
  <c r="L1001" i="13"/>
  <c r="L1002" i="13"/>
  <c r="L1003" i="13"/>
  <c r="L1004" i="13"/>
  <c r="L1005" i="13"/>
  <c r="L1006" i="13"/>
  <c r="L1007" i="13"/>
  <c r="L1008" i="13"/>
  <c r="L1009" i="13"/>
  <c r="L1010" i="13"/>
  <c r="L1011" i="13"/>
  <c r="L1012" i="13"/>
  <c r="L1013" i="13"/>
  <c r="L1014" i="13"/>
  <c r="L1015" i="13"/>
  <c r="L1016" i="13"/>
  <c r="L1017" i="13"/>
  <c r="L1018" i="13"/>
  <c r="L1019" i="13"/>
  <c r="L1020" i="13"/>
  <c r="L1021" i="13"/>
  <c r="L1022" i="13"/>
  <c r="L1023" i="13"/>
  <c r="L1024" i="13"/>
  <c r="L1025" i="13"/>
  <c r="L1026" i="13"/>
  <c r="L1027" i="13"/>
  <c r="L1028" i="13"/>
  <c r="L1029" i="13"/>
  <c r="L1030" i="13"/>
  <c r="L1031" i="13"/>
  <c r="L1032" i="13"/>
  <c r="L1033" i="13"/>
  <c r="L1034" i="13"/>
  <c r="L1035" i="13"/>
  <c r="L1036" i="13"/>
  <c r="L1037" i="13"/>
  <c r="L1038" i="13"/>
  <c r="L1039" i="13"/>
  <c r="L1040" i="13"/>
  <c r="L1041" i="13"/>
  <c r="L1042" i="13"/>
  <c r="L1043" i="13"/>
  <c r="L1044" i="13"/>
  <c r="L1045" i="13"/>
  <c r="L1046" i="13"/>
  <c r="L1047" i="13"/>
  <c r="L1048" i="13"/>
  <c r="L1049" i="13"/>
  <c r="L1050" i="13"/>
  <c r="L1051" i="13"/>
  <c r="L1052" i="13"/>
  <c r="L1053" i="13"/>
  <c r="L1054" i="13"/>
  <c r="L1055" i="13"/>
  <c r="L1056" i="13"/>
  <c r="L1057" i="13"/>
  <c r="L1058" i="13"/>
  <c r="L1059" i="13"/>
  <c r="L1060" i="13"/>
  <c r="L1061" i="13"/>
  <c r="L1062" i="13"/>
  <c r="L1063" i="13"/>
  <c r="L1064" i="13"/>
  <c r="L1065" i="13"/>
  <c r="L1066" i="13"/>
  <c r="L1067" i="13"/>
  <c r="L1068" i="13"/>
  <c r="L1069" i="13"/>
  <c r="L1070" i="13"/>
  <c r="L1071" i="13"/>
  <c r="L1072" i="13"/>
  <c r="L1073" i="13"/>
  <c r="L1074" i="13"/>
  <c r="L1075" i="13"/>
  <c r="L1076" i="13"/>
  <c r="L1077" i="13"/>
  <c r="L1078" i="13"/>
  <c r="L1079" i="13"/>
  <c r="L1080" i="13"/>
  <c r="L1081" i="13"/>
  <c r="L1082" i="13"/>
  <c r="L1083" i="13"/>
  <c r="L1084" i="13"/>
  <c r="L1085" i="13"/>
  <c r="L1086" i="13"/>
  <c r="L1087" i="13"/>
  <c r="L1088" i="13"/>
  <c r="L1089" i="13"/>
  <c r="L1090" i="13"/>
  <c r="L1091" i="13"/>
  <c r="L1092" i="13"/>
  <c r="L1093" i="13"/>
  <c r="L1094" i="13"/>
  <c r="L1095" i="13"/>
  <c r="L1096" i="13"/>
  <c r="L1097" i="13"/>
  <c r="L1098" i="13"/>
  <c r="L1099" i="13"/>
  <c r="L1100" i="13"/>
  <c r="L1101" i="13"/>
  <c r="L1102" i="13"/>
  <c r="L1103" i="13"/>
  <c r="L1104" i="13"/>
  <c r="L1105" i="13"/>
  <c r="L1106" i="13"/>
  <c r="L1107" i="13"/>
  <c r="L1108" i="13"/>
  <c r="L1109" i="13"/>
  <c r="L1110" i="13"/>
  <c r="L1111" i="13"/>
  <c r="L1112" i="13"/>
  <c r="L1113" i="13"/>
  <c r="L1114" i="13"/>
  <c r="L1115" i="13"/>
  <c r="L1116" i="13"/>
  <c r="L1117" i="13"/>
  <c r="L1118" i="13"/>
  <c r="L1119" i="13"/>
  <c r="L1120" i="13"/>
  <c r="L1121" i="13"/>
  <c r="L1122" i="13"/>
  <c r="L1123" i="13"/>
  <c r="L1124" i="13"/>
  <c r="L1125" i="13"/>
  <c r="L1126" i="13"/>
  <c r="L1127" i="13"/>
  <c r="L1128" i="13"/>
  <c r="L1129" i="13"/>
  <c r="L1130" i="13"/>
  <c r="L1131" i="13"/>
  <c r="L1132" i="13"/>
  <c r="L1133" i="13"/>
  <c r="L1134" i="13"/>
  <c r="L1135" i="13"/>
  <c r="L1136" i="13"/>
  <c r="L1137" i="13"/>
  <c r="L1138" i="13"/>
  <c r="L1139" i="13"/>
  <c r="L1140" i="13"/>
  <c r="L1141" i="13"/>
  <c r="L1142" i="13"/>
  <c r="L1143" i="13"/>
  <c r="L1144" i="13"/>
  <c r="L1145" i="13"/>
  <c r="L1146" i="13"/>
  <c r="L1147" i="13"/>
  <c r="L1148" i="13"/>
  <c r="L1149" i="13"/>
  <c r="L1150" i="13"/>
  <c r="L1151" i="13"/>
  <c r="L1152" i="13"/>
  <c r="L1153" i="13"/>
  <c r="L1154" i="13"/>
  <c r="L1155" i="13"/>
  <c r="L1156" i="13"/>
  <c r="L1157" i="13"/>
  <c r="L1158" i="13"/>
  <c r="L1159" i="13"/>
  <c r="L1160" i="13"/>
  <c r="L1161" i="13"/>
  <c r="L1162" i="13"/>
  <c r="L1163" i="13"/>
  <c r="L1164" i="13"/>
  <c r="L1165" i="13"/>
  <c r="L1166" i="13"/>
  <c r="L1167" i="13"/>
  <c r="L1168" i="13"/>
  <c r="L1169" i="13"/>
  <c r="L1170" i="13"/>
  <c r="L1171" i="13"/>
  <c r="L1172" i="13"/>
  <c r="L1173" i="13"/>
  <c r="L1174" i="13"/>
  <c r="L1175" i="13"/>
  <c r="L1176" i="13"/>
  <c r="L1177" i="13"/>
  <c r="L1178" i="13"/>
  <c r="L1179" i="13"/>
  <c r="L1180" i="13"/>
  <c r="L1181" i="13"/>
  <c r="L1182" i="13"/>
  <c r="L1183" i="13"/>
  <c r="L1184" i="13"/>
  <c r="L1185" i="13"/>
  <c r="L1186" i="13"/>
  <c r="L1187" i="13"/>
  <c r="L1188" i="13"/>
  <c r="L1189" i="13"/>
  <c r="L1190" i="13"/>
  <c r="L1191" i="13"/>
  <c r="L1192" i="13"/>
  <c r="L1193" i="13"/>
  <c r="L1194" i="13"/>
  <c r="L1195" i="13"/>
  <c r="L1196" i="13"/>
  <c r="L1197" i="13"/>
  <c r="L1198" i="13"/>
  <c r="L1199" i="13"/>
  <c r="L1200" i="13"/>
  <c r="L1201" i="13"/>
  <c r="L1202" i="13"/>
  <c r="L1203" i="13"/>
  <c r="L1204" i="13"/>
  <c r="L1205" i="13"/>
  <c r="L1206" i="13"/>
  <c r="L1207" i="13"/>
  <c r="L1208" i="13"/>
  <c r="L1209" i="13"/>
  <c r="L1210" i="13"/>
  <c r="L1211" i="13"/>
  <c r="L1212" i="13"/>
  <c r="L1213" i="13"/>
  <c r="L1214" i="13"/>
  <c r="L1215" i="13"/>
  <c r="L1216" i="13"/>
  <c r="L1217" i="13"/>
  <c r="L1218" i="13"/>
  <c r="L1219" i="13"/>
  <c r="L1220" i="13"/>
  <c r="L1221" i="13"/>
  <c r="L1222" i="13"/>
  <c r="L1223" i="13"/>
  <c r="L1224" i="13"/>
  <c r="L1225" i="13"/>
  <c r="L1226" i="13"/>
  <c r="L1227" i="13"/>
  <c r="L1228" i="13"/>
  <c r="L1229" i="13"/>
  <c r="L1230" i="13"/>
  <c r="L1231" i="13"/>
  <c r="L1232" i="13"/>
  <c r="L1233" i="13"/>
  <c r="L1234" i="13"/>
  <c r="L1235" i="13"/>
  <c r="L1236" i="13"/>
  <c r="L1237" i="13"/>
  <c r="L1238" i="13"/>
  <c r="L1239" i="13"/>
  <c r="L1240" i="13"/>
  <c r="L1241" i="13"/>
  <c r="L1242" i="13"/>
  <c r="L1243" i="13"/>
  <c r="L1244" i="13"/>
  <c r="L1245" i="13"/>
  <c r="L1246" i="13"/>
  <c r="L1247" i="13"/>
  <c r="L1248" i="13"/>
  <c r="L1249" i="13"/>
  <c r="L1250" i="13"/>
  <c r="L1251" i="13"/>
  <c r="L1252" i="13"/>
  <c r="L1253" i="13"/>
  <c r="L1254" i="13"/>
  <c r="L1255" i="13"/>
  <c r="L1256" i="13"/>
  <c r="L1257" i="13"/>
  <c r="L1258" i="13"/>
  <c r="L1259" i="13"/>
  <c r="L1260" i="13"/>
  <c r="L1261" i="13"/>
  <c r="L1262" i="13"/>
  <c r="L1263" i="13"/>
  <c r="L1264" i="13"/>
  <c r="L1265" i="13"/>
  <c r="L1266" i="13"/>
  <c r="L1267" i="13"/>
  <c r="L1268" i="13"/>
  <c r="L1269" i="13"/>
  <c r="L1270" i="13"/>
  <c r="L1271" i="13"/>
  <c r="L1272" i="13"/>
  <c r="L1273" i="13"/>
  <c r="L1274" i="13"/>
  <c r="L1275" i="13"/>
  <c r="L1276" i="13"/>
  <c r="L1277" i="13"/>
  <c r="L1278" i="13"/>
  <c r="L1279" i="13"/>
  <c r="L1280" i="13"/>
  <c r="L1281" i="13"/>
  <c r="L1282" i="13"/>
  <c r="L1283" i="13"/>
  <c r="L1284" i="13"/>
  <c r="L1285" i="13"/>
  <c r="L1286" i="13"/>
  <c r="L1287" i="13"/>
  <c r="L1288" i="13"/>
  <c r="L1289" i="13"/>
  <c r="L1290" i="13"/>
  <c r="L1291" i="13"/>
  <c r="L1292" i="13"/>
  <c r="L1293" i="13"/>
  <c r="L1294" i="13"/>
  <c r="L1295" i="13"/>
  <c r="L1296" i="13"/>
  <c r="L1297" i="13"/>
  <c r="L1298" i="13"/>
  <c r="L1299" i="13"/>
  <c r="L1300" i="13"/>
  <c r="L1301" i="13"/>
  <c r="L1302" i="13"/>
  <c r="L1303" i="13"/>
  <c r="L1304" i="13"/>
  <c r="L1305" i="13"/>
  <c r="L1306" i="13"/>
  <c r="L1307" i="13"/>
  <c r="L1308" i="13"/>
  <c r="L1309" i="13"/>
  <c r="L1310" i="13"/>
  <c r="L1311" i="13"/>
  <c r="L1312" i="13"/>
  <c r="L1313" i="13"/>
  <c r="L1314" i="13"/>
  <c r="L1315" i="13"/>
  <c r="L1316" i="13"/>
  <c r="L1317" i="13"/>
  <c r="L1318" i="13"/>
  <c r="L1319" i="13"/>
  <c r="L1320" i="13"/>
  <c r="L1321" i="13"/>
  <c r="L1322" i="13"/>
  <c r="L1323" i="13"/>
  <c r="L1324" i="13"/>
  <c r="L1325" i="13"/>
  <c r="L1326" i="13"/>
  <c r="L1327" i="13"/>
  <c r="L1328" i="13"/>
  <c r="L1329" i="13"/>
  <c r="L1330" i="13"/>
  <c r="L1331" i="13"/>
  <c r="L1332" i="13"/>
  <c r="L1333" i="13"/>
  <c r="L1334" i="13"/>
  <c r="L1335" i="13"/>
  <c r="L1336" i="13"/>
  <c r="L1337" i="13"/>
  <c r="L1338" i="13"/>
  <c r="L1339" i="13"/>
  <c r="L1340" i="13"/>
  <c r="L1341" i="13"/>
  <c r="L1342" i="13"/>
  <c r="L1343" i="13"/>
  <c r="L1344" i="13"/>
  <c r="L1345" i="13"/>
  <c r="L1346" i="13"/>
  <c r="L1347" i="13"/>
  <c r="L1348" i="13"/>
  <c r="L1349" i="13"/>
  <c r="L1350" i="13"/>
  <c r="L1351" i="13"/>
  <c r="L1352" i="13"/>
  <c r="L1353" i="13"/>
  <c r="L1354" i="13"/>
  <c r="L1355" i="13"/>
  <c r="L1356" i="13"/>
  <c r="L1357" i="13"/>
  <c r="L1358" i="13"/>
  <c r="L1359" i="13"/>
  <c r="L1360" i="13"/>
  <c r="L1361" i="13"/>
  <c r="L1362" i="13"/>
  <c r="L1363" i="13"/>
  <c r="L1364" i="13"/>
  <c r="L1365" i="13"/>
  <c r="L1366" i="13"/>
  <c r="L1367" i="13"/>
  <c r="L1368" i="13"/>
  <c r="L1369" i="13"/>
  <c r="L1370" i="13"/>
  <c r="L1371" i="13"/>
  <c r="L1372" i="13"/>
  <c r="L1373" i="13"/>
  <c r="L1374" i="13"/>
  <c r="L1375" i="13"/>
  <c r="L1376" i="13"/>
  <c r="L1377" i="13"/>
  <c r="L1378" i="13"/>
  <c r="L1379" i="13"/>
  <c r="L1380" i="13"/>
  <c r="L1381" i="13"/>
  <c r="L1382" i="13"/>
  <c r="L1383" i="13"/>
  <c r="L1384" i="13"/>
  <c r="L1385" i="13"/>
  <c r="L1386" i="13"/>
  <c r="L1387" i="13"/>
  <c r="L1388" i="13"/>
  <c r="L1389" i="13"/>
  <c r="L1390" i="13"/>
  <c r="L1391" i="13"/>
  <c r="L1392" i="13"/>
  <c r="L1393" i="13"/>
  <c r="L1394" i="13"/>
  <c r="L1395" i="13"/>
  <c r="L1396" i="13"/>
  <c r="L1397" i="13"/>
  <c r="L1398" i="13"/>
  <c r="L1399" i="13"/>
  <c r="L1400" i="13"/>
  <c r="L1401" i="13"/>
  <c r="L1402" i="13"/>
  <c r="L1403" i="13"/>
  <c r="L1404" i="13"/>
  <c r="L1405" i="13"/>
  <c r="L1406" i="13"/>
  <c r="L1407" i="13"/>
  <c r="L1408" i="13"/>
  <c r="L1409" i="13"/>
  <c r="L1410" i="13"/>
  <c r="L1411" i="13"/>
  <c r="L1412" i="13"/>
  <c r="L1413" i="13"/>
  <c r="L1414" i="13"/>
  <c r="L1415" i="13"/>
  <c r="L1416" i="13"/>
  <c r="L1417" i="13"/>
  <c r="L1418" i="13"/>
  <c r="L1419" i="13"/>
  <c r="L1420" i="13"/>
  <c r="L1421" i="13"/>
  <c r="L1422" i="13"/>
  <c r="L1423" i="13"/>
  <c r="L1424" i="13"/>
  <c r="L1425" i="13"/>
  <c r="L1426" i="13"/>
  <c r="L1427" i="13"/>
  <c r="L1428" i="13"/>
  <c r="L1429" i="13"/>
  <c r="L1430" i="13"/>
  <c r="L1431" i="13"/>
  <c r="L1432" i="13"/>
  <c r="L1433" i="13"/>
  <c r="L1434" i="13"/>
  <c r="L1435" i="13"/>
  <c r="L1436" i="13"/>
  <c r="L1437" i="13"/>
  <c r="L1438" i="13"/>
  <c r="L1439" i="13"/>
  <c r="L1440" i="13"/>
  <c r="L1441" i="13"/>
  <c r="L1442" i="13"/>
  <c r="L1443" i="13"/>
  <c r="L1444" i="13"/>
  <c r="L1445" i="13"/>
  <c r="L1446" i="13"/>
  <c r="L1447" i="13"/>
  <c r="L1448" i="13"/>
  <c r="L1449" i="13"/>
  <c r="L1450" i="13"/>
  <c r="L1451" i="13"/>
  <c r="L1452" i="13"/>
  <c r="L1453" i="13"/>
  <c r="L1454" i="13"/>
  <c r="L1455" i="13"/>
  <c r="L1456" i="13"/>
  <c r="L1457" i="13"/>
  <c r="L1458" i="13"/>
  <c r="L1459" i="13"/>
  <c r="L1460" i="13"/>
  <c r="L1461" i="13"/>
  <c r="L1462" i="13"/>
  <c r="L1463" i="13"/>
  <c r="L1464" i="13"/>
  <c r="L1465" i="13"/>
  <c r="L1466" i="13"/>
  <c r="L1467" i="13"/>
  <c r="L1468" i="13"/>
  <c r="L1469" i="13"/>
  <c r="L1470" i="13"/>
  <c r="L1471" i="13"/>
  <c r="L1472" i="13"/>
  <c r="L1473" i="13"/>
  <c r="L1474" i="13"/>
  <c r="L1475" i="13"/>
  <c r="L1476" i="13"/>
  <c r="L1477" i="13"/>
  <c r="L1478" i="13"/>
  <c r="L1479" i="13"/>
  <c r="L1480" i="13"/>
  <c r="L1481" i="13"/>
  <c r="L1482" i="13"/>
  <c r="L1483" i="13"/>
  <c r="L1484" i="13"/>
  <c r="L1485" i="13"/>
  <c r="L1486" i="13"/>
  <c r="L1487" i="13"/>
  <c r="L1488" i="13"/>
  <c r="L1489" i="13"/>
  <c r="L1490" i="13"/>
  <c r="L1491" i="13"/>
  <c r="L1492" i="13"/>
  <c r="L1493" i="13"/>
  <c r="L1494" i="13"/>
  <c r="L1495" i="13"/>
  <c r="L1496" i="13"/>
  <c r="L1497" i="13"/>
  <c r="L1498" i="13"/>
  <c r="L1499" i="13"/>
  <c r="L1500" i="13"/>
  <c r="L1501" i="13"/>
  <c r="L1502" i="13"/>
  <c r="L1503" i="13"/>
  <c r="L1504" i="13"/>
  <c r="L1505" i="13"/>
  <c r="L1506" i="13"/>
  <c r="L1507" i="13"/>
  <c r="L1508" i="13"/>
  <c r="L1509" i="13"/>
  <c r="L1510" i="13"/>
  <c r="L1511" i="13"/>
  <c r="L1512" i="13"/>
  <c r="L1513" i="13"/>
  <c r="L1514" i="13"/>
  <c r="L1515" i="13"/>
  <c r="L1516" i="13"/>
  <c r="L1517" i="13"/>
  <c r="L1518" i="13"/>
  <c r="L1519" i="13"/>
  <c r="L1520" i="13"/>
  <c r="L1521" i="13"/>
  <c r="L1522" i="13"/>
  <c r="L1523" i="13"/>
  <c r="L1524" i="13"/>
  <c r="L1525" i="13"/>
  <c r="L1526" i="13"/>
  <c r="L1527" i="13"/>
  <c r="L1528" i="13"/>
  <c r="L1529" i="13"/>
  <c r="L1530" i="13"/>
  <c r="L1531" i="13"/>
  <c r="L1532" i="13"/>
  <c r="L1533" i="13"/>
  <c r="L1534" i="13"/>
  <c r="L1535" i="13"/>
  <c r="L1536" i="13"/>
  <c r="L1537" i="13"/>
  <c r="L1538" i="13"/>
  <c r="L1539" i="13"/>
  <c r="L1540" i="13"/>
  <c r="L1541" i="13"/>
  <c r="L1542" i="13"/>
  <c r="L1543" i="13"/>
  <c r="L1544" i="13"/>
  <c r="L1545" i="13"/>
  <c r="L1546" i="13"/>
  <c r="L1547" i="13"/>
  <c r="L1548" i="13"/>
  <c r="L1549" i="13"/>
  <c r="L1550" i="13"/>
  <c r="L1551" i="13"/>
  <c r="L1552" i="13"/>
  <c r="L1553" i="13"/>
  <c r="L1554" i="13"/>
  <c r="L1555" i="13"/>
  <c r="L1556" i="13"/>
  <c r="L1557" i="13"/>
  <c r="L1558" i="13"/>
  <c r="L1559" i="13"/>
  <c r="L1560" i="13"/>
  <c r="L1561" i="13"/>
  <c r="L1562" i="13"/>
  <c r="L1563" i="13"/>
  <c r="L1564" i="13"/>
  <c r="L1565" i="13"/>
  <c r="L1566" i="13"/>
  <c r="L1567" i="13"/>
  <c r="L1568" i="13"/>
  <c r="L1569" i="13"/>
  <c r="L1570" i="13"/>
  <c r="L1571" i="13"/>
  <c r="L1572" i="13"/>
  <c r="L1573" i="13"/>
  <c r="L1574" i="13"/>
  <c r="L1575" i="13"/>
  <c r="L1576" i="13"/>
  <c r="L1577" i="13"/>
  <c r="L1578" i="13"/>
  <c r="L1579" i="13"/>
  <c r="L1580" i="13"/>
  <c r="L1581" i="13"/>
  <c r="L1582" i="13"/>
  <c r="L1583" i="13"/>
  <c r="L1584" i="13"/>
  <c r="L1585" i="13"/>
  <c r="L1586" i="13"/>
  <c r="L1587" i="13"/>
  <c r="L1588" i="13"/>
  <c r="L1589" i="13"/>
  <c r="L1590" i="13"/>
  <c r="L1591" i="13"/>
  <c r="L1592" i="13"/>
  <c r="L1593" i="13"/>
  <c r="L1594" i="13"/>
  <c r="L1595" i="13"/>
  <c r="L1596" i="13"/>
  <c r="L1597" i="13"/>
  <c r="L1598" i="13"/>
  <c r="L1599" i="13"/>
  <c r="L1600" i="13"/>
  <c r="L1601" i="13"/>
  <c r="L1602" i="13"/>
  <c r="L1603" i="13"/>
  <c r="L1604" i="13"/>
  <c r="L1605" i="13"/>
  <c r="L1606" i="13"/>
  <c r="L1607" i="13"/>
  <c r="L1608" i="13"/>
  <c r="L1609" i="13"/>
  <c r="L1610" i="13"/>
  <c r="L1611" i="13"/>
  <c r="L1612" i="13"/>
  <c r="L1613" i="13"/>
  <c r="L1614" i="13"/>
  <c r="L1615" i="13"/>
  <c r="L1616" i="13"/>
  <c r="L1617" i="13"/>
  <c r="L1618" i="13"/>
  <c r="L1619" i="13"/>
  <c r="L1620" i="13"/>
  <c r="L1621" i="13"/>
  <c r="L1622" i="13"/>
  <c r="L1623" i="13"/>
  <c r="L1624" i="13"/>
  <c r="L1625" i="13"/>
  <c r="L1626" i="13"/>
  <c r="L1627" i="13"/>
  <c r="L1628" i="13"/>
  <c r="L1629" i="13"/>
  <c r="L1630" i="13"/>
  <c r="L1631" i="13"/>
  <c r="L1632" i="13"/>
  <c r="L1633" i="13"/>
  <c r="L1634" i="13"/>
  <c r="L1635" i="13"/>
  <c r="L1636" i="13"/>
  <c r="L1637" i="13"/>
  <c r="L1638" i="13"/>
  <c r="L1639" i="13"/>
  <c r="L1640" i="13"/>
  <c r="L1641" i="13"/>
  <c r="L1642" i="13"/>
  <c r="L1643" i="13"/>
  <c r="L1644" i="13"/>
  <c r="L1645" i="13"/>
  <c r="L1646" i="13"/>
  <c r="L1647" i="13"/>
  <c r="L1648" i="13"/>
  <c r="L1649" i="13"/>
  <c r="L1650" i="13"/>
  <c r="L1651" i="13"/>
  <c r="L1652" i="13"/>
  <c r="L1653" i="13"/>
  <c r="L1654" i="13"/>
  <c r="L1655" i="13"/>
  <c r="L1656" i="13"/>
  <c r="L1657" i="13"/>
  <c r="L1658" i="13"/>
  <c r="L1659" i="13"/>
  <c r="L1660" i="13"/>
  <c r="L1661" i="13"/>
  <c r="L1662" i="13"/>
  <c r="L1663" i="13"/>
  <c r="L1664" i="13"/>
  <c r="L1665" i="13"/>
  <c r="L1666" i="13"/>
  <c r="L1667" i="13"/>
  <c r="L1668" i="13"/>
  <c r="L1669" i="13"/>
  <c r="L1670" i="13"/>
  <c r="L1671" i="13"/>
  <c r="L1672" i="13"/>
  <c r="L1673" i="13"/>
  <c r="L1674" i="13"/>
  <c r="L1675" i="13"/>
  <c r="L1676" i="13"/>
  <c r="L1677" i="13"/>
  <c r="L1678" i="13"/>
  <c r="L1679" i="13"/>
  <c r="L1680" i="13"/>
  <c r="L1681" i="13"/>
  <c r="L1682" i="13"/>
  <c r="L1683" i="13"/>
  <c r="L1684" i="13"/>
  <c r="L1685" i="13"/>
  <c r="L1686" i="13"/>
  <c r="L1687" i="13"/>
  <c r="L1688" i="13"/>
  <c r="L1689" i="13"/>
  <c r="L1690" i="13"/>
  <c r="L1691" i="13"/>
  <c r="L1692" i="13"/>
  <c r="L1693" i="13"/>
  <c r="L1694" i="13"/>
  <c r="L1695" i="13"/>
  <c r="L1696" i="13"/>
  <c r="L1697" i="13"/>
  <c r="L1698" i="13"/>
  <c r="L1699" i="13"/>
  <c r="L1700" i="13"/>
  <c r="L1701" i="13"/>
  <c r="L1702" i="13"/>
  <c r="L1703" i="13"/>
  <c r="L1704" i="13"/>
  <c r="L1705" i="13"/>
  <c r="L1706" i="13"/>
  <c r="L1707" i="13"/>
  <c r="L1708" i="13"/>
  <c r="L1709" i="13"/>
  <c r="L1710" i="13"/>
  <c r="L1711" i="13"/>
  <c r="L1712" i="13"/>
  <c r="L1713" i="13"/>
  <c r="L1714" i="13"/>
  <c r="L1715" i="13"/>
  <c r="L1716" i="13"/>
  <c r="L1717" i="13"/>
  <c r="L1718" i="13"/>
  <c r="L1719" i="13"/>
  <c r="L1720" i="13"/>
  <c r="L1721" i="13"/>
  <c r="L1722" i="13"/>
  <c r="L1723" i="13"/>
  <c r="L1724" i="13"/>
  <c r="L1725" i="13"/>
  <c r="L1726" i="13"/>
  <c r="L1727" i="13"/>
  <c r="L1728" i="13"/>
  <c r="L1729" i="13"/>
  <c r="L1730" i="13"/>
  <c r="L1731" i="13"/>
  <c r="L1732" i="13"/>
  <c r="L1733" i="13"/>
  <c r="L1734" i="13"/>
  <c r="L1735" i="13"/>
  <c r="L1736" i="13"/>
  <c r="L1737" i="13"/>
  <c r="L1738" i="13"/>
  <c r="L1739" i="13"/>
  <c r="L1740" i="13"/>
  <c r="L1741" i="13"/>
  <c r="L1742" i="13"/>
  <c r="L1743" i="13"/>
  <c r="L1744" i="13"/>
  <c r="L1745" i="13"/>
  <c r="L1746" i="13"/>
  <c r="L1747" i="13"/>
  <c r="L1748" i="13"/>
  <c r="L1749" i="13"/>
  <c r="L1750" i="13"/>
  <c r="L1751" i="13"/>
  <c r="L1752" i="13"/>
  <c r="L1753" i="13"/>
  <c r="L1754" i="13"/>
  <c r="L1755" i="13"/>
  <c r="L1756" i="13"/>
  <c r="L1757" i="13"/>
  <c r="L1758" i="13"/>
  <c r="L1759" i="13"/>
  <c r="L1760" i="13"/>
  <c r="L1761" i="13"/>
  <c r="L1762" i="13"/>
  <c r="L1763" i="13"/>
  <c r="L1764" i="13"/>
  <c r="L1765" i="13"/>
  <c r="L1766" i="13"/>
  <c r="L1767" i="13"/>
  <c r="L1768" i="13"/>
  <c r="L1769" i="13"/>
  <c r="L1770" i="13"/>
  <c r="L1771" i="13"/>
  <c r="L1772" i="13"/>
  <c r="L1773" i="13"/>
  <c r="L1774" i="13"/>
  <c r="L1775" i="13"/>
  <c r="L1776" i="13"/>
  <c r="L1777" i="13"/>
  <c r="L1778" i="13"/>
  <c r="L1779" i="13"/>
  <c r="L1780" i="13"/>
  <c r="L1781" i="13"/>
  <c r="L1782" i="13"/>
  <c r="L1783" i="13"/>
  <c r="L1784" i="13"/>
  <c r="L1785" i="13"/>
  <c r="L1786" i="13"/>
  <c r="L1787" i="13"/>
  <c r="L1788" i="13"/>
  <c r="L1789" i="13"/>
  <c r="L1790" i="13"/>
  <c r="L1791" i="13"/>
  <c r="L1792" i="13"/>
  <c r="L1793" i="13"/>
  <c r="L1794" i="13"/>
  <c r="L1795" i="13"/>
  <c r="L1796" i="13"/>
  <c r="L1797" i="13"/>
  <c r="L1798" i="13"/>
  <c r="L1799" i="13"/>
  <c r="L1800" i="13"/>
  <c r="L1801" i="13"/>
  <c r="L1802" i="13"/>
  <c r="L1803" i="13"/>
  <c r="L1804" i="13"/>
  <c r="L1805" i="13"/>
  <c r="L1806" i="13"/>
  <c r="L1807" i="13"/>
  <c r="L1808" i="13"/>
  <c r="L1809" i="13"/>
  <c r="L1810" i="13"/>
  <c r="L1811" i="13"/>
  <c r="L1812" i="13"/>
  <c r="L1813" i="13"/>
  <c r="L1814" i="13"/>
  <c r="L1815" i="13"/>
  <c r="L1816" i="13"/>
  <c r="L1817" i="13"/>
  <c r="L1818" i="13"/>
  <c r="L1819" i="13"/>
  <c r="L1820" i="13"/>
  <c r="L1821" i="13"/>
  <c r="L1822" i="13"/>
  <c r="L1823" i="13"/>
  <c r="L1824" i="13"/>
  <c r="L1825" i="13"/>
  <c r="L1826" i="13"/>
  <c r="L1827" i="13"/>
  <c r="L1828" i="13"/>
  <c r="L1829" i="13"/>
  <c r="L1830" i="13"/>
  <c r="L1831" i="13"/>
  <c r="L1832" i="13"/>
  <c r="L1833" i="13"/>
  <c r="L1834" i="13"/>
  <c r="L1835" i="13"/>
  <c r="L1836" i="13"/>
  <c r="L1837" i="13"/>
  <c r="L1838" i="13"/>
  <c r="L1839" i="13"/>
  <c r="L1840" i="13"/>
  <c r="L1841" i="13"/>
  <c r="L1842" i="13"/>
  <c r="L1843" i="13"/>
  <c r="L1844" i="13"/>
  <c r="L1845" i="13"/>
  <c r="L1846" i="13"/>
  <c r="L1847" i="13"/>
  <c r="L1848" i="13"/>
  <c r="L1849" i="13"/>
  <c r="L1850" i="13"/>
  <c r="L1851" i="13"/>
  <c r="L1852" i="13"/>
  <c r="L1853" i="13"/>
  <c r="L1854" i="13"/>
  <c r="L1855" i="13"/>
  <c r="L1856" i="13"/>
  <c r="L1857" i="13"/>
  <c r="L1858" i="13"/>
  <c r="L1859" i="13"/>
  <c r="L1860" i="13"/>
  <c r="L1861" i="13"/>
  <c r="L1862" i="13"/>
  <c r="L1863" i="13"/>
  <c r="L1864" i="13"/>
  <c r="L1865" i="13"/>
  <c r="L1866" i="13"/>
  <c r="L1867" i="13"/>
  <c r="L1868" i="13"/>
  <c r="L1869" i="13"/>
  <c r="L1870" i="13"/>
  <c r="L1871" i="13"/>
  <c r="L1872" i="13"/>
  <c r="L1873" i="13"/>
  <c r="L1874" i="13"/>
  <c r="L1875" i="13"/>
  <c r="L1876" i="13"/>
  <c r="L1877" i="13"/>
  <c r="L1878" i="13"/>
  <c r="L1879" i="13"/>
  <c r="L1880" i="13"/>
  <c r="L1881" i="13"/>
  <c r="L1882" i="13"/>
  <c r="L1883" i="13"/>
  <c r="L1884" i="13"/>
  <c r="L1885" i="13"/>
  <c r="L1886" i="13"/>
  <c r="L1887" i="13"/>
  <c r="L1888" i="13"/>
  <c r="L1889" i="13"/>
  <c r="L1890" i="13"/>
  <c r="L1891" i="13"/>
  <c r="L1892" i="13"/>
  <c r="L1893" i="13"/>
  <c r="L1894" i="13"/>
  <c r="L1895" i="13"/>
  <c r="L1896" i="13"/>
  <c r="L1897" i="13"/>
  <c r="L1898" i="13"/>
  <c r="L1899" i="13"/>
  <c r="L1900" i="13"/>
  <c r="L1901" i="13"/>
  <c r="L1902" i="13"/>
  <c r="L1903" i="13"/>
  <c r="L1904" i="13"/>
  <c r="L1905" i="13"/>
  <c r="L1906" i="13"/>
  <c r="L1907" i="13"/>
  <c r="L1908" i="13"/>
  <c r="L1909" i="13"/>
  <c r="L1910" i="13"/>
  <c r="L1911" i="13"/>
  <c r="L1912" i="13"/>
  <c r="L1913" i="13"/>
  <c r="L1914" i="13"/>
  <c r="L1915" i="13"/>
  <c r="L1916" i="13"/>
  <c r="L1917" i="13"/>
  <c r="L1918" i="13"/>
  <c r="L1919" i="13"/>
  <c r="L1920" i="13"/>
  <c r="L1921" i="13"/>
  <c r="L1922" i="13"/>
  <c r="L1923" i="13"/>
  <c r="L1924" i="13"/>
  <c r="L1925" i="13"/>
  <c r="L1926" i="13"/>
  <c r="L1927" i="13"/>
  <c r="L1928" i="13"/>
  <c r="L1929" i="13"/>
  <c r="L1930" i="13"/>
  <c r="L1931" i="13"/>
  <c r="L1932" i="13"/>
  <c r="L1933" i="13"/>
  <c r="L1934" i="13"/>
  <c r="L1935" i="13"/>
  <c r="L1936" i="13"/>
  <c r="L1937" i="13"/>
  <c r="L1938" i="13"/>
  <c r="L1939" i="13"/>
  <c r="L1940" i="13"/>
  <c r="L1941" i="13"/>
  <c r="L1942" i="13"/>
  <c r="L1943" i="13"/>
  <c r="L1944" i="13"/>
  <c r="L1945" i="13"/>
  <c r="L1946" i="13"/>
  <c r="L1947" i="13"/>
  <c r="L1948" i="13"/>
  <c r="L1949" i="13"/>
  <c r="L1950" i="13"/>
  <c r="L1951" i="13"/>
  <c r="L1952" i="13"/>
  <c r="L1953" i="13"/>
  <c r="L1954" i="13"/>
  <c r="L1955" i="13"/>
  <c r="L1956" i="13"/>
  <c r="L1957" i="13"/>
  <c r="L1958" i="13"/>
  <c r="L1959" i="13"/>
  <c r="L1960" i="13"/>
  <c r="L1961" i="13"/>
  <c r="L1962" i="13"/>
  <c r="L1963" i="13"/>
  <c r="L1964" i="13"/>
  <c r="L1965" i="13"/>
  <c r="L1966" i="13"/>
  <c r="L1967" i="13"/>
  <c r="L1968" i="13"/>
  <c r="L1969" i="13"/>
  <c r="L1970" i="13"/>
  <c r="L1971" i="13"/>
  <c r="L1972" i="13"/>
  <c r="L1973" i="13"/>
  <c r="L1974" i="13"/>
  <c r="L1975" i="13"/>
  <c r="L1976" i="13"/>
  <c r="L1977" i="13"/>
  <c r="L1978" i="13"/>
  <c r="L1979" i="13"/>
  <c r="L1980" i="13"/>
  <c r="L1981" i="13"/>
  <c r="L1982" i="13"/>
  <c r="L1983" i="13"/>
  <c r="L1984" i="13"/>
  <c r="L1985" i="13"/>
  <c r="L1986" i="13"/>
  <c r="L1987" i="13"/>
  <c r="L1988" i="13"/>
  <c r="L1989" i="13"/>
  <c r="L1990" i="13"/>
  <c r="L1991" i="13"/>
  <c r="L1992" i="13"/>
  <c r="L1993" i="13"/>
  <c r="L1994" i="13"/>
  <c r="L1995" i="13"/>
  <c r="L1996" i="13"/>
  <c r="L1997" i="13"/>
  <c r="L1998" i="13"/>
  <c r="L1999" i="13"/>
  <c r="L2000" i="13"/>
  <c r="L2001" i="13"/>
  <c r="L2002" i="13"/>
  <c r="L2003" i="13"/>
  <c r="L2004" i="13"/>
  <c r="L2005" i="13"/>
  <c r="L2006" i="13"/>
  <c r="L2007" i="13"/>
  <c r="L2008" i="13"/>
  <c r="L2009" i="13"/>
  <c r="L2010" i="13"/>
  <c r="L2011" i="13"/>
  <c r="L2012" i="13"/>
  <c r="L2013" i="13"/>
  <c r="L2014" i="13"/>
  <c r="L2015" i="13"/>
  <c r="L2016" i="13"/>
  <c r="L2017" i="13"/>
  <c r="L2018" i="13"/>
  <c r="L2019" i="13"/>
  <c r="L2020" i="13"/>
  <c r="L2021" i="13"/>
  <c r="L2022" i="13"/>
  <c r="L2023" i="13"/>
  <c r="L2024" i="13"/>
  <c r="L2025" i="13"/>
  <c r="L2026" i="13"/>
  <c r="L2027" i="13"/>
  <c r="L2028" i="13"/>
  <c r="L2029" i="13"/>
  <c r="L2030" i="13"/>
  <c r="L2031" i="13"/>
  <c r="L2032" i="13"/>
  <c r="L2033" i="13"/>
  <c r="L2034" i="13"/>
  <c r="L2035" i="13"/>
  <c r="L2036" i="13"/>
  <c r="L2037" i="13"/>
  <c r="L2038" i="13"/>
  <c r="L2039" i="13"/>
  <c r="L2040" i="13"/>
  <c r="L2041" i="13"/>
  <c r="L2042" i="13"/>
  <c r="L2043" i="13"/>
  <c r="L2044" i="13"/>
  <c r="L2045" i="13"/>
  <c r="L2046" i="13"/>
  <c r="L2047" i="13"/>
  <c r="L2048" i="13"/>
  <c r="L2049" i="13"/>
  <c r="L2050" i="13"/>
  <c r="L2051" i="13"/>
  <c r="L2052" i="13"/>
  <c r="L2053" i="13"/>
  <c r="L2054" i="13"/>
  <c r="L2055" i="13"/>
  <c r="L2056" i="13"/>
  <c r="L2057" i="13"/>
  <c r="L2058" i="13"/>
  <c r="L2059" i="13"/>
  <c r="L2060" i="13"/>
  <c r="L2061" i="13"/>
  <c r="L2062" i="13"/>
  <c r="L2063" i="13"/>
  <c r="L2064" i="13"/>
  <c r="L2065" i="13"/>
  <c r="L2066" i="13"/>
  <c r="L2067" i="13"/>
  <c r="L2068" i="13"/>
  <c r="L2069" i="13"/>
  <c r="L2070" i="13"/>
  <c r="L2071" i="13"/>
  <c r="L2072" i="13"/>
  <c r="L2073" i="13"/>
  <c r="L2074" i="13"/>
  <c r="L2075" i="13"/>
  <c r="L2076" i="13"/>
  <c r="L2077" i="13"/>
  <c r="L2078" i="13"/>
  <c r="L2079" i="13"/>
  <c r="L2080" i="13"/>
  <c r="L2081" i="13"/>
  <c r="L2082" i="13"/>
  <c r="L2083" i="13"/>
  <c r="L2084" i="13"/>
  <c r="L2085" i="13"/>
  <c r="L2086" i="13"/>
  <c r="L2087" i="13"/>
  <c r="L2088" i="13"/>
  <c r="L2089" i="13"/>
  <c r="L2090" i="13"/>
  <c r="L2091" i="13"/>
  <c r="L2092" i="13"/>
  <c r="L2093" i="13"/>
  <c r="L2094" i="13"/>
  <c r="L2095" i="13"/>
  <c r="L2096" i="13"/>
  <c r="L2097" i="13"/>
  <c r="L2098" i="13"/>
  <c r="L2099" i="13"/>
  <c r="L2100" i="13"/>
  <c r="L2101" i="13"/>
  <c r="L2102" i="13"/>
  <c r="L2103" i="13"/>
  <c r="L2104" i="13"/>
  <c r="L2105" i="13"/>
  <c r="L2106" i="13"/>
  <c r="L2107" i="13"/>
  <c r="L2108" i="13"/>
  <c r="L2109" i="13"/>
  <c r="L2110" i="13"/>
  <c r="L2111" i="13"/>
  <c r="L2112" i="13"/>
  <c r="L2113" i="13"/>
  <c r="L2114" i="13"/>
  <c r="L2115" i="13"/>
  <c r="L2116" i="13"/>
  <c r="L2117" i="13"/>
  <c r="L2118" i="13"/>
  <c r="L2119" i="13"/>
  <c r="L2120" i="13"/>
  <c r="L2121" i="13"/>
  <c r="L2122" i="13"/>
  <c r="L2123" i="13"/>
  <c r="L2124" i="13"/>
  <c r="L2125" i="13"/>
  <c r="L2126" i="13"/>
  <c r="L2127" i="13"/>
  <c r="L2128" i="13"/>
  <c r="L2129" i="13"/>
  <c r="L2130" i="13"/>
  <c r="L2131" i="13"/>
  <c r="L2132" i="13"/>
  <c r="L2133" i="13"/>
  <c r="L2134" i="13"/>
  <c r="L2135" i="13"/>
  <c r="L2136" i="13"/>
  <c r="L2137" i="13"/>
  <c r="L2138" i="13"/>
  <c r="L2139" i="13"/>
  <c r="L2140" i="13"/>
  <c r="L2141" i="13"/>
  <c r="L2142" i="13"/>
  <c r="L2143" i="13"/>
  <c r="L2144" i="13"/>
  <c r="L2145" i="13"/>
  <c r="L2146" i="13"/>
  <c r="L2147" i="13"/>
  <c r="L2148" i="13"/>
  <c r="L2149" i="13"/>
  <c r="L2150" i="13"/>
  <c r="L2151" i="13"/>
  <c r="L2152" i="13"/>
  <c r="L2153" i="13"/>
  <c r="L2154" i="13"/>
  <c r="L2155" i="13"/>
  <c r="L2156" i="13"/>
  <c r="L2157" i="13"/>
  <c r="L2158" i="13"/>
  <c r="L2159" i="13"/>
  <c r="L2160" i="13"/>
  <c r="L2161" i="13"/>
  <c r="L2162" i="13"/>
  <c r="L2163" i="13"/>
  <c r="L2164" i="13"/>
  <c r="L2165" i="13"/>
  <c r="L2166" i="13"/>
  <c r="L2167" i="13"/>
  <c r="L2168" i="13"/>
  <c r="L2169" i="13"/>
  <c r="L2170" i="13"/>
  <c r="L2171" i="13"/>
  <c r="L2172" i="13"/>
  <c r="L2173" i="13"/>
  <c r="L2174" i="13"/>
  <c r="L2175" i="13"/>
  <c r="L2176" i="13"/>
  <c r="L2177" i="13"/>
  <c r="L2178" i="13"/>
  <c r="L2179" i="13"/>
  <c r="L2180" i="13"/>
  <c r="L2181" i="13"/>
  <c r="L2182" i="13"/>
  <c r="L2183" i="13"/>
  <c r="L2184" i="13"/>
  <c r="L2185" i="13"/>
  <c r="L2186" i="13"/>
  <c r="L2187" i="13"/>
  <c r="L2188" i="13"/>
  <c r="L2189" i="13"/>
  <c r="L2190" i="13"/>
  <c r="L2191" i="13"/>
  <c r="L2192" i="13"/>
  <c r="L2193" i="13"/>
  <c r="L2194" i="13"/>
  <c r="L2195" i="13"/>
  <c r="L2196" i="13"/>
  <c r="L2197" i="13"/>
  <c r="L2198" i="13"/>
  <c r="L2199" i="13"/>
  <c r="L2200" i="13"/>
  <c r="L2201" i="13"/>
  <c r="L2202" i="13"/>
  <c r="L2203" i="13"/>
  <c r="L2204" i="13"/>
  <c r="L2205" i="13"/>
  <c r="L2206" i="13"/>
  <c r="L2207" i="13"/>
  <c r="L2208" i="13"/>
  <c r="L2209" i="13"/>
  <c r="L2210" i="13"/>
  <c r="L2211" i="13"/>
  <c r="L2212" i="13"/>
  <c r="L2213" i="13"/>
  <c r="L2214" i="13"/>
  <c r="L2215" i="13"/>
  <c r="L2216" i="13"/>
  <c r="L2217" i="13"/>
  <c r="L2218" i="13"/>
  <c r="L2219" i="13"/>
  <c r="L2220" i="13"/>
  <c r="L2221" i="13"/>
  <c r="L2222" i="13"/>
  <c r="L2223" i="13"/>
  <c r="L2224" i="13"/>
  <c r="L2225" i="13"/>
  <c r="L2226" i="13"/>
  <c r="L2227" i="13"/>
  <c r="L2228" i="13"/>
  <c r="L2229" i="13"/>
  <c r="L2230" i="13"/>
  <c r="L2231" i="13"/>
  <c r="L2232" i="13"/>
  <c r="L2233" i="13"/>
  <c r="L2234" i="13"/>
  <c r="L2235" i="13"/>
  <c r="L2236" i="13"/>
  <c r="L2237" i="13"/>
  <c r="L2238" i="13"/>
  <c r="L2239" i="13"/>
  <c r="L2240" i="13"/>
  <c r="L2241" i="13"/>
  <c r="L2242" i="13"/>
  <c r="L2243" i="13"/>
  <c r="L2244" i="13"/>
  <c r="L2245" i="13"/>
  <c r="L2246" i="13"/>
  <c r="L2247" i="13"/>
  <c r="L2248" i="13"/>
  <c r="L2249" i="13"/>
  <c r="L2250" i="13"/>
  <c r="L2251" i="13"/>
  <c r="L2252" i="13"/>
  <c r="L2253" i="13"/>
  <c r="L2254" i="13"/>
  <c r="L2255" i="13"/>
  <c r="L2256" i="13"/>
  <c r="L2257" i="13"/>
  <c r="L2258" i="13"/>
  <c r="L2259" i="13"/>
  <c r="L2260" i="13"/>
  <c r="L2261" i="13"/>
  <c r="L2262" i="13"/>
  <c r="L2263" i="13"/>
  <c r="L2264" i="13"/>
  <c r="L2265" i="13"/>
  <c r="L2266" i="13"/>
  <c r="L2267" i="13"/>
  <c r="L2268" i="13"/>
  <c r="L2269" i="13"/>
  <c r="L2270" i="13"/>
  <c r="L2271" i="13"/>
  <c r="L2272" i="13"/>
  <c r="L2273" i="13"/>
  <c r="L2274" i="13"/>
  <c r="L2275" i="13"/>
  <c r="L2276" i="13"/>
  <c r="L2277" i="13"/>
  <c r="L2278" i="13"/>
  <c r="L2279" i="13"/>
  <c r="L2280" i="13"/>
  <c r="L2281" i="13"/>
  <c r="L2282" i="13"/>
  <c r="L2283" i="13"/>
  <c r="L2284" i="13"/>
  <c r="L2285" i="13"/>
  <c r="L2286" i="13"/>
  <c r="L2287" i="13"/>
  <c r="L2288" i="13"/>
  <c r="L2289" i="13"/>
  <c r="L2290" i="13"/>
  <c r="L2291" i="13"/>
  <c r="L2292" i="13"/>
  <c r="L2293" i="13"/>
  <c r="L2294" i="13"/>
  <c r="L2295" i="13"/>
  <c r="L2296" i="13"/>
  <c r="L2297" i="13"/>
  <c r="L2298" i="13"/>
  <c r="L2299" i="13"/>
  <c r="L2300" i="13"/>
  <c r="L2301" i="13"/>
  <c r="L2302" i="13"/>
  <c r="L2303" i="13"/>
  <c r="L2304" i="13"/>
  <c r="L2305" i="13"/>
  <c r="L2306" i="13"/>
  <c r="L2307" i="13"/>
  <c r="L2308" i="13"/>
  <c r="L2309" i="13"/>
  <c r="L2310" i="13"/>
  <c r="L2311" i="13"/>
  <c r="L2312" i="13"/>
  <c r="L2313" i="13"/>
  <c r="L2314" i="13"/>
  <c r="L2315" i="13"/>
  <c r="L2316" i="13"/>
  <c r="L2317" i="13"/>
  <c r="L2318" i="13"/>
  <c r="L2319" i="13"/>
  <c r="L2320" i="13"/>
  <c r="L2321" i="13"/>
  <c r="L2322" i="13"/>
  <c r="L2323" i="13"/>
  <c r="L2324" i="13"/>
  <c r="L2325" i="13"/>
  <c r="L2326" i="13"/>
  <c r="L2327" i="13"/>
  <c r="L2328" i="13"/>
  <c r="L2329" i="13"/>
  <c r="L2330" i="13"/>
  <c r="L2331" i="13"/>
  <c r="L2332" i="13"/>
  <c r="L2333" i="13"/>
  <c r="L2334" i="13"/>
  <c r="L2335" i="13"/>
  <c r="L2336" i="13"/>
  <c r="L2337" i="13"/>
  <c r="L2338" i="13"/>
  <c r="L2339" i="13"/>
  <c r="L2340" i="13"/>
  <c r="L2341" i="13"/>
  <c r="L2342" i="13"/>
  <c r="L2343" i="13"/>
  <c r="L2344" i="13"/>
  <c r="L2345" i="13"/>
  <c r="L2346" i="13"/>
  <c r="L2347" i="13"/>
  <c r="L2348" i="13"/>
  <c r="L2349" i="13"/>
  <c r="L2350" i="13"/>
  <c r="L2351" i="13"/>
  <c r="L2352" i="13"/>
  <c r="L2353" i="13"/>
  <c r="L2354" i="13"/>
  <c r="L2355" i="13"/>
  <c r="L2356" i="13"/>
  <c r="L2357" i="13"/>
  <c r="L2358" i="13"/>
  <c r="L2359" i="13"/>
  <c r="L2360" i="13"/>
  <c r="L2361" i="13"/>
  <c r="L2362" i="13"/>
  <c r="L2363" i="13"/>
  <c r="L2364" i="13"/>
  <c r="L2365" i="13"/>
  <c r="L2366" i="13"/>
  <c r="L2367" i="13"/>
  <c r="L2368" i="13"/>
  <c r="L2369" i="13"/>
  <c r="L2370" i="13"/>
  <c r="L2371" i="13"/>
  <c r="L2372" i="13"/>
  <c r="L2373" i="13"/>
  <c r="L2374" i="13"/>
  <c r="L2375" i="13"/>
  <c r="L2376" i="13"/>
  <c r="L2377" i="13"/>
  <c r="L2378" i="13"/>
  <c r="L2379" i="13"/>
  <c r="L2380" i="13"/>
  <c r="L2381" i="13"/>
  <c r="L2382" i="13"/>
  <c r="L2383" i="13"/>
  <c r="L2384" i="13"/>
  <c r="L2385" i="13"/>
  <c r="L2386" i="13"/>
  <c r="L2387" i="13"/>
  <c r="L2388" i="13"/>
  <c r="L2389" i="13"/>
  <c r="L2390" i="13"/>
  <c r="L2391" i="13"/>
  <c r="L2392" i="13"/>
  <c r="L2393" i="13"/>
  <c r="L2394" i="13"/>
  <c r="L2395" i="13"/>
  <c r="L2396" i="13"/>
  <c r="L2397" i="13"/>
  <c r="L2398" i="13"/>
  <c r="L2399" i="13"/>
  <c r="L2400" i="13"/>
  <c r="L2401" i="13"/>
  <c r="L2402" i="13"/>
  <c r="L2403" i="13"/>
  <c r="L2404" i="13"/>
  <c r="L2405" i="13"/>
  <c r="L2406" i="13"/>
  <c r="L2407" i="13"/>
  <c r="L2408" i="13"/>
  <c r="L2409" i="13"/>
  <c r="L2410" i="13"/>
  <c r="L2411" i="13"/>
  <c r="L2412" i="13"/>
  <c r="L2413" i="13"/>
  <c r="L2414" i="13"/>
  <c r="L2415" i="13"/>
  <c r="L2416" i="13"/>
  <c r="L2417" i="13"/>
  <c r="L2418" i="13"/>
  <c r="L2419" i="13"/>
  <c r="L2420" i="13"/>
  <c r="L2421" i="13"/>
  <c r="L2422" i="13"/>
  <c r="L2423" i="13"/>
  <c r="L2424" i="13"/>
  <c r="L2425" i="13"/>
  <c r="L2426" i="13"/>
  <c r="L2427" i="13"/>
  <c r="L2428" i="13"/>
  <c r="L2429" i="13"/>
  <c r="L2430" i="13"/>
  <c r="L2431" i="13"/>
  <c r="L2432" i="13"/>
  <c r="L2433" i="13"/>
  <c r="L2434" i="13"/>
  <c r="L2435" i="13"/>
  <c r="L2436" i="13"/>
  <c r="L2437" i="13"/>
  <c r="L2438" i="13"/>
  <c r="L2439" i="13"/>
  <c r="L2440" i="13"/>
  <c r="L2441" i="13"/>
  <c r="L2442" i="13"/>
  <c r="L2443" i="13"/>
  <c r="L2444" i="13"/>
  <c r="L2445" i="13"/>
  <c r="L2446" i="13"/>
  <c r="L2447" i="13"/>
  <c r="L2448" i="13"/>
  <c r="L2449" i="13"/>
  <c r="L2450" i="13"/>
  <c r="L2451" i="13"/>
  <c r="L2452" i="13"/>
  <c r="L2453" i="13"/>
  <c r="L2454" i="13"/>
  <c r="L2455" i="13"/>
  <c r="L2456" i="13"/>
  <c r="L2457" i="13"/>
  <c r="L2458" i="13"/>
  <c r="L2459" i="13"/>
  <c r="L2460" i="13"/>
  <c r="L2461" i="13"/>
  <c r="L2462" i="13"/>
  <c r="L2463" i="13"/>
  <c r="L2464" i="13"/>
  <c r="L2465" i="13"/>
  <c r="L2466" i="13"/>
  <c r="L2467" i="13"/>
  <c r="L2468" i="13"/>
  <c r="L2469" i="13"/>
  <c r="L2470" i="13"/>
  <c r="L2471" i="13"/>
  <c r="L2472" i="13"/>
  <c r="L2473" i="13"/>
  <c r="L2474" i="13"/>
  <c r="L2475" i="13"/>
  <c r="L2476" i="13"/>
  <c r="L2477" i="13"/>
  <c r="L2478" i="13"/>
  <c r="L2479" i="13"/>
  <c r="L2480" i="13"/>
  <c r="L2481" i="13"/>
  <c r="L2482" i="13"/>
  <c r="L2483" i="13"/>
  <c r="L2484" i="13"/>
  <c r="L2485" i="13"/>
  <c r="L2486" i="13"/>
  <c r="L2487" i="13"/>
  <c r="L2488" i="13"/>
  <c r="L2489" i="13"/>
  <c r="L2490" i="13"/>
  <c r="L2491" i="13"/>
  <c r="L2492" i="13"/>
  <c r="L2493" i="13"/>
  <c r="L2494" i="13"/>
  <c r="L2495" i="13"/>
  <c r="L2496" i="13"/>
  <c r="L2497" i="13"/>
  <c r="L2498" i="13"/>
  <c r="L2499" i="13"/>
  <c r="L2500" i="13"/>
  <c r="L2" i="13"/>
</calcChain>
</file>

<file path=xl/sharedStrings.xml><?xml version="1.0" encoding="utf-8"?>
<sst xmlns="http://schemas.openxmlformats.org/spreadsheetml/2006/main" count="15092" uniqueCount="3175">
  <si>
    <t>Gender</t>
  </si>
  <si>
    <t>Age</t>
  </si>
  <si>
    <t>Bhubaneswar</t>
  </si>
  <si>
    <t>Refunded</t>
  </si>
  <si>
    <t>Meerut</t>
  </si>
  <si>
    <t>Payyannur</t>
  </si>
  <si>
    <t>Allahabad</t>
  </si>
  <si>
    <t>Bangalore</t>
  </si>
  <si>
    <t>Panchkula</t>
  </si>
  <si>
    <t>Bengaluru</t>
  </si>
  <si>
    <t>Nayagarh</t>
  </si>
  <si>
    <t>Barasat</t>
  </si>
  <si>
    <t>Coimbatore</t>
  </si>
  <si>
    <t>Kannur</t>
  </si>
  <si>
    <t>Kollam</t>
  </si>
  <si>
    <t>Vadodara</t>
  </si>
  <si>
    <t>Hyderabad</t>
  </si>
  <si>
    <t>Kolkata</t>
  </si>
  <si>
    <t>Mumbai</t>
  </si>
  <si>
    <t>Solapur</t>
  </si>
  <si>
    <t>Chennai</t>
  </si>
  <si>
    <t>Gurgaon</t>
  </si>
  <si>
    <t>Tiruppur</t>
  </si>
  <si>
    <t>Jalna</t>
  </si>
  <si>
    <t>Mavelikkara</t>
  </si>
  <si>
    <t>Bhopal</t>
  </si>
  <si>
    <t>Agartala</t>
  </si>
  <si>
    <t>New Delhi</t>
  </si>
  <si>
    <t>Visakhapatnam</t>
  </si>
  <si>
    <t>Ranchi</t>
  </si>
  <si>
    <t>Pune</t>
  </si>
  <si>
    <t>Kolhapur</t>
  </si>
  <si>
    <t>Ghansoli</t>
  </si>
  <si>
    <t>Kozhikode</t>
  </si>
  <si>
    <t>Kudukkimotta</t>
  </si>
  <si>
    <t>Srikakulam</t>
  </si>
  <si>
    <t>Karimnagar</t>
  </si>
  <si>
    <t>Cheppad</t>
  </si>
  <si>
    <t>Navi Mumbai</t>
  </si>
  <si>
    <t>Sikkathambur Palayam</t>
  </si>
  <si>
    <t>Osmanabad</t>
  </si>
  <si>
    <t>Rewa</t>
  </si>
  <si>
    <t>Indirapuram, Ghaziabad</t>
  </si>
  <si>
    <t>Thane</t>
  </si>
  <si>
    <t>Burdwan</t>
  </si>
  <si>
    <t>Delhi</t>
  </si>
  <si>
    <t>Siddipet</t>
  </si>
  <si>
    <t>Nagpur</t>
  </si>
  <si>
    <t>Dehradun</t>
  </si>
  <si>
    <t>Enathu</t>
  </si>
  <si>
    <t>Patna</t>
  </si>
  <si>
    <t>Panvel</t>
  </si>
  <si>
    <t>Kalyan West</t>
  </si>
  <si>
    <t>Gurugram</t>
  </si>
  <si>
    <t>Ribander</t>
  </si>
  <si>
    <t>Mysore</t>
  </si>
  <si>
    <t>Benipatti</t>
  </si>
  <si>
    <t>Virudhunagar</t>
  </si>
  <si>
    <t>Mathura</t>
  </si>
  <si>
    <t>Ajmer</t>
  </si>
  <si>
    <t>Ernakulam</t>
  </si>
  <si>
    <t>Thrissur</t>
  </si>
  <si>
    <t>Surat</t>
  </si>
  <si>
    <t>Mapusa</t>
  </si>
  <si>
    <t>Kochi</t>
  </si>
  <si>
    <t>Ghaziabad</t>
  </si>
  <si>
    <t>Akola</t>
  </si>
  <si>
    <t>Perinthalmanna</t>
  </si>
  <si>
    <t>Etawah</t>
  </si>
  <si>
    <t>Haridwar</t>
  </si>
  <si>
    <t>Purnia</t>
  </si>
  <si>
    <t>Margao</t>
  </si>
  <si>
    <t>Dindigul</t>
  </si>
  <si>
    <t>Howrah</t>
  </si>
  <si>
    <t>Shillong</t>
  </si>
  <si>
    <t>Vijayawada</t>
  </si>
  <si>
    <t>Salem</t>
  </si>
  <si>
    <t>Thiruvalla</t>
  </si>
  <si>
    <t>Gandhinagar</t>
  </si>
  <si>
    <t>Karur</t>
  </si>
  <si>
    <t>Lucknow</t>
  </si>
  <si>
    <t>Tiruchirappalli</t>
  </si>
  <si>
    <t>Pondicherry</t>
  </si>
  <si>
    <t>Jamshedpur</t>
  </si>
  <si>
    <t>Kanpur</t>
  </si>
  <si>
    <t>Nizamabad</t>
  </si>
  <si>
    <t>Faridabad</t>
  </si>
  <si>
    <t>Kanchipuram</t>
  </si>
  <si>
    <t>Thanjavur</t>
  </si>
  <si>
    <t>Lakhimpur</t>
  </si>
  <si>
    <t>Haldwani</t>
  </si>
  <si>
    <t>Noida</t>
  </si>
  <si>
    <t>Malappuram</t>
  </si>
  <si>
    <t>Inkollu</t>
  </si>
  <si>
    <t>Bareilly</t>
  </si>
  <si>
    <t>Khanna</t>
  </si>
  <si>
    <t>Siliguri</t>
  </si>
  <si>
    <t>Hosur</t>
  </si>
  <si>
    <t>Rourkela</t>
  </si>
  <si>
    <t>Karimganj</t>
  </si>
  <si>
    <t>Sonipat</t>
  </si>
  <si>
    <t>Shimla</t>
  </si>
  <si>
    <t>Vizianagaram</t>
  </si>
  <si>
    <t>Nashik</t>
  </si>
  <si>
    <t>Chandigarh</t>
  </si>
  <si>
    <t>Sagar</t>
  </si>
  <si>
    <t>Kalyan</t>
  </si>
  <si>
    <t>Bhagalpur</t>
  </si>
  <si>
    <t>South Goa</t>
  </si>
  <si>
    <t>Indore</t>
  </si>
  <si>
    <t>Amravati</t>
  </si>
  <si>
    <t>Vellore</t>
  </si>
  <si>
    <t>Saharanpur</t>
  </si>
  <si>
    <t>Tinsukia</t>
  </si>
  <si>
    <t>Erode</t>
  </si>
  <si>
    <t>Bokaro Steel City</t>
  </si>
  <si>
    <t>Udaipur</t>
  </si>
  <si>
    <t>Ayoor</t>
  </si>
  <si>
    <t>Ponda</t>
  </si>
  <si>
    <t>Bhimavaram</t>
  </si>
  <si>
    <t>Leh</t>
  </si>
  <si>
    <t>Muvattupuzha</t>
  </si>
  <si>
    <t>Manipal</t>
  </si>
  <si>
    <t>Honda</t>
  </si>
  <si>
    <t>Gorakhpur</t>
  </si>
  <si>
    <t>Kakkanad</t>
  </si>
  <si>
    <t>Nagercoil</t>
  </si>
  <si>
    <t>Saifai Etawah</t>
  </si>
  <si>
    <t>Dibrugarh</t>
  </si>
  <si>
    <t>Udupi</t>
  </si>
  <si>
    <t>Jatani</t>
  </si>
  <si>
    <t>Moradabad</t>
  </si>
  <si>
    <t>Pathankot</t>
  </si>
  <si>
    <t>Imphal</t>
  </si>
  <si>
    <t>Ahmedabad</t>
  </si>
  <si>
    <t>Silvassa</t>
  </si>
  <si>
    <t>Agra</t>
  </si>
  <si>
    <t>Chandausi</t>
  </si>
  <si>
    <t>Secunderabad</t>
  </si>
  <si>
    <t>Rajahmundry</t>
  </si>
  <si>
    <t>Dimapur</t>
  </si>
  <si>
    <t>Mohali</t>
  </si>
  <si>
    <t>Chalakudy , Thrissur</t>
  </si>
  <si>
    <t>Barabanki</t>
  </si>
  <si>
    <t>Jaipur</t>
  </si>
  <si>
    <t>Varanasi</t>
  </si>
  <si>
    <t>Tezpur</t>
  </si>
  <si>
    <t>Cuttack</t>
  </si>
  <si>
    <t>Guwahati</t>
  </si>
  <si>
    <t>Puducherry</t>
  </si>
  <si>
    <t>Sohna</t>
  </si>
  <si>
    <t>Bidar</t>
  </si>
  <si>
    <t>Ludhiana</t>
  </si>
  <si>
    <t>Aluva</t>
  </si>
  <si>
    <t>Proddatur</t>
  </si>
  <si>
    <t>Palwal</t>
  </si>
  <si>
    <t>Dharamshala</t>
  </si>
  <si>
    <t>Belagavi</t>
  </si>
  <si>
    <t>Jammu</t>
  </si>
  <si>
    <t>Port Blair</t>
  </si>
  <si>
    <t>Mysuru</t>
  </si>
  <si>
    <t>Raichur</t>
  </si>
  <si>
    <t>Banglore</t>
  </si>
  <si>
    <t>Ongole</t>
  </si>
  <si>
    <t>Palakkad</t>
  </si>
  <si>
    <t>Khammam</t>
  </si>
  <si>
    <t>Tenali</t>
  </si>
  <si>
    <t>Hubballi</t>
  </si>
  <si>
    <t>New Town</t>
  </si>
  <si>
    <t>Shyamnagar</t>
  </si>
  <si>
    <t>Nellore</t>
  </si>
  <si>
    <t>Unnao</t>
  </si>
  <si>
    <t>Greater Noida</t>
  </si>
  <si>
    <t>Panaji</t>
  </si>
  <si>
    <t>Mundra</t>
  </si>
  <si>
    <t>Thiruvananthapuram</t>
  </si>
  <si>
    <t>Aligarh</t>
  </si>
  <si>
    <t>Zirakpur</t>
  </si>
  <si>
    <t>Mandi</t>
  </si>
  <si>
    <t>Kottayam</t>
  </si>
  <si>
    <t>Guntur</t>
  </si>
  <si>
    <t>Mangaluru</t>
  </si>
  <si>
    <t>Anand</t>
  </si>
  <si>
    <t>Ahmednagar</t>
  </si>
  <si>
    <t>Jabalpur</t>
  </si>
  <si>
    <t>Tirupati</t>
  </si>
  <si>
    <t>Paravur</t>
  </si>
  <si>
    <t>Doddaballapur</t>
  </si>
  <si>
    <t>Anjar</t>
  </si>
  <si>
    <t>Beawar</t>
  </si>
  <si>
    <t>Jhansi</t>
  </si>
  <si>
    <t>Pali</t>
  </si>
  <si>
    <t>Madurai</t>
  </si>
  <si>
    <t>Changanacherry</t>
  </si>
  <si>
    <t>Warangal</t>
  </si>
  <si>
    <t>Serampore</t>
  </si>
  <si>
    <t>Kurnool</t>
  </si>
  <si>
    <t>Amritsar</t>
  </si>
  <si>
    <t>Kasaragod</t>
  </si>
  <si>
    <t>Kokrajhar</t>
  </si>
  <si>
    <t>Anpara,Sonebhadra</t>
  </si>
  <si>
    <t>Banda</t>
  </si>
  <si>
    <t>Oachira</t>
  </si>
  <si>
    <t>Rohtak</t>
  </si>
  <si>
    <t>Sangareddy</t>
  </si>
  <si>
    <t>Nagaon</t>
  </si>
  <si>
    <t>Chandrapur</t>
  </si>
  <si>
    <t>Kota</t>
  </si>
  <si>
    <t>Srikalahasti</t>
  </si>
  <si>
    <t>Rajkot</t>
  </si>
  <si>
    <t>Madhurawada</t>
  </si>
  <si>
    <t>Shahjahanpur</t>
  </si>
  <si>
    <t>Shivamogga</t>
  </si>
  <si>
    <t>Pathanamthitta</t>
  </si>
  <si>
    <t>Raipur</t>
  </si>
  <si>
    <t>Motihari</t>
  </si>
  <si>
    <t>Sikar</t>
  </si>
  <si>
    <t>Darbhanga</t>
  </si>
  <si>
    <t>Latur</t>
  </si>
  <si>
    <t>Shahdara</t>
  </si>
  <si>
    <t>Begusarai</t>
  </si>
  <si>
    <t>Kottayam District</t>
  </si>
  <si>
    <t>Bhosari, Pune</t>
  </si>
  <si>
    <t>Silchar</t>
  </si>
  <si>
    <t>Kaij</t>
  </si>
  <si>
    <t>Bardoli</t>
  </si>
  <si>
    <t>Jalandhar</t>
  </si>
  <si>
    <t>Colvale</t>
  </si>
  <si>
    <t>Jaunpur</t>
  </si>
  <si>
    <t>Alwar</t>
  </si>
  <si>
    <t>Satara</t>
  </si>
  <si>
    <t>Virar West</t>
  </si>
  <si>
    <t>Dakshina Kannada</t>
  </si>
  <si>
    <t>Nimta</t>
  </si>
  <si>
    <t>Sahibganj</t>
  </si>
  <si>
    <t>Anupuram</t>
  </si>
  <si>
    <t>Srinagar</t>
  </si>
  <si>
    <t>Miraj</t>
  </si>
  <si>
    <t>Pimpri Chinchwad</t>
  </si>
  <si>
    <t>City</t>
  </si>
  <si>
    <t>Gaya</t>
  </si>
  <si>
    <t>Ara</t>
  </si>
  <si>
    <t>Bulandshahr</t>
  </si>
  <si>
    <t>Srivilliputhur</t>
  </si>
  <si>
    <t>Dhakholi</t>
  </si>
  <si>
    <t>Chengannur</t>
  </si>
  <si>
    <t>Bikaner</t>
  </si>
  <si>
    <t>Anantapur</t>
  </si>
  <si>
    <t>Raia</t>
  </si>
  <si>
    <t>Etah</t>
  </si>
  <si>
    <t>Amruthahalli, Jakkur Post</t>
  </si>
  <si>
    <t>Rudrapur</t>
  </si>
  <si>
    <t>Bathinda</t>
  </si>
  <si>
    <t>Aurangabad</t>
  </si>
  <si>
    <t>Asansol</t>
  </si>
  <si>
    <t>Berhampur</t>
  </si>
  <si>
    <t>Alappuzha</t>
  </si>
  <si>
    <t>Jorhat</t>
  </si>
  <si>
    <t>Patiala</t>
  </si>
  <si>
    <t>Bilaspur</t>
  </si>
  <si>
    <t>Ateli</t>
  </si>
  <si>
    <t>Dapoli Camp</t>
  </si>
  <si>
    <t>Padappai</t>
  </si>
  <si>
    <t>Mannar</t>
  </si>
  <si>
    <t>Byasanagar</t>
  </si>
  <si>
    <t>Bicholim</t>
  </si>
  <si>
    <t>Lakhisarai</t>
  </si>
  <si>
    <t>Naigaon East</t>
  </si>
  <si>
    <t>Dharapuram</t>
  </si>
  <si>
    <t>Ankleshwar</t>
  </si>
  <si>
    <t>Sehore</t>
  </si>
  <si>
    <t>Jalgaon</t>
  </si>
  <si>
    <t>Bijnor</t>
  </si>
  <si>
    <t>Malda</t>
  </si>
  <si>
    <t>Ujjain</t>
  </si>
  <si>
    <t>Itanagar</t>
  </si>
  <si>
    <t>Almora</t>
  </si>
  <si>
    <t>Gurdaspur</t>
  </si>
  <si>
    <t>Pauri</t>
  </si>
  <si>
    <t>Ambala</t>
  </si>
  <si>
    <t>Eluru</t>
  </si>
  <si>
    <t>Loni</t>
  </si>
  <si>
    <t>Bhadrak</t>
  </si>
  <si>
    <t>Jalpaiguri</t>
  </si>
  <si>
    <t>Deoghar</t>
  </si>
  <si>
    <t>Tadong</t>
  </si>
  <si>
    <t>Palghar</t>
  </si>
  <si>
    <t>Khamgaon</t>
  </si>
  <si>
    <t>Dumraon</t>
  </si>
  <si>
    <t>Chengalpattu</t>
  </si>
  <si>
    <t>Darjeeling</t>
  </si>
  <si>
    <t>Anugul</t>
  </si>
  <si>
    <t>Neyveli</t>
  </si>
  <si>
    <t>Nacharam</t>
  </si>
  <si>
    <t>Gwalior</t>
  </si>
  <si>
    <t>Aizawl</t>
  </si>
  <si>
    <t>Kottayam Dist</t>
  </si>
  <si>
    <t>Rishikesh</t>
  </si>
  <si>
    <t>Ullal</t>
  </si>
  <si>
    <t>Tenkasi</t>
  </si>
  <si>
    <t>Devinagar</t>
  </si>
  <si>
    <t>Bhiwandi</t>
  </si>
  <si>
    <t>Bettiah</t>
  </si>
  <si>
    <t>Kakinada</t>
  </si>
  <si>
    <t>Karaikal</t>
  </si>
  <si>
    <t>Duliajan</t>
  </si>
  <si>
    <t>Malegaon</t>
  </si>
  <si>
    <t>Krishnagiri</t>
  </si>
  <si>
    <t>Kadur</t>
  </si>
  <si>
    <t>Balodabazar</t>
  </si>
  <si>
    <t>Roorkee</t>
  </si>
  <si>
    <t>Suryapet</t>
  </si>
  <si>
    <t>Baramati</t>
  </si>
  <si>
    <t>Navsari</t>
  </si>
  <si>
    <t>Cuncolim</t>
  </si>
  <si>
    <t>Tirupathi</t>
  </si>
  <si>
    <t>Durgapur</t>
  </si>
  <si>
    <t>Tumakuru</t>
  </si>
  <si>
    <t>Thiruvallur</t>
  </si>
  <si>
    <t>Fatehabad</t>
  </si>
  <si>
    <t>Chilakaluripet</t>
  </si>
  <si>
    <t>Porvorim</t>
  </si>
  <si>
    <t>Perumbavoor</t>
  </si>
  <si>
    <t>Nalbari</t>
  </si>
  <si>
    <t>North Delhi</t>
  </si>
  <si>
    <t>Kadapa</t>
  </si>
  <si>
    <t>Calangute</t>
  </si>
  <si>
    <t>Chhindwara</t>
  </si>
  <si>
    <t>Mormugao</t>
  </si>
  <si>
    <t>Khandwa</t>
  </si>
  <si>
    <t>Hoskote</t>
  </si>
  <si>
    <t>Dandeli</t>
  </si>
  <si>
    <t>Aroor</t>
  </si>
  <si>
    <t>Manjeri</t>
  </si>
  <si>
    <t>Karnal</t>
  </si>
  <si>
    <t>Faizabad</t>
  </si>
  <si>
    <t>Medak</t>
  </si>
  <si>
    <t>Madhepura</t>
  </si>
  <si>
    <t>Karwar</t>
  </si>
  <si>
    <t>Bellary</t>
  </si>
  <si>
    <t>Rampur</t>
  </si>
  <si>
    <t>Chatra</t>
  </si>
  <si>
    <t>Palampur</t>
  </si>
  <si>
    <t>Curchorem</t>
  </si>
  <si>
    <t>Chamba</t>
  </si>
  <si>
    <t>Bhusawal</t>
  </si>
  <si>
    <t>Kadungalloor</t>
  </si>
  <si>
    <t>Firozabad</t>
  </si>
  <si>
    <t>Month</t>
  </si>
  <si>
    <t>Row Labels</t>
  </si>
  <si>
    <t>Jan</t>
  </si>
  <si>
    <t>Feb</t>
  </si>
  <si>
    <t>Mar</t>
  </si>
  <si>
    <t>Record ID</t>
  </si>
  <si>
    <t>Enrollment ID</t>
  </si>
  <si>
    <t>Student ID</t>
  </si>
  <si>
    <t>Enrollment Status</t>
  </si>
  <si>
    <t>Lead Source</t>
  </si>
  <si>
    <t>Course Code</t>
  </si>
  <si>
    <t>Fees</t>
  </si>
  <si>
    <t>Enrolled</t>
  </si>
  <si>
    <t>Dropped</t>
  </si>
  <si>
    <t xml:space="preserve">Course </t>
  </si>
  <si>
    <t>Data analytics</t>
  </si>
  <si>
    <t>Business analytics</t>
  </si>
  <si>
    <t>Digial marketing</t>
  </si>
  <si>
    <t>Full stack development</t>
  </si>
  <si>
    <t>UI/UX Design</t>
  </si>
  <si>
    <t>AI &amp; ML</t>
  </si>
  <si>
    <t>Kunnathunad</t>
  </si>
  <si>
    <t>Doiwala</t>
  </si>
  <si>
    <t>Gopeshwar</t>
  </si>
  <si>
    <t>Kannamangalam Alappuzha District</t>
  </si>
  <si>
    <t>Tiruvallur</t>
  </si>
  <si>
    <t>Veerapandianpattinam</t>
  </si>
  <si>
    <t>Kargikala, Kota, Bilaspur</t>
  </si>
  <si>
    <t>Sonarpur</t>
  </si>
  <si>
    <t>Honavar</t>
  </si>
  <si>
    <t>Ganaur</t>
  </si>
  <si>
    <t>Sitamarhi</t>
  </si>
  <si>
    <t>Bahadurgarh</t>
  </si>
  <si>
    <t>Ferrargunj</t>
  </si>
  <si>
    <t>Sonamura</t>
  </si>
  <si>
    <t>Palwancha</t>
  </si>
  <si>
    <t>Bhogaon</t>
  </si>
  <si>
    <t>Eravu</t>
  </si>
  <si>
    <t>Puduvayal</t>
  </si>
  <si>
    <t>Dindori</t>
  </si>
  <si>
    <t>Orai</t>
  </si>
  <si>
    <t>Kumarapalayam</t>
  </si>
  <si>
    <t>Pilicode</t>
  </si>
  <si>
    <t>Mavoor</t>
  </si>
  <si>
    <t>Kaladhungi</t>
  </si>
  <si>
    <t>Pandhurna,</t>
  </si>
  <si>
    <t>Bihta Patna District</t>
  </si>
  <si>
    <t>Pavaratty</t>
  </si>
  <si>
    <t>Kotdwara</t>
  </si>
  <si>
    <t>Karkal</t>
  </si>
  <si>
    <t>Adampur</t>
  </si>
  <si>
    <t>Perumbaikad - Kottayam</t>
  </si>
  <si>
    <t>Pamur</t>
  </si>
  <si>
    <t>Deoband</t>
  </si>
  <si>
    <t>Khalilabad</t>
  </si>
  <si>
    <t>Digboi</t>
  </si>
  <si>
    <t>Rae Bareli</t>
  </si>
  <si>
    <t>Koyilandy, Kozhikode</t>
  </si>
  <si>
    <t>Sambalpur</t>
  </si>
  <si>
    <t>Muzaffarnagar</t>
  </si>
  <si>
    <t>Mehkar</t>
  </si>
  <si>
    <t>Gudur</t>
  </si>
  <si>
    <t>Budaun</t>
  </si>
  <si>
    <t>Hailakandi</t>
  </si>
  <si>
    <t>Ranebennur</t>
  </si>
  <si>
    <t>Rishra</t>
  </si>
  <si>
    <t>Chapra</t>
  </si>
  <si>
    <t>Gopalganj</t>
  </si>
  <si>
    <t>Dongargarh</t>
  </si>
  <si>
    <t>Gondiya</t>
  </si>
  <si>
    <t>Nallur Kanniyakumari District</t>
  </si>
  <si>
    <t>Sujanpur</t>
  </si>
  <si>
    <t>Jaisalmer</t>
  </si>
  <si>
    <t>Ponnani</t>
  </si>
  <si>
    <t>Bhilwara</t>
  </si>
  <si>
    <t>Corbett</t>
  </si>
  <si>
    <t>Thorrur</t>
  </si>
  <si>
    <t>Jamkhandi</t>
  </si>
  <si>
    <t>Badgam</t>
  </si>
  <si>
    <t>Gurugaon</t>
  </si>
  <si>
    <t>Hassan</t>
  </si>
  <si>
    <t>Robertsonpet</t>
  </si>
  <si>
    <t>Yerrabalem</t>
  </si>
  <si>
    <t>Hanumangarh</t>
  </si>
  <si>
    <t>Bankimnagar</t>
  </si>
  <si>
    <t>Ambikapur</t>
  </si>
  <si>
    <t>Kalaburgi</t>
  </si>
  <si>
    <t>Asika</t>
  </si>
  <si>
    <t>Feroke</t>
  </si>
  <si>
    <t>Talegaon Midc</t>
  </si>
  <si>
    <t>Farrukhnagar</t>
  </si>
  <si>
    <t>Atul</t>
  </si>
  <si>
    <t>Hosapete</t>
  </si>
  <si>
    <t>Mahad</t>
  </si>
  <si>
    <t>Bahraich</t>
  </si>
  <si>
    <t>Yeleswaram</t>
  </si>
  <si>
    <t>Thurayur</t>
  </si>
  <si>
    <t>Mandapeta</t>
  </si>
  <si>
    <t>Shirpur</t>
  </si>
  <si>
    <t>Kalimpong</t>
  </si>
  <si>
    <t>Tadipatri</t>
  </si>
  <si>
    <t>Mannargudi</t>
  </si>
  <si>
    <t>Giridih</t>
  </si>
  <si>
    <t>Sonamukhi</t>
  </si>
  <si>
    <t>Venkatagiri</t>
  </si>
  <si>
    <t>Tadpatri</t>
  </si>
  <si>
    <t>Vapi</t>
  </si>
  <si>
    <t>Kunda; Pratapgarh</t>
  </si>
  <si>
    <t>Gudivada Krishna District</t>
  </si>
  <si>
    <t>Mettupalayam Coimbatore District</t>
  </si>
  <si>
    <t>Rajam</t>
  </si>
  <si>
    <t>Palai</t>
  </si>
  <si>
    <t>Malpur Road, Modasa</t>
  </si>
  <si>
    <t>Mumbai 400050</t>
  </si>
  <si>
    <t>Paradip</t>
  </si>
  <si>
    <t>Warora</t>
  </si>
  <si>
    <t>Sunabeda</t>
  </si>
  <si>
    <t>Chitradurga</t>
  </si>
  <si>
    <t>Seoni</t>
  </si>
  <si>
    <t>Bhiwadi</t>
  </si>
  <si>
    <t>Sanguem</t>
  </si>
  <si>
    <t>Pandharpur</t>
  </si>
  <si>
    <t>Mahindra World City</t>
  </si>
  <si>
    <t>Upper Tadong</t>
  </si>
  <si>
    <t>Saroornagar Rr District</t>
  </si>
  <si>
    <t>Kuzhithurai</t>
  </si>
  <si>
    <t>Thoothukkudi</t>
  </si>
  <si>
    <t>Hardwar</t>
  </si>
  <si>
    <t>Garulia</t>
  </si>
  <si>
    <t>Lakhipur Cachar District</t>
  </si>
  <si>
    <t>Puttur</t>
  </si>
  <si>
    <t>Suri</t>
  </si>
  <si>
    <t>Tindivanam</t>
  </si>
  <si>
    <t>Beypore</t>
  </si>
  <si>
    <t>Kaniyapuram, Thiruvananthapuram District</t>
  </si>
  <si>
    <t>Narsampet</t>
  </si>
  <si>
    <t>Panipat</t>
  </si>
  <si>
    <t>Ahmadnagar</t>
  </si>
  <si>
    <t>Wanaparthy</t>
  </si>
  <si>
    <t>Madikeri</t>
  </si>
  <si>
    <t>Deoria</t>
  </si>
  <si>
    <t>Shirur</t>
  </si>
  <si>
    <t>Himmatnagar</t>
  </si>
  <si>
    <t>Sonbhadra</t>
  </si>
  <si>
    <t>Medinipur</t>
  </si>
  <si>
    <t>Tirupathur Vellore District</t>
  </si>
  <si>
    <t>Ratlam</t>
  </si>
  <si>
    <t>Dowleswaram</t>
  </si>
  <si>
    <t>Jetpur Navagadh</t>
  </si>
  <si>
    <t>Zaidpur</t>
  </si>
  <si>
    <t>Chandauli</t>
  </si>
  <si>
    <t>Atchutapuram Apsez</t>
  </si>
  <si>
    <t>Kanigiri</t>
  </si>
  <si>
    <t>Ranapur</t>
  </si>
  <si>
    <t>Mangalagiri</t>
  </si>
  <si>
    <t>Pirangut</t>
  </si>
  <si>
    <t>Khopoli</t>
  </si>
  <si>
    <t>Singtam</t>
  </si>
  <si>
    <t>Sipcot Thoothukudi</t>
  </si>
  <si>
    <t>Nowgong</t>
  </si>
  <si>
    <t>Unchahar</t>
  </si>
  <si>
    <t>Shamli</t>
  </si>
  <si>
    <t>Solan</t>
  </si>
  <si>
    <t>Bhatpar Rani</t>
  </si>
  <si>
    <t>Palani</t>
  </si>
  <si>
    <t>Vasai,Palghar</t>
  </si>
  <si>
    <t>Vasai Virar</t>
  </si>
  <si>
    <t>Nadbai</t>
  </si>
  <si>
    <t>Dewas</t>
  </si>
  <si>
    <t>Kothamangalam</t>
  </si>
  <si>
    <t>Ballari</t>
  </si>
  <si>
    <t>Nathdwara</t>
  </si>
  <si>
    <t>Calapor</t>
  </si>
  <si>
    <t>Ettumanoor</t>
  </si>
  <si>
    <t>Dhanbad</t>
  </si>
  <si>
    <t>Hapur</t>
  </si>
  <si>
    <t>Udma</t>
  </si>
  <si>
    <t>Kayamkulam</t>
  </si>
  <si>
    <t>Neyyattinkara</t>
  </si>
  <si>
    <t>Kanjikode Industrial Area</t>
  </si>
  <si>
    <t>Yavatmal</t>
  </si>
  <si>
    <t>Barmer</t>
  </si>
  <si>
    <t>Madanapalle</t>
  </si>
  <si>
    <t>Mandideep</t>
  </si>
  <si>
    <t>Murakambattu</t>
  </si>
  <si>
    <t>Kottarakkara</t>
  </si>
  <si>
    <t>Ramanathapuram</t>
  </si>
  <si>
    <t>Kurumpilavu</t>
  </si>
  <si>
    <t>Sri Ganganagar</t>
  </si>
  <si>
    <t>Vuyyuru</t>
  </si>
  <si>
    <t>Thottada</t>
  </si>
  <si>
    <t>Chelakkara</t>
  </si>
  <si>
    <t>Idar</t>
  </si>
  <si>
    <t>Daman</t>
  </si>
  <si>
    <t>Rawatbhata</t>
  </si>
  <si>
    <t>Sedam</t>
  </si>
  <si>
    <t>Kalameshwar</t>
  </si>
  <si>
    <t>Jorethang</t>
  </si>
  <si>
    <t>Chirkunda</t>
  </si>
  <si>
    <t>Pakaur</t>
  </si>
  <si>
    <t>Nainital</t>
  </si>
  <si>
    <t>Kalamassery</t>
  </si>
  <si>
    <t>Tiruvannamalai</t>
  </si>
  <si>
    <t>Badlapur</t>
  </si>
  <si>
    <t>Prothrapur</t>
  </si>
  <si>
    <t>Nuzvid</t>
  </si>
  <si>
    <t>Kothagudem</t>
  </si>
  <si>
    <t>Malappuram P O</t>
  </si>
  <si>
    <t>Mahabubabad</t>
  </si>
  <si>
    <t>Rangia</t>
  </si>
  <si>
    <t>Bela Pratapgarh</t>
  </si>
  <si>
    <t>Nadia</t>
  </si>
  <si>
    <t>Mirzapur Cum Vindhyachal</t>
  </si>
  <si>
    <t>Malur</t>
  </si>
  <si>
    <t>Ozar</t>
  </si>
  <si>
    <t>Panihati</t>
  </si>
  <si>
    <t>Bharatpur</t>
  </si>
  <si>
    <t>Vengurla</t>
  </si>
  <si>
    <t>Wardha</t>
  </si>
  <si>
    <t>Peruvilai</t>
  </si>
  <si>
    <t>Bhandara</t>
  </si>
  <si>
    <t>Ranip,Ahmedabad</t>
  </si>
  <si>
    <t>Sheopur</t>
  </si>
  <si>
    <t>Pattiom</t>
  </si>
  <si>
    <t>Nanjangud</t>
  </si>
  <si>
    <t>Krishnarajpet</t>
  </si>
  <si>
    <t>Bestawaripeta</t>
  </si>
  <si>
    <t>Dibiyapur</t>
  </si>
  <si>
    <t>Palia Kalan</t>
  </si>
  <si>
    <t>Shenkottai</t>
  </si>
  <si>
    <t>Bidhan Nagar</t>
  </si>
  <si>
    <t>Dharmsala</t>
  </si>
  <si>
    <t>Sohagpur</t>
  </si>
  <si>
    <t>Rajpur Sonarpur</t>
  </si>
  <si>
    <t>Taraori</t>
  </si>
  <si>
    <t>Riico Industrial Area Neemrana</t>
  </si>
  <si>
    <t>Bhuntar</t>
  </si>
  <si>
    <t>Koratty</t>
  </si>
  <si>
    <t>Sultanpur</t>
  </si>
  <si>
    <t>Mandsaur</t>
  </si>
  <si>
    <t>Gonda</t>
  </si>
  <si>
    <t>Chittoor</t>
  </si>
  <si>
    <t>Buchireddipalem</t>
  </si>
  <si>
    <t>Atholi</t>
  </si>
  <si>
    <t>Nanded Waghala</t>
  </si>
  <si>
    <t>Egra</t>
  </si>
  <si>
    <t>Chikhal Kasa</t>
  </si>
  <si>
    <t>Hathras</t>
  </si>
  <si>
    <t>Mariani</t>
  </si>
  <si>
    <t>Chodavaram</t>
  </si>
  <si>
    <t>Guruvayur</t>
  </si>
  <si>
    <t>Bagru</t>
  </si>
  <si>
    <t>Kaveripattinam</t>
  </si>
  <si>
    <t>Paonta Sahib</t>
  </si>
  <si>
    <t>Kahalgaon</t>
  </si>
  <si>
    <t>Manugur</t>
  </si>
  <si>
    <t>Tanakpur</t>
  </si>
  <si>
    <t>Ariyallur</t>
  </si>
  <si>
    <t>Jashpurnagar</t>
  </si>
  <si>
    <t>Sawantwadi</t>
  </si>
  <si>
    <t>Zahirabad</t>
  </si>
  <si>
    <t>Metapally</t>
  </si>
  <si>
    <t>Perinad</t>
  </si>
  <si>
    <t>Pune Kalyani Nagar</t>
  </si>
  <si>
    <t>Narasimhanaickenpalayam</t>
  </si>
  <si>
    <t>Kannod</t>
  </si>
  <si>
    <t>Karjat Raigarh District</t>
  </si>
  <si>
    <t>New Town, Kolkata</t>
  </si>
  <si>
    <t>Naharlugun Model Arunachal Pradesh</t>
  </si>
  <si>
    <t>Simar Sir</t>
  </si>
  <si>
    <t>Chalakudy</t>
  </si>
  <si>
    <t>Muthukulam</t>
  </si>
  <si>
    <t>Bansberia</t>
  </si>
  <si>
    <t>Namagiripettai</t>
  </si>
  <si>
    <t>Hyderaba</t>
  </si>
  <si>
    <t>Dharwad</t>
  </si>
  <si>
    <t>Vasai West</t>
  </si>
  <si>
    <t>Kohima</t>
  </si>
  <si>
    <t>Mahendragarh</t>
  </si>
  <si>
    <t>Reasi</t>
  </si>
  <si>
    <t>Chippada Pharma Sez</t>
  </si>
  <si>
    <t>Sangli Miraj Kupwad</t>
  </si>
  <si>
    <t>Talikkulam</t>
  </si>
  <si>
    <t>Tirupathur , Tirupattur District</t>
  </si>
  <si>
    <t>Nandyal</t>
  </si>
  <si>
    <t>Anakapalle</t>
  </si>
  <si>
    <t>Shahdol</t>
  </si>
  <si>
    <t>Amalapuram</t>
  </si>
  <si>
    <t>Patan</t>
  </si>
  <si>
    <t>Mirik</t>
  </si>
  <si>
    <t>Kendujhar</t>
  </si>
  <si>
    <t>Dhaura Tanda</t>
  </si>
  <si>
    <t>Diu</t>
  </si>
  <si>
    <t>Dharmavaram</t>
  </si>
  <si>
    <t>Abu Road</t>
  </si>
  <si>
    <t>Madhubani</t>
  </si>
  <si>
    <t>Titlagarh</t>
  </si>
  <si>
    <t>Edathiruthy</t>
  </si>
  <si>
    <t>Chirala</t>
  </si>
  <si>
    <t>Kalakote</t>
  </si>
  <si>
    <t>Nagamalaipudukottai</t>
  </si>
  <si>
    <t>Balaghat</t>
  </si>
  <si>
    <t>Bishunipur</t>
  </si>
  <si>
    <t>Kamptee</t>
  </si>
  <si>
    <t>Thazhuthala</t>
  </si>
  <si>
    <t>Kumbakonam</t>
  </si>
  <si>
    <t>North Guwahati</t>
  </si>
  <si>
    <t>Bhavnagar</t>
  </si>
  <si>
    <t>Katihar</t>
  </si>
  <si>
    <t>Bhuj</t>
  </si>
  <si>
    <t>Cloud Computing</t>
  </si>
  <si>
    <t>Website</t>
  </si>
  <si>
    <t>Facebook ads</t>
  </si>
  <si>
    <t>Google ads</t>
  </si>
  <si>
    <t>Instagram ads</t>
  </si>
  <si>
    <t>Referral</t>
  </si>
  <si>
    <t>Whatsapp</t>
  </si>
  <si>
    <t>Email campaign</t>
  </si>
  <si>
    <t>Female</t>
  </si>
  <si>
    <t>Male</t>
  </si>
  <si>
    <t>408-2726532</t>
  </si>
  <si>
    <t>171-9236722</t>
  </si>
  <si>
    <t>403-8361465</t>
  </si>
  <si>
    <t>406-7628092</t>
  </si>
  <si>
    <t>405-7935467</t>
  </si>
  <si>
    <t>171-9749569</t>
  </si>
  <si>
    <t>408-6068156</t>
  </si>
  <si>
    <t>171-7130304</t>
  </si>
  <si>
    <t>404-2966775</t>
  </si>
  <si>
    <t>171-3928696</t>
  </si>
  <si>
    <t>406-1077707</t>
  </si>
  <si>
    <t>407-7342628</t>
  </si>
  <si>
    <t>171-4181018</t>
  </si>
  <si>
    <t>407-7686513</t>
  </si>
  <si>
    <t>406-5004666</t>
  </si>
  <si>
    <t>402-9044852</t>
  </si>
  <si>
    <t>405-3941109</t>
  </si>
  <si>
    <t>403-7495046</t>
  </si>
  <si>
    <t>408-3135388</t>
  </si>
  <si>
    <t>403-3302348</t>
  </si>
  <si>
    <t>402-2654075</t>
  </si>
  <si>
    <t>407-4687645</t>
  </si>
  <si>
    <t>406-5444930</t>
  </si>
  <si>
    <t>171-8124560</t>
  </si>
  <si>
    <t>406-4491845</t>
  </si>
  <si>
    <t>407-4328172</t>
  </si>
  <si>
    <t>408-1344010</t>
  </si>
  <si>
    <t>403-6077399</t>
  </si>
  <si>
    <t>406-7463284</t>
  </si>
  <si>
    <t>171-7476256</t>
  </si>
  <si>
    <t>404-5275678</t>
  </si>
  <si>
    <t>171-9275242</t>
  </si>
  <si>
    <t>406-2445765</t>
  </si>
  <si>
    <t>407-7519727</t>
  </si>
  <si>
    <t>404-0464267</t>
  </si>
  <si>
    <t>404-0995297</t>
  </si>
  <si>
    <t>403-3020212</t>
  </si>
  <si>
    <t>171-0067174</t>
  </si>
  <si>
    <t>408-7598474</t>
  </si>
  <si>
    <t>171-9626926</t>
  </si>
  <si>
    <t>404-2801808</t>
  </si>
  <si>
    <t>402-7873915</t>
  </si>
  <si>
    <t>402-1749038</t>
  </si>
  <si>
    <t>402-4407885</t>
  </si>
  <si>
    <t>171-3572061</t>
  </si>
  <si>
    <t>404-1792872</t>
  </si>
  <si>
    <t>403-5561058</t>
  </si>
  <si>
    <t>406-0513535</t>
  </si>
  <si>
    <t>171-4374145</t>
  </si>
  <si>
    <t>404-6714225</t>
  </si>
  <si>
    <t>408-4786933</t>
  </si>
  <si>
    <t>408-6381754</t>
  </si>
  <si>
    <t>405-8939267</t>
  </si>
  <si>
    <t>404-2956654</t>
  </si>
  <si>
    <t>403-7589054</t>
  </si>
  <si>
    <t>408-7680315</t>
  </si>
  <si>
    <t>404-5478577</t>
  </si>
  <si>
    <t>171-9450626</t>
  </si>
  <si>
    <t>406-3218335</t>
  </si>
  <si>
    <t>408-9724970</t>
  </si>
  <si>
    <t>171-3249942</t>
  </si>
  <si>
    <t>408-6083085</t>
  </si>
  <si>
    <t>406-0986048</t>
  </si>
  <si>
    <t>171-3010880</t>
  </si>
  <si>
    <t>408-3187292</t>
  </si>
  <si>
    <t>402-9128670</t>
  </si>
  <si>
    <t>407-5367493</t>
  </si>
  <si>
    <t>406-3574462</t>
  </si>
  <si>
    <t>403-6589561</t>
  </si>
  <si>
    <t>402-2160240</t>
  </si>
  <si>
    <t>171-0494164</t>
  </si>
  <si>
    <t>408-0187548</t>
  </si>
  <si>
    <t>407-8154708</t>
  </si>
  <si>
    <t>406-9091525</t>
  </si>
  <si>
    <t>171-5888445</t>
  </si>
  <si>
    <t>404-1680690</t>
  </si>
  <si>
    <t>171-5350184</t>
  </si>
  <si>
    <t>405-4684888</t>
  </si>
  <si>
    <t>405-0565297</t>
  </si>
  <si>
    <t>402-7379296</t>
  </si>
  <si>
    <t>406-3268546</t>
  </si>
  <si>
    <t>171-3349225</t>
  </si>
  <si>
    <t>405-4461910</t>
  </si>
  <si>
    <t>171-1057220</t>
  </si>
  <si>
    <t>171-1855488</t>
  </si>
  <si>
    <t>406-6877950</t>
  </si>
  <si>
    <t>403-3541554</t>
  </si>
  <si>
    <t>408-7235802</t>
  </si>
  <si>
    <t>408-5208038</t>
  </si>
  <si>
    <t>407-0217008</t>
  </si>
  <si>
    <t>408-4557323</t>
  </si>
  <si>
    <t>403-9557304</t>
  </si>
  <si>
    <t>404-9462272</t>
  </si>
  <si>
    <t>406-1576659</t>
  </si>
  <si>
    <t>402-0060101</t>
  </si>
  <si>
    <t>402-7625906</t>
  </si>
  <si>
    <t>171-3978597</t>
  </si>
  <si>
    <t>403-0345679</t>
  </si>
  <si>
    <t>404-2552340</t>
  </si>
  <si>
    <t>404-7289147</t>
  </si>
  <si>
    <t>402-5433381</t>
  </si>
  <si>
    <t>406-1101212</t>
  </si>
  <si>
    <t>402-2400371</t>
  </si>
  <si>
    <t>402-0005919</t>
  </si>
  <si>
    <t>402-6021433</t>
  </si>
  <si>
    <t>402-3597023</t>
  </si>
  <si>
    <t>402-1834306</t>
  </si>
  <si>
    <t>405-7903439</t>
  </si>
  <si>
    <t>403-0141282</t>
  </si>
  <si>
    <t>171-5778060</t>
  </si>
  <si>
    <t>405-3483619</t>
  </si>
  <si>
    <t>406-2407496</t>
  </si>
  <si>
    <t>405-0077170</t>
  </si>
  <si>
    <t>171-4771755</t>
  </si>
  <si>
    <t>405-7799902</t>
  </si>
  <si>
    <t>408-6176089</t>
  </si>
  <si>
    <t>406-2983182</t>
  </si>
  <si>
    <t>408-2098874</t>
  </si>
  <si>
    <t>402-1883348</t>
  </si>
  <si>
    <t>408-4391316</t>
  </si>
  <si>
    <t>404-8589308</t>
  </si>
  <si>
    <t>408-8046186</t>
  </si>
  <si>
    <t>403-6483941</t>
  </si>
  <si>
    <t>408-2963056</t>
  </si>
  <si>
    <t>408-0161822</t>
  </si>
  <si>
    <t>407-2183965</t>
  </si>
  <si>
    <t>403-3538386</t>
  </si>
  <si>
    <t>403-2735276</t>
  </si>
  <si>
    <t>404-1786782</t>
  </si>
  <si>
    <t>404-5891535</t>
  </si>
  <si>
    <t>403-8759037</t>
  </si>
  <si>
    <t>402-3030423</t>
  </si>
  <si>
    <t>171-7672111</t>
  </si>
  <si>
    <t>403-4326876</t>
  </si>
  <si>
    <t>407-5044673</t>
  </si>
  <si>
    <t>402-6837550</t>
  </si>
  <si>
    <t>406-7924642</t>
  </si>
  <si>
    <t>408-8512749</t>
  </si>
  <si>
    <t>404-0573853</t>
  </si>
  <si>
    <t>407-3476037</t>
  </si>
  <si>
    <t>403-8309301</t>
  </si>
  <si>
    <t>403-6927528</t>
  </si>
  <si>
    <t>404-1914408</t>
  </si>
  <si>
    <t>408-4560209</t>
  </si>
  <si>
    <t>408-3846081</t>
  </si>
  <si>
    <t>171-4853638</t>
  </si>
  <si>
    <t>403-1073898</t>
  </si>
  <si>
    <t>408-3827989</t>
  </si>
  <si>
    <t>408-0418269</t>
  </si>
  <si>
    <t>408-4300165</t>
  </si>
  <si>
    <t>405-9669600</t>
  </si>
  <si>
    <t>402-4277265</t>
  </si>
  <si>
    <t>404-2497796</t>
  </si>
  <si>
    <t>405-5993988</t>
  </si>
  <si>
    <t>408-7439271</t>
  </si>
  <si>
    <t>403-6473208</t>
  </si>
  <si>
    <t>406-4094320</t>
  </si>
  <si>
    <t>407-0401419</t>
  </si>
  <si>
    <t>405-0422153</t>
  </si>
  <si>
    <t>402-3988691</t>
  </si>
  <si>
    <t>404-0897414</t>
  </si>
  <si>
    <t>408-7961634</t>
  </si>
  <si>
    <t>406-0510789</t>
  </si>
  <si>
    <t>403-0213203</t>
  </si>
  <si>
    <t>407-5307602</t>
  </si>
  <si>
    <t>405-6275318</t>
  </si>
  <si>
    <t>402-4682733</t>
  </si>
  <si>
    <t>171-7980945</t>
  </si>
  <si>
    <t>407-2339108</t>
  </si>
  <si>
    <t>171-3843849</t>
  </si>
  <si>
    <t>406-1521193</t>
  </si>
  <si>
    <t>406-4648268</t>
  </si>
  <si>
    <t>408-8748616</t>
  </si>
  <si>
    <t>406-7246715</t>
  </si>
  <si>
    <t>407-1564349</t>
  </si>
  <si>
    <t>407-8641020</t>
  </si>
  <si>
    <t>402-1389258</t>
  </si>
  <si>
    <t>406-6009210</t>
  </si>
  <si>
    <t>407-1738341</t>
  </si>
  <si>
    <t>404-4052594</t>
  </si>
  <si>
    <t>407-6742401</t>
  </si>
  <si>
    <t>404-4740904</t>
  </si>
  <si>
    <t>404-3237647</t>
  </si>
  <si>
    <t>405-8337682</t>
  </si>
  <si>
    <t>171-6064282</t>
  </si>
  <si>
    <t>406-7011928</t>
  </si>
  <si>
    <t>406-4689728</t>
  </si>
  <si>
    <t>408-2399717</t>
  </si>
  <si>
    <t>405-3011139</t>
  </si>
  <si>
    <t>403-5101426</t>
  </si>
  <si>
    <t>404-3587103</t>
  </si>
  <si>
    <t>407-4163911</t>
  </si>
  <si>
    <t>408-7584240</t>
  </si>
  <si>
    <t>407-6288527</t>
  </si>
  <si>
    <t>402-7374699</t>
  </si>
  <si>
    <t>404-0324791</t>
  </si>
  <si>
    <t>405-7911605</t>
  </si>
  <si>
    <t>405-2341578</t>
  </si>
  <si>
    <t>402-0934848</t>
  </si>
  <si>
    <t>405-0273576</t>
  </si>
  <si>
    <t>407-9155082</t>
  </si>
  <si>
    <t>406-0631887</t>
  </si>
  <si>
    <t>403-3153367</t>
  </si>
  <si>
    <t>402-7440350</t>
  </si>
  <si>
    <t>405-2665944</t>
  </si>
  <si>
    <t>171-1488809</t>
  </si>
  <si>
    <t>406-7470990</t>
  </si>
  <si>
    <t>406-3215482</t>
  </si>
  <si>
    <t>403-4652140</t>
  </si>
  <si>
    <t>405-5376723</t>
  </si>
  <si>
    <t>403-8208490</t>
  </si>
  <si>
    <t>171-3745272</t>
  </si>
  <si>
    <t>408-4296709</t>
  </si>
  <si>
    <t>402-7179373</t>
  </si>
  <si>
    <t>407-6410724</t>
  </si>
  <si>
    <t>171-7497249</t>
  </si>
  <si>
    <t>171-2759243</t>
  </si>
  <si>
    <t>405-4422803</t>
  </si>
  <si>
    <t>171-8867724</t>
  </si>
  <si>
    <t>407-1479662</t>
  </si>
  <si>
    <t>404-2311773</t>
  </si>
  <si>
    <t>406-5824991</t>
  </si>
  <si>
    <t>405-2443746</t>
  </si>
  <si>
    <t>406-4594026</t>
  </si>
  <si>
    <t>404-2627419</t>
  </si>
  <si>
    <t>403-8630605</t>
  </si>
  <si>
    <t>408-7278156</t>
  </si>
  <si>
    <t>171-2098581</t>
  </si>
  <si>
    <t>405-5005652</t>
  </si>
  <si>
    <t>408-6943612</t>
  </si>
  <si>
    <t>404-8709637</t>
  </si>
  <si>
    <t>406-0847289</t>
  </si>
  <si>
    <t>408-2932267</t>
  </si>
  <si>
    <t>403-3232717</t>
  </si>
  <si>
    <t>402-0902939</t>
  </si>
  <si>
    <t>406-1441828</t>
  </si>
  <si>
    <t>406-3431656</t>
  </si>
  <si>
    <t>405-9190693</t>
  </si>
  <si>
    <t>403-8574000</t>
  </si>
  <si>
    <t>407-1919298</t>
  </si>
  <si>
    <t>403-4286035</t>
  </si>
  <si>
    <t>408-4154331</t>
  </si>
  <si>
    <t>402-0763753</t>
  </si>
  <si>
    <t>406-5718692</t>
  </si>
  <si>
    <t>171-3339657</t>
  </si>
  <si>
    <t>404-5056887</t>
  </si>
  <si>
    <t>171-2943155</t>
  </si>
  <si>
    <t>171-2505774</t>
  </si>
  <si>
    <t>406-2373249</t>
  </si>
  <si>
    <t>404-5331173</t>
  </si>
  <si>
    <t>404-3732889</t>
  </si>
  <si>
    <t>408-0070111</t>
  </si>
  <si>
    <t>404-0339873</t>
  </si>
  <si>
    <t>403-4921300</t>
  </si>
  <si>
    <t>408-3917436</t>
  </si>
  <si>
    <t>405-2449654</t>
  </si>
  <si>
    <t>404-5897451</t>
  </si>
  <si>
    <t>407-2574365</t>
  </si>
  <si>
    <t>171-9757288</t>
  </si>
  <si>
    <t>404-3883617</t>
  </si>
  <si>
    <t>171-0423127</t>
  </si>
  <si>
    <t>404-4878896</t>
  </si>
  <si>
    <t>408-2837969</t>
  </si>
  <si>
    <t>404-8396719</t>
  </si>
  <si>
    <t>404-6551529</t>
  </si>
  <si>
    <t>405-0363789</t>
  </si>
  <si>
    <t>408-1142382</t>
  </si>
  <si>
    <t>408-2648800</t>
  </si>
  <si>
    <t>406-5522981</t>
  </si>
  <si>
    <t>404-9833932</t>
  </si>
  <si>
    <t>402-0509269</t>
  </si>
  <si>
    <t>406-9495391</t>
  </si>
  <si>
    <t>405-0891462</t>
  </si>
  <si>
    <t>171-7773738</t>
  </si>
  <si>
    <t>407-8618660</t>
  </si>
  <si>
    <t>402-9048191</t>
  </si>
  <si>
    <t>171-7763620</t>
  </si>
  <si>
    <t>402-4491188</t>
  </si>
  <si>
    <t>406-1438867</t>
  </si>
  <si>
    <t>406-8838072</t>
  </si>
  <si>
    <t>171-8624117</t>
  </si>
  <si>
    <t>404-6038311</t>
  </si>
  <si>
    <t>402-2302030</t>
  </si>
  <si>
    <t>406-3701026</t>
  </si>
  <si>
    <t>402-8279267</t>
  </si>
  <si>
    <t>402-9765450</t>
  </si>
  <si>
    <t>406-4309001</t>
  </si>
  <si>
    <t>408-5782349</t>
  </si>
  <si>
    <t>403-4229592</t>
  </si>
  <si>
    <t>402-5387159</t>
  </si>
  <si>
    <t>404-2491025</t>
  </si>
  <si>
    <t>402-4325693</t>
  </si>
  <si>
    <t>402-3428562</t>
  </si>
  <si>
    <t>171-7507431</t>
  </si>
  <si>
    <t>408-0344606</t>
  </si>
  <si>
    <t>405-6333681</t>
  </si>
  <si>
    <t>404-5014809</t>
  </si>
  <si>
    <t>406-1532420</t>
  </si>
  <si>
    <t>408-9919865</t>
  </si>
  <si>
    <t>405-5008404</t>
  </si>
  <si>
    <t>402-9572156</t>
  </si>
  <si>
    <t>407-0448685</t>
  </si>
  <si>
    <t>402-4107681</t>
  </si>
  <si>
    <t>407-9941828</t>
  </si>
  <si>
    <t>402-3216798</t>
  </si>
  <si>
    <t>171-5417795</t>
  </si>
  <si>
    <t>403-5226413</t>
  </si>
  <si>
    <t>402-1127333</t>
  </si>
  <si>
    <t>404-9481718</t>
  </si>
  <si>
    <t>408-4346911</t>
  </si>
  <si>
    <t>404-8485570</t>
  </si>
  <si>
    <t>404-2689414</t>
  </si>
  <si>
    <t>406-1342369</t>
  </si>
  <si>
    <t>405-8512488</t>
  </si>
  <si>
    <t>406-8240401</t>
  </si>
  <si>
    <t>404-5339654</t>
  </si>
  <si>
    <t>402-5092815</t>
  </si>
  <si>
    <t>408-2418774</t>
  </si>
  <si>
    <t>171-7179264</t>
  </si>
  <si>
    <t>408-5960581</t>
  </si>
  <si>
    <t>408-8896863</t>
  </si>
  <si>
    <t>407-1772430</t>
  </si>
  <si>
    <t>402-2363023</t>
  </si>
  <si>
    <t>407-5383757</t>
  </si>
  <si>
    <t>408-8998778</t>
  </si>
  <si>
    <t>406-7742746</t>
  </si>
  <si>
    <t>406-1784285</t>
  </si>
  <si>
    <t>408-0047275</t>
  </si>
  <si>
    <t>405-7962848</t>
  </si>
  <si>
    <t>402-0689431</t>
  </si>
  <si>
    <t>402-6240144</t>
  </si>
  <si>
    <t>407-8325966</t>
  </si>
  <si>
    <t>402-4280960</t>
  </si>
  <si>
    <t>171-5956235</t>
  </si>
  <si>
    <t>404-1298038</t>
  </si>
  <si>
    <t>403-4929544</t>
  </si>
  <si>
    <t>408-3999612</t>
  </si>
  <si>
    <t>408-5524510</t>
  </si>
  <si>
    <t>408-2294983</t>
  </si>
  <si>
    <t>405-3619973</t>
  </si>
  <si>
    <t>405-9380246</t>
  </si>
  <si>
    <t>403-0983494</t>
  </si>
  <si>
    <t>408-3595947</t>
  </si>
  <si>
    <t>406-1788844</t>
  </si>
  <si>
    <t>408-4738330</t>
  </si>
  <si>
    <t>406-9762254</t>
  </si>
  <si>
    <t>406-2766485</t>
  </si>
  <si>
    <t>408-3299735</t>
  </si>
  <si>
    <t>405-3180227</t>
  </si>
  <si>
    <t>403-6056788</t>
  </si>
  <si>
    <t>405-5007854</t>
  </si>
  <si>
    <t>403-8631892</t>
  </si>
  <si>
    <t>404-2637115</t>
  </si>
  <si>
    <t>171-8009798</t>
  </si>
  <si>
    <t>404-4093815</t>
  </si>
  <si>
    <t>405-3587667</t>
  </si>
  <si>
    <t>407-7721354</t>
  </si>
  <si>
    <t>406-5208395</t>
  </si>
  <si>
    <t>408-0290707</t>
  </si>
  <si>
    <t>404-7931262</t>
  </si>
  <si>
    <t>406-1400833</t>
  </si>
  <si>
    <t>404-2051832</t>
  </si>
  <si>
    <t>404-4756595</t>
  </si>
  <si>
    <t>408-6907847</t>
  </si>
  <si>
    <t>403-8786059</t>
  </si>
  <si>
    <t>405-5028485</t>
  </si>
  <si>
    <t>406-6840625</t>
  </si>
  <si>
    <t>403-9147095</t>
  </si>
  <si>
    <t>407-6342847</t>
  </si>
  <si>
    <t>404-3951160</t>
  </si>
  <si>
    <t>407-8730281</t>
  </si>
  <si>
    <t>171-0827797</t>
  </si>
  <si>
    <t>406-5133578</t>
  </si>
  <si>
    <t>403-0998340</t>
  </si>
  <si>
    <t>407-3781770</t>
  </si>
  <si>
    <t>405-3940358</t>
  </si>
  <si>
    <t>402-2364957</t>
  </si>
  <si>
    <t>408-0256574</t>
  </si>
  <si>
    <t>407-9821980</t>
  </si>
  <si>
    <t>407-9346023</t>
  </si>
  <si>
    <t>406-0474479</t>
  </si>
  <si>
    <t>171-7306978</t>
  </si>
  <si>
    <t>403-1989224</t>
  </si>
  <si>
    <t>405-4309953</t>
  </si>
  <si>
    <t>406-0312236</t>
  </si>
  <si>
    <t>404-0418554</t>
  </si>
  <si>
    <t>403-6960188</t>
  </si>
  <si>
    <t>407-4471106</t>
  </si>
  <si>
    <t>405-6122366</t>
  </si>
  <si>
    <t>404-1785041</t>
  </si>
  <si>
    <t>402-4385583</t>
  </si>
  <si>
    <t>403-1074606</t>
  </si>
  <si>
    <t>402-3017826</t>
  </si>
  <si>
    <t>404-4363469</t>
  </si>
  <si>
    <t>402-1437874</t>
  </si>
  <si>
    <t>403-0656042</t>
  </si>
  <si>
    <t>171-9882164</t>
  </si>
  <si>
    <t>402-0985720</t>
  </si>
  <si>
    <t>408-1560141</t>
  </si>
  <si>
    <t>407-5596434</t>
  </si>
  <si>
    <t>404-5207661</t>
  </si>
  <si>
    <t>402-3533633</t>
  </si>
  <si>
    <t>402-7500311</t>
  </si>
  <si>
    <t>408-8045355</t>
  </si>
  <si>
    <t>407-0620500</t>
  </si>
  <si>
    <t>406-1848454</t>
  </si>
  <si>
    <t>405-2798368</t>
  </si>
  <si>
    <t>405-3078440</t>
  </si>
  <si>
    <t>407-2601251</t>
  </si>
  <si>
    <t>406-3709623</t>
  </si>
  <si>
    <t>171-9993814</t>
  </si>
  <si>
    <t>408-6650482</t>
  </si>
  <si>
    <t>406-1601098</t>
  </si>
  <si>
    <t>406-7807711</t>
  </si>
  <si>
    <t>407-7232347</t>
  </si>
  <si>
    <t>171-0959814</t>
  </si>
  <si>
    <t>404-4366232</t>
  </si>
  <si>
    <t>406-4597589</t>
  </si>
  <si>
    <t>408-6005534</t>
  </si>
  <si>
    <t>407-7967987</t>
  </si>
  <si>
    <t>403-1072187</t>
  </si>
  <si>
    <t>407-9445286</t>
  </si>
  <si>
    <t>405-9965566</t>
  </si>
  <si>
    <t>408-3150157</t>
  </si>
  <si>
    <t>404-0303558</t>
  </si>
  <si>
    <t>402-5547944</t>
  </si>
  <si>
    <t>404-4928780</t>
  </si>
  <si>
    <t>404-7919044</t>
  </si>
  <si>
    <t>405-6240580</t>
  </si>
  <si>
    <t>402-4615786</t>
  </si>
  <si>
    <t>407-8024667</t>
  </si>
  <si>
    <t>402-5765688</t>
  </si>
  <si>
    <t>403-8549356</t>
  </si>
  <si>
    <t>408-1785577</t>
  </si>
  <si>
    <t>404-4368354</t>
  </si>
  <si>
    <t>407-9495778</t>
  </si>
  <si>
    <t>407-1010288</t>
  </si>
  <si>
    <t>402-3685712</t>
  </si>
  <si>
    <t>406-4436141</t>
  </si>
  <si>
    <t>404-5928943</t>
  </si>
  <si>
    <t>402-4109103</t>
  </si>
  <si>
    <t>404-7456352</t>
  </si>
  <si>
    <t>406-3667953</t>
  </si>
  <si>
    <t>402-3506010</t>
  </si>
  <si>
    <t>408-9142380</t>
  </si>
  <si>
    <t>405-5463526</t>
  </si>
  <si>
    <t>403-5852722</t>
  </si>
  <si>
    <t>408-8291957</t>
  </si>
  <si>
    <t>404-9355956</t>
  </si>
  <si>
    <t>402-2954383</t>
  </si>
  <si>
    <t>171-4039731</t>
  </si>
  <si>
    <t>402-0495254</t>
  </si>
  <si>
    <t>402-3187749</t>
  </si>
  <si>
    <t>408-7593599</t>
  </si>
  <si>
    <t>406-3221933</t>
  </si>
  <si>
    <t>402-9633930</t>
  </si>
  <si>
    <t>404-6847854</t>
  </si>
  <si>
    <t>407-1554172</t>
  </si>
  <si>
    <t>171-5361932</t>
  </si>
  <si>
    <t>403-7975058</t>
  </si>
  <si>
    <t>406-1929227</t>
  </si>
  <si>
    <t>405-1708971</t>
  </si>
  <si>
    <t>402-9728601</t>
  </si>
  <si>
    <t>406-0584503</t>
  </si>
  <si>
    <t>405-6911421</t>
  </si>
  <si>
    <t>402-9892381</t>
  </si>
  <si>
    <t>408-3322330</t>
  </si>
  <si>
    <t>403-6355982</t>
  </si>
  <si>
    <t>405-5450280</t>
  </si>
  <si>
    <t>404-4788352</t>
  </si>
  <si>
    <t>403-0137766</t>
  </si>
  <si>
    <t>408-7089031</t>
  </si>
  <si>
    <t>408-3377351</t>
  </si>
  <si>
    <t>403-6360510</t>
  </si>
  <si>
    <t>407-7832865</t>
  </si>
  <si>
    <t>407-7511068</t>
  </si>
  <si>
    <t>405-6392510</t>
  </si>
  <si>
    <t>406-8810314</t>
  </si>
  <si>
    <t>407-0661596</t>
  </si>
  <si>
    <t>406-6437607</t>
  </si>
  <si>
    <t>403-0574212</t>
  </si>
  <si>
    <t>406-9153877</t>
  </si>
  <si>
    <t>403-8163430</t>
  </si>
  <si>
    <t>404-6239947</t>
  </si>
  <si>
    <t>403-5116201</t>
  </si>
  <si>
    <t>408-8927030</t>
  </si>
  <si>
    <t>405-0358740</t>
  </si>
  <si>
    <t>171-4350406</t>
  </si>
  <si>
    <t>405-4282511</t>
  </si>
  <si>
    <t>171-4801686</t>
  </si>
  <si>
    <t>407-8850334</t>
  </si>
  <si>
    <t>407-5473618</t>
  </si>
  <si>
    <t>406-8731559</t>
  </si>
  <si>
    <t>407-6775337</t>
  </si>
  <si>
    <t>403-7710582</t>
  </si>
  <si>
    <t>406-8900367</t>
  </si>
  <si>
    <t>404-1529307</t>
  </si>
  <si>
    <t>405-3130311</t>
  </si>
  <si>
    <t>407-2687802</t>
  </si>
  <si>
    <t>171-4515790</t>
  </si>
  <si>
    <t>406-9983257</t>
  </si>
  <si>
    <t>403-0302103</t>
  </si>
  <si>
    <t>408-6896255</t>
  </si>
  <si>
    <t>171-6600175</t>
  </si>
  <si>
    <t>407-0083248</t>
  </si>
  <si>
    <t>403-9673536</t>
  </si>
  <si>
    <t>403-7226008</t>
  </si>
  <si>
    <t>406-0502002</t>
  </si>
  <si>
    <t>404-3400583</t>
  </si>
  <si>
    <t>171-5676186</t>
  </si>
  <si>
    <t>405-6061275</t>
  </si>
  <si>
    <t>405-4723418</t>
  </si>
  <si>
    <t>403-6837618</t>
  </si>
  <si>
    <t>171-0450652</t>
  </si>
  <si>
    <t>408-8299284</t>
  </si>
  <si>
    <t>171-4685139</t>
  </si>
  <si>
    <t>405-3999893</t>
  </si>
  <si>
    <t>406-3501804</t>
  </si>
  <si>
    <t>171-5826292</t>
  </si>
  <si>
    <t>404-2900346</t>
  </si>
  <si>
    <t>405-0796228</t>
  </si>
  <si>
    <t>408-9721284</t>
  </si>
  <si>
    <t>171-8100454</t>
  </si>
  <si>
    <t>402-9819217</t>
  </si>
  <si>
    <t>171-0870107</t>
  </si>
  <si>
    <t>403-4830389</t>
  </si>
  <si>
    <t>402-6247615</t>
  </si>
  <si>
    <t>402-4447218</t>
  </si>
  <si>
    <t>406-6658643</t>
  </si>
  <si>
    <t>408-6908529</t>
  </si>
  <si>
    <t>408-1023253</t>
  </si>
  <si>
    <t>171-5236829</t>
  </si>
  <si>
    <t>403-5175060</t>
  </si>
  <si>
    <t>171-3885094</t>
  </si>
  <si>
    <t>408-6352387</t>
  </si>
  <si>
    <t>407-2422175</t>
  </si>
  <si>
    <t>402-2280396</t>
  </si>
  <si>
    <t>408-0259618</t>
  </si>
  <si>
    <t>407-7816060</t>
  </si>
  <si>
    <t>402-4213534</t>
  </si>
  <si>
    <t>408-2008379</t>
  </si>
  <si>
    <t>404-4179950</t>
  </si>
  <si>
    <t>403-4352411</t>
  </si>
  <si>
    <t>405-8150725</t>
  </si>
  <si>
    <t>402-1271568</t>
  </si>
  <si>
    <t>404-1554862</t>
  </si>
  <si>
    <t>171-7981625</t>
  </si>
  <si>
    <t>403-4083806</t>
  </si>
  <si>
    <t>403-2911639</t>
  </si>
  <si>
    <t>408-6958100</t>
  </si>
  <si>
    <t>402-3425231</t>
  </si>
  <si>
    <t>406-8998454</t>
  </si>
  <si>
    <t>406-5950918</t>
  </si>
  <si>
    <t>403-2334145</t>
  </si>
  <si>
    <t>405-5545794</t>
  </si>
  <si>
    <t>171-1478316</t>
  </si>
  <si>
    <t>404-1292643</t>
  </si>
  <si>
    <t>171-4675409</t>
  </si>
  <si>
    <t>405-0296098</t>
  </si>
  <si>
    <t>407-1281199</t>
  </si>
  <si>
    <t>171-9860629</t>
  </si>
  <si>
    <t>171-6901952</t>
  </si>
  <si>
    <t>407-4971466</t>
  </si>
  <si>
    <t>405-8029379</t>
  </si>
  <si>
    <t>407-7584216</t>
  </si>
  <si>
    <t>408-3633126</t>
  </si>
  <si>
    <t>406-7108075</t>
  </si>
  <si>
    <t>403-9330396</t>
  </si>
  <si>
    <t>408-7663447</t>
  </si>
  <si>
    <t>406-2643593</t>
  </si>
  <si>
    <t>403-3532449</t>
  </si>
  <si>
    <t>403-3061540</t>
  </si>
  <si>
    <t>406-7723022</t>
  </si>
  <si>
    <t>407-9519017</t>
  </si>
  <si>
    <t>402-8363899</t>
  </si>
  <si>
    <t>407-6515286</t>
  </si>
  <si>
    <t>402-4462244</t>
  </si>
  <si>
    <t>403-0762444</t>
  </si>
  <si>
    <t>408-9832980</t>
  </si>
  <si>
    <t>171-6857176</t>
  </si>
  <si>
    <t>407-7205117</t>
  </si>
  <si>
    <t>405-6152834</t>
  </si>
  <si>
    <t>406-4033518</t>
  </si>
  <si>
    <t>407-4766783</t>
  </si>
  <si>
    <t>405-7751481</t>
  </si>
  <si>
    <t>402-6932218</t>
  </si>
  <si>
    <t>403-7805034</t>
  </si>
  <si>
    <t>408-1934734</t>
  </si>
  <si>
    <t>402-5461217</t>
  </si>
  <si>
    <t>405-4166182</t>
  </si>
  <si>
    <t>408-0508319</t>
  </si>
  <si>
    <t>402-3024374</t>
  </si>
  <si>
    <t>403-5350681</t>
  </si>
  <si>
    <t>407-7034195</t>
  </si>
  <si>
    <t>404-5326241</t>
  </si>
  <si>
    <t>404-7602761</t>
  </si>
  <si>
    <t>404-9865663</t>
  </si>
  <si>
    <t>407-5889501</t>
  </si>
  <si>
    <t>402-8579817</t>
  </si>
  <si>
    <t>407-8087429</t>
  </si>
  <si>
    <t>405-8083324</t>
  </si>
  <si>
    <t>403-3172535</t>
  </si>
  <si>
    <t>407-9303072</t>
  </si>
  <si>
    <t>407-4365611</t>
  </si>
  <si>
    <t>406-0394104</t>
  </si>
  <si>
    <t>405-6417824</t>
  </si>
  <si>
    <t>407-5521974</t>
  </si>
  <si>
    <t>408-0034930</t>
  </si>
  <si>
    <t>402-6454993</t>
  </si>
  <si>
    <t>404-5126332</t>
  </si>
  <si>
    <t>171-0937371</t>
  </si>
  <si>
    <t>405-4650316</t>
  </si>
  <si>
    <t>404-4512098</t>
  </si>
  <si>
    <t>404-4818370</t>
  </si>
  <si>
    <t>405-3712257</t>
  </si>
  <si>
    <t>405-9242606</t>
  </si>
  <si>
    <t>406-7528695</t>
  </si>
  <si>
    <t>408-3874340</t>
  </si>
  <si>
    <t>407-0501602</t>
  </si>
  <si>
    <t>405-2754660</t>
  </si>
  <si>
    <t>408-8557276</t>
  </si>
  <si>
    <t>404-6833642</t>
  </si>
  <si>
    <t>405-0146041</t>
  </si>
  <si>
    <t>171-2044117</t>
  </si>
  <si>
    <t>407-2818011</t>
  </si>
  <si>
    <t>404-3721061</t>
  </si>
  <si>
    <t>405-0597888</t>
  </si>
  <si>
    <t>406-3177867</t>
  </si>
  <si>
    <t>405-9669353</t>
  </si>
  <si>
    <t>408-3101894</t>
  </si>
  <si>
    <t>402-5768714</t>
  </si>
  <si>
    <t>406-2541011</t>
  </si>
  <si>
    <t>408-9681232</t>
  </si>
  <si>
    <t>171-6547053</t>
  </si>
  <si>
    <t>406-4516846</t>
  </si>
  <si>
    <t>171-2651296</t>
  </si>
  <si>
    <t>402-4191802</t>
  </si>
  <si>
    <t>407-9039742</t>
  </si>
  <si>
    <t>405-6847315</t>
  </si>
  <si>
    <t>402-0428176</t>
  </si>
  <si>
    <t>408-6025042</t>
  </si>
  <si>
    <t>171-8468924</t>
  </si>
  <si>
    <t>405-0975544</t>
  </si>
  <si>
    <t>403-2921633</t>
  </si>
  <si>
    <t>408-7291624</t>
  </si>
  <si>
    <t>405-7208649</t>
  </si>
  <si>
    <t>403-6749920</t>
  </si>
  <si>
    <t>403-9795558</t>
  </si>
  <si>
    <t>404-8549475</t>
  </si>
  <si>
    <t>403-0125119</t>
  </si>
  <si>
    <t>403-9013888</t>
  </si>
  <si>
    <t>171-1035452</t>
  </si>
  <si>
    <t>405-8956207</t>
  </si>
  <si>
    <t>406-2547373</t>
  </si>
  <si>
    <t>403-3810669</t>
  </si>
  <si>
    <t>402-5232622</t>
  </si>
  <si>
    <t>405-0332121</t>
  </si>
  <si>
    <t>402-4474004</t>
  </si>
  <si>
    <t>171-7606398</t>
  </si>
  <si>
    <t>405-8942298</t>
  </si>
  <si>
    <t>405-6130966</t>
  </si>
  <si>
    <t>402-9913480</t>
  </si>
  <si>
    <t>406-9961255</t>
  </si>
  <si>
    <t>171-7531919</t>
  </si>
  <si>
    <t>405-3120385</t>
  </si>
  <si>
    <t>171-5014919</t>
  </si>
  <si>
    <t>402-1933954</t>
  </si>
  <si>
    <t>408-4993743</t>
  </si>
  <si>
    <t>408-9539545</t>
  </si>
  <si>
    <t>402-8751370</t>
  </si>
  <si>
    <t>404-5818181</t>
  </si>
  <si>
    <t>406-1853700</t>
  </si>
  <si>
    <t>405-6135605</t>
  </si>
  <si>
    <t>403-4650451</t>
  </si>
  <si>
    <t>403-0302644</t>
  </si>
  <si>
    <t>406-1581803</t>
  </si>
  <si>
    <t>171-9708787</t>
  </si>
  <si>
    <t>402-3323779</t>
  </si>
  <si>
    <t>405-8503973</t>
  </si>
  <si>
    <t>402-3434817</t>
  </si>
  <si>
    <t>402-6480590</t>
  </si>
  <si>
    <t>407-3515095</t>
  </si>
  <si>
    <t>403-0217739</t>
  </si>
  <si>
    <t>406-9150087</t>
  </si>
  <si>
    <t>406-2588525</t>
  </si>
  <si>
    <t>171-8136921</t>
  </si>
  <si>
    <t>408-2830017</t>
  </si>
  <si>
    <t>403-8151820</t>
  </si>
  <si>
    <t>402-4767975</t>
  </si>
  <si>
    <t>405-0089099</t>
  </si>
  <si>
    <t>407-3670630</t>
  </si>
  <si>
    <t>405-0007003</t>
  </si>
  <si>
    <t>171-2220271</t>
  </si>
  <si>
    <t>408-7259584</t>
  </si>
  <si>
    <t>403-3388289</t>
  </si>
  <si>
    <t>402-7358373</t>
  </si>
  <si>
    <t>407-6750779</t>
  </si>
  <si>
    <t>407-6475510</t>
  </si>
  <si>
    <t>405-3424885</t>
  </si>
  <si>
    <t>403-1582863</t>
  </si>
  <si>
    <t>408-7011371</t>
  </si>
  <si>
    <t>171-6892351</t>
  </si>
  <si>
    <t>404-7703659</t>
  </si>
  <si>
    <t>408-1483801</t>
  </si>
  <si>
    <t>403-8998188</t>
  </si>
  <si>
    <t>171-6668938</t>
  </si>
  <si>
    <t>171-5271547</t>
  </si>
  <si>
    <t>406-1608114</t>
  </si>
  <si>
    <t>405-4895663</t>
  </si>
  <si>
    <t>408-5006561</t>
  </si>
  <si>
    <t>407-9943797</t>
  </si>
  <si>
    <t>171-1910764</t>
  </si>
  <si>
    <t>408-2834317</t>
  </si>
  <si>
    <t>404-6024790</t>
  </si>
  <si>
    <t>171-9006108</t>
  </si>
  <si>
    <t>402-5496685</t>
  </si>
  <si>
    <t>171-8136313</t>
  </si>
  <si>
    <t>405-5811844</t>
  </si>
  <si>
    <t>402-7348658</t>
  </si>
  <si>
    <t>407-9514768</t>
  </si>
  <si>
    <t>171-5110320</t>
  </si>
  <si>
    <t>408-0327271</t>
  </si>
  <si>
    <t>408-0290999</t>
  </si>
  <si>
    <t>403-4538838</t>
  </si>
  <si>
    <t>405-2302585</t>
  </si>
  <si>
    <t>405-3413497</t>
  </si>
  <si>
    <t>402-9162189</t>
  </si>
  <si>
    <t>402-6543353</t>
  </si>
  <si>
    <t>403-6628562</t>
  </si>
  <si>
    <t>407-1198014</t>
  </si>
  <si>
    <t>404-5698293</t>
  </si>
  <si>
    <t>408-8749697</t>
  </si>
  <si>
    <t>403-6076719</t>
  </si>
  <si>
    <t>404-3266360</t>
  </si>
  <si>
    <t>402-5250965</t>
  </si>
  <si>
    <t>407-1676852</t>
  </si>
  <si>
    <t>406-9907647</t>
  </si>
  <si>
    <t>403-0005430</t>
  </si>
  <si>
    <t>403-9583944</t>
  </si>
  <si>
    <t>408-8158548</t>
  </si>
  <si>
    <t>407-0797552</t>
  </si>
  <si>
    <t>407-5323203</t>
  </si>
  <si>
    <t>406-2252448</t>
  </si>
  <si>
    <t>408-6382984</t>
  </si>
  <si>
    <t>404-1919343</t>
  </si>
  <si>
    <t>403-3531125</t>
  </si>
  <si>
    <t>403-8529721</t>
  </si>
  <si>
    <t>408-3861272</t>
  </si>
  <si>
    <t>404-4094878</t>
  </si>
  <si>
    <t>403-9432350</t>
  </si>
  <si>
    <t>405-6429237</t>
  </si>
  <si>
    <t>405-3022520</t>
  </si>
  <si>
    <t>171-8125573</t>
  </si>
  <si>
    <t>403-8019744</t>
  </si>
  <si>
    <t>171-0626510</t>
  </si>
  <si>
    <t>171-3450833</t>
  </si>
  <si>
    <t>405-1575105</t>
  </si>
  <si>
    <t>407-8001905</t>
  </si>
  <si>
    <t>407-6396844</t>
  </si>
  <si>
    <t>403-8142963</t>
  </si>
  <si>
    <t>403-0499978</t>
  </si>
  <si>
    <t>408-0841588</t>
  </si>
  <si>
    <t>407-0290171</t>
  </si>
  <si>
    <t>404-4342119</t>
  </si>
  <si>
    <t>408-4423220</t>
  </si>
  <si>
    <t>406-7440953</t>
  </si>
  <si>
    <t>406-4477213</t>
  </si>
  <si>
    <t>407-3646861</t>
  </si>
  <si>
    <t>403-9890170</t>
  </si>
  <si>
    <t>406-4048029</t>
  </si>
  <si>
    <t>406-0686993</t>
  </si>
  <si>
    <t>405-2449914</t>
  </si>
  <si>
    <t>402-6866013</t>
  </si>
  <si>
    <t>405-7660515</t>
  </si>
  <si>
    <t>407-1480910</t>
  </si>
  <si>
    <t>406-8618016</t>
  </si>
  <si>
    <t>171-2190143</t>
  </si>
  <si>
    <t>402-5202411</t>
  </si>
  <si>
    <t>408-0764304</t>
  </si>
  <si>
    <t>408-0943303</t>
  </si>
  <si>
    <t>404-9297843</t>
  </si>
  <si>
    <t>404-3027379</t>
  </si>
  <si>
    <t>408-8207702</t>
  </si>
  <si>
    <t>402-5429657</t>
  </si>
  <si>
    <t>402-3631015</t>
  </si>
  <si>
    <t>171-0760717</t>
  </si>
  <si>
    <t>171-3115234</t>
  </si>
  <si>
    <t>403-2963387</t>
  </si>
  <si>
    <t>403-2709895</t>
  </si>
  <si>
    <t>407-9438764</t>
  </si>
  <si>
    <t>402-3000785</t>
  </si>
  <si>
    <t>407-4540902</t>
  </si>
  <si>
    <t>408-9061957</t>
  </si>
  <si>
    <t>402-3011764</t>
  </si>
  <si>
    <t>405-1760492</t>
  </si>
  <si>
    <t>405-7546265</t>
  </si>
  <si>
    <t>405-0601958</t>
  </si>
  <si>
    <t>408-8496377</t>
  </si>
  <si>
    <t>402-3973886</t>
  </si>
  <si>
    <t>404-2615717</t>
  </si>
  <si>
    <t>402-0934201</t>
  </si>
  <si>
    <t>406-6581286</t>
  </si>
  <si>
    <t>171-9677427</t>
  </si>
  <si>
    <t>408-2870914</t>
  </si>
  <si>
    <t>408-0779866</t>
  </si>
  <si>
    <t>406-4511012</t>
  </si>
  <si>
    <t>407-8061929</t>
  </si>
  <si>
    <t>403-1484397</t>
  </si>
  <si>
    <t>407-4261197</t>
  </si>
  <si>
    <t>402-1569454</t>
  </si>
  <si>
    <t>404-0259182</t>
  </si>
  <si>
    <t>405-2590919</t>
  </si>
  <si>
    <t>408-8517098</t>
  </si>
  <si>
    <t>408-0391103</t>
  </si>
  <si>
    <t>404-0023763</t>
  </si>
  <si>
    <t>406-4177672</t>
  </si>
  <si>
    <t>406-5313369</t>
  </si>
  <si>
    <t>407-0600072</t>
  </si>
  <si>
    <t>171-7752189</t>
  </si>
  <si>
    <t>404-0578246</t>
  </si>
  <si>
    <t>403-6569943</t>
  </si>
  <si>
    <t>405-4799615</t>
  </si>
  <si>
    <t>171-0321853</t>
  </si>
  <si>
    <t>402-8305147</t>
  </si>
  <si>
    <t>406-6938403</t>
  </si>
  <si>
    <t>407-8968643</t>
  </si>
  <si>
    <t>406-4229474</t>
  </si>
  <si>
    <t>403-1777468</t>
  </si>
  <si>
    <t>404-9198314</t>
  </si>
  <si>
    <t>402-4906442</t>
  </si>
  <si>
    <t>407-9879751</t>
  </si>
  <si>
    <t>171-8936930</t>
  </si>
  <si>
    <t>406-1424076</t>
  </si>
  <si>
    <t>406-3085571</t>
  </si>
  <si>
    <t>408-7629115</t>
  </si>
  <si>
    <t>408-2953378</t>
  </si>
  <si>
    <t>408-3471377</t>
  </si>
  <si>
    <t>405-8521496</t>
  </si>
  <si>
    <t>405-2216347</t>
  </si>
  <si>
    <t>408-5158787</t>
  </si>
  <si>
    <t>171-8782924</t>
  </si>
  <si>
    <t>171-3651255</t>
  </si>
  <si>
    <t>404-8964439</t>
  </si>
  <si>
    <t>402-4592488</t>
  </si>
  <si>
    <t>406-8272722</t>
  </si>
  <si>
    <t>404-7485457</t>
  </si>
  <si>
    <t>407-8910046</t>
  </si>
  <si>
    <t>404-6681212</t>
  </si>
  <si>
    <t>402-2814869</t>
  </si>
  <si>
    <t>406-7306898</t>
  </si>
  <si>
    <t>403-6216661</t>
  </si>
  <si>
    <t>403-8658285</t>
  </si>
  <si>
    <t>171-6674119</t>
  </si>
  <si>
    <t>403-5409521</t>
  </si>
  <si>
    <t>402-8405258</t>
  </si>
  <si>
    <t>171-1950223</t>
  </si>
  <si>
    <t>405-6530205</t>
  </si>
  <si>
    <t>408-8979640</t>
  </si>
  <si>
    <t>407-2591967</t>
  </si>
  <si>
    <t>404-8409362</t>
  </si>
  <si>
    <t>402-3005187</t>
  </si>
  <si>
    <t>405-7733016</t>
  </si>
  <si>
    <t>408-1981112</t>
  </si>
  <si>
    <t>407-0466484</t>
  </si>
  <si>
    <t>406-8956959</t>
  </si>
  <si>
    <t>406-5382772</t>
  </si>
  <si>
    <t>403-4932796</t>
  </si>
  <si>
    <t>404-4045577</t>
  </si>
  <si>
    <t>404-0052519</t>
  </si>
  <si>
    <t>171-0809863</t>
  </si>
  <si>
    <t>402-2786048</t>
  </si>
  <si>
    <t>407-5228409</t>
  </si>
  <si>
    <t>404-8431406</t>
  </si>
  <si>
    <t>403-1975260</t>
  </si>
  <si>
    <t>402-8671948</t>
  </si>
  <si>
    <t>404-2828069</t>
  </si>
  <si>
    <t>406-3515042</t>
  </si>
  <si>
    <t>404-9909852</t>
  </si>
  <si>
    <t>404-9257110</t>
  </si>
  <si>
    <t>171-3610689</t>
  </si>
  <si>
    <t>402-9599583</t>
  </si>
  <si>
    <t>171-4514877</t>
  </si>
  <si>
    <t>403-5723201</t>
  </si>
  <si>
    <t>407-6931824</t>
  </si>
  <si>
    <t>405-3493067</t>
  </si>
  <si>
    <t>402-8579787</t>
  </si>
  <si>
    <t>404-5556380</t>
  </si>
  <si>
    <t>405-1542926</t>
  </si>
  <si>
    <t>404-0847500</t>
  </si>
  <si>
    <t>406-9367227</t>
  </si>
  <si>
    <t>408-2541939</t>
  </si>
  <si>
    <t>405-9529194</t>
  </si>
  <si>
    <t>406-9743793</t>
  </si>
  <si>
    <t>403-0447001</t>
  </si>
  <si>
    <t>402-4285615</t>
  </si>
  <si>
    <t>402-1039325</t>
  </si>
  <si>
    <t>407-0979922</t>
  </si>
  <si>
    <t>405-9743690</t>
  </si>
  <si>
    <t>171-0367334</t>
  </si>
  <si>
    <t>404-6797073</t>
  </si>
  <si>
    <t>407-0623949</t>
  </si>
  <si>
    <t>405-7447678</t>
  </si>
  <si>
    <t>406-3525390</t>
  </si>
  <si>
    <t>403-1892966</t>
  </si>
  <si>
    <t>402-2537379</t>
  </si>
  <si>
    <t>171-5605037</t>
  </si>
  <si>
    <t>403-0905708</t>
  </si>
  <si>
    <t>408-7060946</t>
  </si>
  <si>
    <t>408-1602874</t>
  </si>
  <si>
    <t>171-0203278</t>
  </si>
  <si>
    <t>404-3685615</t>
  </si>
  <si>
    <t>403-7657800</t>
  </si>
  <si>
    <t>403-1928116</t>
  </si>
  <si>
    <t>407-1324506</t>
  </si>
  <si>
    <t>408-5696336</t>
  </si>
  <si>
    <t>406-1215516</t>
  </si>
  <si>
    <t>407-8773331</t>
  </si>
  <si>
    <t>408-7198319</t>
  </si>
  <si>
    <t>403-6586245</t>
  </si>
  <si>
    <t>171-2313473</t>
  </si>
  <si>
    <t>404-2570517</t>
  </si>
  <si>
    <t>403-5661802</t>
  </si>
  <si>
    <t>405-7015711</t>
  </si>
  <si>
    <t>402-5002743</t>
  </si>
  <si>
    <t>406-8178573</t>
  </si>
  <si>
    <t>405-0419425</t>
  </si>
  <si>
    <t>171-2899135</t>
  </si>
  <si>
    <t>408-6964619</t>
  </si>
  <si>
    <t>403-5419805</t>
  </si>
  <si>
    <t>406-1261188</t>
  </si>
  <si>
    <t>406-2240728</t>
  </si>
  <si>
    <t>403-1882157</t>
  </si>
  <si>
    <t>405-8801309</t>
  </si>
  <si>
    <t>408-8090411</t>
  </si>
  <si>
    <t>407-2181646</t>
  </si>
  <si>
    <t>404-0981561</t>
  </si>
  <si>
    <t>406-5536210</t>
  </si>
  <si>
    <t>408-5456181</t>
  </si>
  <si>
    <t>171-0465115</t>
  </si>
  <si>
    <t>402-4381494</t>
  </si>
  <si>
    <t>403-8760277</t>
  </si>
  <si>
    <t>408-0303033</t>
  </si>
  <si>
    <t>406-8925645</t>
  </si>
  <si>
    <t>171-2532248</t>
  </si>
  <si>
    <t>404-3592328</t>
  </si>
  <si>
    <t>405-8559960</t>
  </si>
  <si>
    <t>407-3367020</t>
  </si>
  <si>
    <t>404-7104760</t>
  </si>
  <si>
    <t>407-2405614</t>
  </si>
  <si>
    <t>403-1094060</t>
  </si>
  <si>
    <t>402-8750917</t>
  </si>
  <si>
    <t>403-7447461</t>
  </si>
  <si>
    <t>408-9365241</t>
  </si>
  <si>
    <t>403-6800003</t>
  </si>
  <si>
    <t>408-1944109</t>
  </si>
  <si>
    <t>402-8025759</t>
  </si>
  <si>
    <t>405-0859168</t>
  </si>
  <si>
    <t>402-8503995</t>
  </si>
  <si>
    <t>405-3172282</t>
  </si>
  <si>
    <t>408-5605229</t>
  </si>
  <si>
    <t>403-3027802</t>
  </si>
  <si>
    <t>171-6808007</t>
  </si>
  <si>
    <t>171-0434018</t>
  </si>
  <si>
    <t>404-4418252</t>
  </si>
  <si>
    <t>171-9155153</t>
  </si>
  <si>
    <t>408-3324427</t>
  </si>
  <si>
    <t>404-7352236</t>
  </si>
  <si>
    <t>408-9760962</t>
  </si>
  <si>
    <t>171-8779858</t>
  </si>
  <si>
    <t>405-3702038</t>
  </si>
  <si>
    <t>171-2621999</t>
  </si>
  <si>
    <t>406-3157796</t>
  </si>
  <si>
    <t>403-4546467</t>
  </si>
  <si>
    <t>406-1880547</t>
  </si>
  <si>
    <t>403-0904304</t>
  </si>
  <si>
    <t>402-1685615</t>
  </si>
  <si>
    <t>404-9429472</t>
  </si>
  <si>
    <t>406-6721093</t>
  </si>
  <si>
    <t>171-6289109</t>
  </si>
  <si>
    <t>408-1514350</t>
  </si>
  <si>
    <t>403-8161067</t>
  </si>
  <si>
    <t>404-4307984</t>
  </si>
  <si>
    <t>407-8096094</t>
  </si>
  <si>
    <t>407-2044466</t>
  </si>
  <si>
    <t>408-2098982</t>
  </si>
  <si>
    <t>402-5801279</t>
  </si>
  <si>
    <t>407-9256485</t>
  </si>
  <si>
    <t>405-3956242</t>
  </si>
  <si>
    <t>403-3073058</t>
  </si>
  <si>
    <t>403-5455256</t>
  </si>
  <si>
    <t>408-2135168</t>
  </si>
  <si>
    <t>406-4299107</t>
  </si>
  <si>
    <t>404-7263061</t>
  </si>
  <si>
    <t>402-6957301</t>
  </si>
  <si>
    <t>408-6943125</t>
  </si>
  <si>
    <t>408-7945089</t>
  </si>
  <si>
    <t>405-6120282</t>
  </si>
  <si>
    <t>406-4704688</t>
  </si>
  <si>
    <t>405-8575380</t>
  </si>
  <si>
    <t>402-7744718</t>
  </si>
  <si>
    <t>171-0602668</t>
  </si>
  <si>
    <t>406-9671356</t>
  </si>
  <si>
    <t>402-8421587</t>
  </si>
  <si>
    <t>406-7730259</t>
  </si>
  <si>
    <t>408-8708936</t>
  </si>
  <si>
    <t>405-9334347</t>
  </si>
  <si>
    <t>408-1168303</t>
  </si>
  <si>
    <t>408-5617123</t>
  </si>
  <si>
    <t>405-2348892</t>
  </si>
  <si>
    <t>405-0226880</t>
  </si>
  <si>
    <t>407-4547470</t>
  </si>
  <si>
    <t>405-9902181</t>
  </si>
  <si>
    <t>171-6529918</t>
  </si>
  <si>
    <t>403-7647927</t>
  </si>
  <si>
    <t>407-6167384</t>
  </si>
  <si>
    <t>402-1325591</t>
  </si>
  <si>
    <t>406-8393742</t>
  </si>
  <si>
    <t>408-3614904</t>
  </si>
  <si>
    <t>407-0795671</t>
  </si>
  <si>
    <t>171-4154709</t>
  </si>
  <si>
    <t>405-6223141</t>
  </si>
  <si>
    <t>408-4621892</t>
  </si>
  <si>
    <t>403-8312990</t>
  </si>
  <si>
    <t>403-8587279</t>
  </si>
  <si>
    <t>403-9727765</t>
  </si>
  <si>
    <t>402-4632602</t>
  </si>
  <si>
    <t>408-6092444</t>
  </si>
  <si>
    <t>404-9259456</t>
  </si>
  <si>
    <t>405-7001770</t>
  </si>
  <si>
    <t>404-4721538</t>
  </si>
  <si>
    <t>407-2068657</t>
  </si>
  <si>
    <t>408-5740133</t>
  </si>
  <si>
    <t>404-7397727</t>
  </si>
  <si>
    <t>403-0250267</t>
  </si>
  <si>
    <t>403-0220555</t>
  </si>
  <si>
    <t>405-1185374</t>
  </si>
  <si>
    <t>408-3925117</t>
  </si>
  <si>
    <t>405-3839351</t>
  </si>
  <si>
    <t>405-4008111</t>
  </si>
  <si>
    <t>406-9265647</t>
  </si>
  <si>
    <t>403-8627007</t>
  </si>
  <si>
    <t>407-7812876</t>
  </si>
  <si>
    <t>406-0635155</t>
  </si>
  <si>
    <t>404-4801159</t>
  </si>
  <si>
    <t>404-3696167</t>
  </si>
  <si>
    <t>408-0256202</t>
  </si>
  <si>
    <t>171-1779028</t>
  </si>
  <si>
    <t>406-7521357</t>
  </si>
  <si>
    <t>403-3871424</t>
  </si>
  <si>
    <t>403-2252551</t>
  </si>
  <si>
    <t>171-9160062</t>
  </si>
  <si>
    <t>407-3848348</t>
  </si>
  <si>
    <t>405-3614770</t>
  </si>
  <si>
    <t>403-0688849</t>
  </si>
  <si>
    <t>406-5918490</t>
  </si>
  <si>
    <t>404-3662956</t>
  </si>
  <si>
    <t>408-2003369</t>
  </si>
  <si>
    <t>403-7933802</t>
  </si>
  <si>
    <t>402-1166483</t>
  </si>
  <si>
    <t>404-5423228</t>
  </si>
  <si>
    <t>406-5742043</t>
  </si>
  <si>
    <t>407-3851727</t>
  </si>
  <si>
    <t>403-8765102</t>
  </si>
  <si>
    <t>408-9550699</t>
  </si>
  <si>
    <t>408-0268816</t>
  </si>
  <si>
    <t>402-9717860</t>
  </si>
  <si>
    <t>402-9921656</t>
  </si>
  <si>
    <t>405-6771151</t>
  </si>
  <si>
    <t>402-0515372</t>
  </si>
  <si>
    <t>171-8023483</t>
  </si>
  <si>
    <t>406-4791058</t>
  </si>
  <si>
    <t>403-0782644</t>
  </si>
  <si>
    <t>404-6769344</t>
  </si>
  <si>
    <t>402-1671558</t>
  </si>
  <si>
    <t>403-2372128</t>
  </si>
  <si>
    <t>407-8042873</t>
  </si>
  <si>
    <t>408-9301686</t>
  </si>
  <si>
    <t>408-4317647</t>
  </si>
  <si>
    <t>402-8697727</t>
  </si>
  <si>
    <t>408-8757866</t>
  </si>
  <si>
    <t>407-1435458</t>
  </si>
  <si>
    <t>406-0229807</t>
  </si>
  <si>
    <t>171-6112874</t>
  </si>
  <si>
    <t>171-3307033</t>
  </si>
  <si>
    <t>407-8938744</t>
  </si>
  <si>
    <t>408-2731358</t>
  </si>
  <si>
    <t>171-5510667</t>
  </si>
  <si>
    <t>402-5784359</t>
  </si>
  <si>
    <t>407-8671238</t>
  </si>
  <si>
    <t>402-0503522</t>
  </si>
  <si>
    <t>404-4712891</t>
  </si>
  <si>
    <t>403-8805448</t>
  </si>
  <si>
    <t>407-2895525</t>
  </si>
  <si>
    <t>403-0518165</t>
  </si>
  <si>
    <t>403-1963534</t>
  </si>
  <si>
    <t>404-7158739</t>
  </si>
  <si>
    <t>406-4411432</t>
  </si>
  <si>
    <t>403-0199530</t>
  </si>
  <si>
    <t>406-1795437</t>
  </si>
  <si>
    <t>408-6054666</t>
  </si>
  <si>
    <t>407-9433289</t>
  </si>
  <si>
    <t>404-4550349</t>
  </si>
  <si>
    <t>408-5874128</t>
  </si>
  <si>
    <t>405-6027008</t>
  </si>
  <si>
    <t>406-0316612</t>
  </si>
  <si>
    <t>405-9052158</t>
  </si>
  <si>
    <t>402-1471138</t>
  </si>
  <si>
    <t>404-2970714</t>
  </si>
  <si>
    <t>405-5706472</t>
  </si>
  <si>
    <t>407-0164727</t>
  </si>
  <si>
    <t>403-8472414</t>
  </si>
  <si>
    <t>171-3380316</t>
  </si>
  <si>
    <t>407-2188857</t>
  </si>
  <si>
    <t>171-4814361</t>
  </si>
  <si>
    <t>406-2601540</t>
  </si>
  <si>
    <t>403-2058521</t>
  </si>
  <si>
    <t>408-5891815</t>
  </si>
  <si>
    <t>403-9765998</t>
  </si>
  <si>
    <t>408-0503857</t>
  </si>
  <si>
    <t>405-3125559</t>
  </si>
  <si>
    <t>407-4310696</t>
  </si>
  <si>
    <t>402-5226914</t>
  </si>
  <si>
    <t>402-0527107</t>
  </si>
  <si>
    <t>402-8204256</t>
  </si>
  <si>
    <t>407-8150290</t>
  </si>
  <si>
    <t>405-3452817</t>
  </si>
  <si>
    <t>402-8246040</t>
  </si>
  <si>
    <t>408-7200684</t>
  </si>
  <si>
    <t>407-5699693</t>
  </si>
  <si>
    <t>404-6773636</t>
  </si>
  <si>
    <t>405-5188439</t>
  </si>
  <si>
    <t>406-5135488</t>
  </si>
  <si>
    <t>402-5469736</t>
  </si>
  <si>
    <t>406-4428832</t>
  </si>
  <si>
    <t>403-8969167</t>
  </si>
  <si>
    <t>406-0484200</t>
  </si>
  <si>
    <t>402-1345979</t>
  </si>
  <si>
    <t>404-1066780</t>
  </si>
  <si>
    <t>171-3167997</t>
  </si>
  <si>
    <t>405-9716987</t>
  </si>
  <si>
    <t>408-7367695</t>
  </si>
  <si>
    <t>406-8932238</t>
  </si>
  <si>
    <t>403-0398161</t>
  </si>
  <si>
    <t>407-7549923</t>
  </si>
  <si>
    <t>171-4355521</t>
  </si>
  <si>
    <t>171-4916937</t>
  </si>
  <si>
    <t>171-2005004</t>
  </si>
  <si>
    <t>403-9145699</t>
  </si>
  <si>
    <t>406-7046387</t>
  </si>
  <si>
    <t>171-3524799</t>
  </si>
  <si>
    <t>171-1689736</t>
  </si>
  <si>
    <t>406-9564318</t>
  </si>
  <si>
    <t>406-3686141</t>
  </si>
  <si>
    <t>171-0277041</t>
  </si>
  <si>
    <t>403-9966375</t>
  </si>
  <si>
    <t>403-2512276</t>
  </si>
  <si>
    <t>404-5008674</t>
  </si>
  <si>
    <t>402-5197739</t>
  </si>
  <si>
    <t>404-0376090</t>
  </si>
  <si>
    <t>406-1765165</t>
  </si>
  <si>
    <t>405-4012289</t>
  </si>
  <si>
    <t>404-7486678</t>
  </si>
  <si>
    <t>407-9116204</t>
  </si>
  <si>
    <t>405-9996130</t>
  </si>
  <si>
    <t>404-0946760</t>
  </si>
  <si>
    <t>406-7039950</t>
  </si>
  <si>
    <t>402-5889974</t>
  </si>
  <si>
    <t>407-2414027</t>
  </si>
  <si>
    <t>404-2510936</t>
  </si>
  <si>
    <t>402-6448966</t>
  </si>
  <si>
    <t>171-5430821</t>
  </si>
  <si>
    <t>403-0294848</t>
  </si>
  <si>
    <t>171-4327562</t>
  </si>
  <si>
    <t>408-7003662</t>
  </si>
  <si>
    <t>405-2417747</t>
  </si>
  <si>
    <t>406-9733397</t>
  </si>
  <si>
    <t>408-3372184</t>
  </si>
  <si>
    <t>405-1529602</t>
  </si>
  <si>
    <t>404-0513246</t>
  </si>
  <si>
    <t>171-9083392</t>
  </si>
  <si>
    <t>404-8074358</t>
  </si>
  <si>
    <t>171-8521454</t>
  </si>
  <si>
    <t>171-9346340</t>
  </si>
  <si>
    <t>403-5688192</t>
  </si>
  <si>
    <t>403-0781949</t>
  </si>
  <si>
    <t>171-4742161</t>
  </si>
  <si>
    <t>405-1176039</t>
  </si>
  <si>
    <t>405-3447567</t>
  </si>
  <si>
    <t>402-1771694</t>
  </si>
  <si>
    <t>171-8116972</t>
  </si>
  <si>
    <t>408-7289199</t>
  </si>
  <si>
    <t>171-2937790</t>
  </si>
  <si>
    <t>171-4143249</t>
  </si>
  <si>
    <t>403-8957216</t>
  </si>
  <si>
    <t>171-3889816</t>
  </si>
  <si>
    <t>171-9433123</t>
  </si>
  <si>
    <t>171-6686550</t>
  </si>
  <si>
    <t>408-5336706</t>
  </si>
  <si>
    <t>402-5430785</t>
  </si>
  <si>
    <t>403-7872661</t>
  </si>
  <si>
    <t>405-8908397</t>
  </si>
  <si>
    <t>407-0239074</t>
  </si>
  <si>
    <t>402-9761430</t>
  </si>
  <si>
    <t>403-5650934</t>
  </si>
  <si>
    <t>405-3222704</t>
  </si>
  <si>
    <t>171-5802744</t>
  </si>
  <si>
    <t>171-2146247</t>
  </si>
  <si>
    <t>402-4828724</t>
  </si>
  <si>
    <t>402-1170013</t>
  </si>
  <si>
    <t>408-9603437</t>
  </si>
  <si>
    <t>406-1500526</t>
  </si>
  <si>
    <t>405-1760693</t>
  </si>
  <si>
    <t>408-4810346</t>
  </si>
  <si>
    <t>408-0057017</t>
  </si>
  <si>
    <t>403-3974058</t>
  </si>
  <si>
    <t>405-7457952</t>
  </si>
  <si>
    <t>407-9469929</t>
  </si>
  <si>
    <t>408-8258103</t>
  </si>
  <si>
    <t>407-4222006</t>
  </si>
  <si>
    <t>407-2242010</t>
  </si>
  <si>
    <t>406-3480586</t>
  </si>
  <si>
    <t>407-9757738</t>
  </si>
  <si>
    <t>171-6600771</t>
  </si>
  <si>
    <t>171-0015353</t>
  </si>
  <si>
    <t>407-2637799</t>
  </si>
  <si>
    <t>406-6164255</t>
  </si>
  <si>
    <t>403-4576812</t>
  </si>
  <si>
    <t>403-3889110</t>
  </si>
  <si>
    <t>404-3781773</t>
  </si>
  <si>
    <t>405-1837325</t>
  </si>
  <si>
    <t>171-9174115</t>
  </si>
  <si>
    <t>402-2264729</t>
  </si>
  <si>
    <t>406-6667637</t>
  </si>
  <si>
    <t>402-5215751</t>
  </si>
  <si>
    <t>404-6410912</t>
  </si>
  <si>
    <t>402-8472372</t>
  </si>
  <si>
    <t>405-9220332</t>
  </si>
  <si>
    <t>408-5454943</t>
  </si>
  <si>
    <t>402-9720670</t>
  </si>
  <si>
    <t>406-0593440</t>
  </si>
  <si>
    <t>402-7957062</t>
  </si>
  <si>
    <t>402-5940075</t>
  </si>
  <si>
    <t>406-3937078</t>
  </si>
  <si>
    <t>408-0663922</t>
  </si>
  <si>
    <t>171-8884869</t>
  </si>
  <si>
    <t>408-0796625</t>
  </si>
  <si>
    <t>404-1893839</t>
  </si>
  <si>
    <t>406-6254187</t>
  </si>
  <si>
    <t>407-6094602</t>
  </si>
  <si>
    <t>407-9083581</t>
  </si>
  <si>
    <t>171-4515605</t>
  </si>
  <si>
    <t>171-4687128</t>
  </si>
  <si>
    <t>402-9075872</t>
  </si>
  <si>
    <t>406-7839747</t>
  </si>
  <si>
    <t>171-8361049</t>
  </si>
  <si>
    <t>402-5824818</t>
  </si>
  <si>
    <t>408-2271895</t>
  </si>
  <si>
    <t>402-2356450</t>
  </si>
  <si>
    <t>407-3613368</t>
  </si>
  <si>
    <t>171-3696494</t>
  </si>
  <si>
    <t>406-9307927</t>
  </si>
  <si>
    <t>408-5853281</t>
  </si>
  <si>
    <t>408-1314434</t>
  </si>
  <si>
    <t>406-2740509</t>
  </si>
  <si>
    <t>171-0647937</t>
  </si>
  <si>
    <t>403-2636084</t>
  </si>
  <si>
    <t>408-4137842</t>
  </si>
  <si>
    <t>404-4183054</t>
  </si>
  <si>
    <t>407-7883244</t>
  </si>
  <si>
    <t>407-2801236</t>
  </si>
  <si>
    <t>171-8033179</t>
  </si>
  <si>
    <t>403-3565978</t>
  </si>
  <si>
    <t>405-8584979</t>
  </si>
  <si>
    <t>403-2038407</t>
  </si>
  <si>
    <t>403-1347567</t>
  </si>
  <si>
    <t>407-1425428</t>
  </si>
  <si>
    <t>404-9068158</t>
  </si>
  <si>
    <t>171-4863134</t>
  </si>
  <si>
    <t>402-6994962</t>
  </si>
  <si>
    <t>405-0869581</t>
  </si>
  <si>
    <t>407-6684597</t>
  </si>
  <si>
    <t>402-6487063</t>
  </si>
  <si>
    <t>403-7297499</t>
  </si>
  <si>
    <t>407-4402561</t>
  </si>
  <si>
    <t>407-9987929</t>
  </si>
  <si>
    <t>402-9176179</t>
  </si>
  <si>
    <t>407-3358416</t>
  </si>
  <si>
    <t>403-9147880</t>
  </si>
  <si>
    <t>403-5896566</t>
  </si>
  <si>
    <t>171-2645108</t>
  </si>
  <si>
    <t>408-0446578</t>
  </si>
  <si>
    <t>406-1770281</t>
  </si>
  <si>
    <t>171-1641533</t>
  </si>
  <si>
    <t>405-1310118</t>
  </si>
  <si>
    <t>405-8411773</t>
  </si>
  <si>
    <t>404-3138434</t>
  </si>
  <si>
    <t>407-8886284</t>
  </si>
  <si>
    <t>408-3548568</t>
  </si>
  <si>
    <t>407-1534388</t>
  </si>
  <si>
    <t>406-4783523</t>
  </si>
  <si>
    <t>404-6550827</t>
  </si>
  <si>
    <t>171-2202539</t>
  </si>
  <si>
    <t>402-3179429</t>
  </si>
  <si>
    <t>404-0239841</t>
  </si>
  <si>
    <t>408-0103546</t>
  </si>
  <si>
    <t>402-8911203</t>
  </si>
  <si>
    <t>403-6922099</t>
  </si>
  <si>
    <t>405-9516807</t>
  </si>
  <si>
    <t>407-6265625</t>
  </si>
  <si>
    <t>408-6947187</t>
  </si>
  <si>
    <t>407-2354254</t>
  </si>
  <si>
    <t>406-8670216</t>
  </si>
  <si>
    <t>405-4093694</t>
  </si>
  <si>
    <t>408-4909240</t>
  </si>
  <si>
    <t>404-7985215</t>
  </si>
  <si>
    <t>402-3056745</t>
  </si>
  <si>
    <t>402-7716939</t>
  </si>
  <si>
    <t>171-2155121</t>
  </si>
  <si>
    <t>407-8582057</t>
  </si>
  <si>
    <t>407-4831861</t>
  </si>
  <si>
    <t>408-6634361</t>
  </si>
  <si>
    <t>404-3936304</t>
  </si>
  <si>
    <t>406-8813179</t>
  </si>
  <si>
    <t>402-3734047</t>
  </si>
  <si>
    <t>403-3223681</t>
  </si>
  <si>
    <t>405-5543621</t>
  </si>
  <si>
    <t>403-1397993</t>
  </si>
  <si>
    <t>402-1781950</t>
  </si>
  <si>
    <t>405-3314563</t>
  </si>
  <si>
    <t>408-2087565</t>
  </si>
  <si>
    <t>408-5037643</t>
  </si>
  <si>
    <t>408-3289264</t>
  </si>
  <si>
    <t>403-2001250</t>
  </si>
  <si>
    <t>171-9616735</t>
  </si>
  <si>
    <t>406-0540223</t>
  </si>
  <si>
    <t>402-6788161</t>
  </si>
  <si>
    <t>405-2953945</t>
  </si>
  <si>
    <t>405-6780117</t>
  </si>
  <si>
    <t>407-8127937</t>
  </si>
  <si>
    <t>171-9354893</t>
  </si>
  <si>
    <t>408-2553867</t>
  </si>
  <si>
    <t>403-6755027</t>
  </si>
  <si>
    <t>171-6428243</t>
  </si>
  <si>
    <t>407-1701431</t>
  </si>
  <si>
    <t>405-5941447</t>
  </si>
  <si>
    <t>408-7430776</t>
  </si>
  <si>
    <t>408-8985896</t>
  </si>
  <si>
    <t>171-6368906</t>
  </si>
  <si>
    <t>171-9416091</t>
  </si>
  <si>
    <t>403-1545835</t>
  </si>
  <si>
    <t>402-5458137</t>
  </si>
  <si>
    <t>406-6801416</t>
  </si>
  <si>
    <t>171-3404913</t>
  </si>
  <si>
    <t>407-6188815</t>
  </si>
  <si>
    <t>403-0775906</t>
  </si>
  <si>
    <t>405-6251660</t>
  </si>
  <si>
    <t>406-8535930</t>
  </si>
  <si>
    <t>406-4990719</t>
  </si>
  <si>
    <t>403-6309348</t>
  </si>
  <si>
    <t>402-2421881</t>
  </si>
  <si>
    <t>408-9334589</t>
  </si>
  <si>
    <t>405-0370914</t>
  </si>
  <si>
    <t>406-5993087</t>
  </si>
  <si>
    <t>408-4528595</t>
  </si>
  <si>
    <t>171-8990017</t>
  </si>
  <si>
    <t>402-3864052</t>
  </si>
  <si>
    <t>406-0346755</t>
  </si>
  <si>
    <t>402-3349726</t>
  </si>
  <si>
    <t>408-9104567</t>
  </si>
  <si>
    <t>408-5409618</t>
  </si>
  <si>
    <t>408-1954821</t>
  </si>
  <si>
    <t>404-2557224</t>
  </si>
  <si>
    <t>406-1344754</t>
  </si>
  <si>
    <t>171-3644782</t>
  </si>
  <si>
    <t>403-6043726</t>
  </si>
  <si>
    <t>402-1051038</t>
  </si>
  <si>
    <t>403-2491930</t>
  </si>
  <si>
    <t>402-6590291</t>
  </si>
  <si>
    <t>407-2351291</t>
  </si>
  <si>
    <t>403-4408079</t>
  </si>
  <si>
    <t>403-7788476</t>
  </si>
  <si>
    <t>403-0921785</t>
  </si>
  <si>
    <t>403-3231386</t>
  </si>
  <si>
    <t>402-3599543</t>
  </si>
  <si>
    <t>404-6651430</t>
  </si>
  <si>
    <t>407-2341297</t>
  </si>
  <si>
    <t>405-3569714</t>
  </si>
  <si>
    <t>405-1540301</t>
  </si>
  <si>
    <t>171-2515774</t>
  </si>
  <si>
    <t>406-5482239</t>
  </si>
  <si>
    <t>402-9887651</t>
  </si>
  <si>
    <t>406-5231583</t>
  </si>
  <si>
    <t>402-5072022</t>
  </si>
  <si>
    <t>404-6648811</t>
  </si>
  <si>
    <t>406-1127090</t>
  </si>
  <si>
    <t>404-8703996</t>
  </si>
  <si>
    <t>407-7085813</t>
  </si>
  <si>
    <t>404-9512559</t>
  </si>
  <si>
    <t>408-3434507</t>
  </si>
  <si>
    <t>402-0147526</t>
  </si>
  <si>
    <t>408-8949420</t>
  </si>
  <si>
    <t>171-1378241</t>
  </si>
  <si>
    <t>407-8721295</t>
  </si>
  <si>
    <t>403-4611409</t>
  </si>
  <si>
    <t>406-4724790</t>
  </si>
  <si>
    <t>408-5346506</t>
  </si>
  <si>
    <t>408-9511590</t>
  </si>
  <si>
    <t>406-2728887</t>
  </si>
  <si>
    <t>407-2174317</t>
  </si>
  <si>
    <t>402-6834677</t>
  </si>
  <si>
    <t>405-1263646</t>
  </si>
  <si>
    <t>403-6260896</t>
  </si>
  <si>
    <t>404-2176014</t>
  </si>
  <si>
    <t>171-0655354</t>
  </si>
  <si>
    <t>403-1058337</t>
  </si>
  <si>
    <t>408-3238001</t>
  </si>
  <si>
    <t>405-8823859</t>
  </si>
  <si>
    <t>405-4785342</t>
  </si>
  <si>
    <t>408-4409416</t>
  </si>
  <si>
    <t>404-3384826</t>
  </si>
  <si>
    <t>402-8259194</t>
  </si>
  <si>
    <t>408-0269442</t>
  </si>
  <si>
    <t>408-9128996</t>
  </si>
  <si>
    <t>171-1008629</t>
  </si>
  <si>
    <t>171-7361613</t>
  </si>
  <si>
    <t>402-8867348</t>
  </si>
  <si>
    <t>403-3316263</t>
  </si>
  <si>
    <t>404-5222467</t>
  </si>
  <si>
    <t>404-6595570</t>
  </si>
  <si>
    <t>405-1151228</t>
  </si>
  <si>
    <t>408-8305931</t>
  </si>
  <si>
    <t>405-3062466</t>
  </si>
  <si>
    <t>171-9100889</t>
  </si>
  <si>
    <t>408-3278847</t>
  </si>
  <si>
    <t>408-6574940</t>
  </si>
  <si>
    <t>404-9015378</t>
  </si>
  <si>
    <t>408-4554593</t>
  </si>
  <si>
    <t>408-0873349</t>
  </si>
  <si>
    <t>404-4527691</t>
  </si>
  <si>
    <t>404-0955853</t>
  </si>
  <si>
    <t>402-5292483</t>
  </si>
  <si>
    <t>171-7363366</t>
  </si>
  <si>
    <t>406-7740700</t>
  </si>
  <si>
    <t>406-7900281</t>
  </si>
  <si>
    <t>402-3275012</t>
  </si>
  <si>
    <t>408-5490746</t>
  </si>
  <si>
    <t>404-5005753</t>
  </si>
  <si>
    <t>171-8635299</t>
  </si>
  <si>
    <t>407-5916244</t>
  </si>
  <si>
    <t>406-3601491</t>
  </si>
  <si>
    <t>406-7762087</t>
  </si>
  <si>
    <t>406-4955354</t>
  </si>
  <si>
    <t>405-2568440</t>
  </si>
  <si>
    <t>407-0381154</t>
  </si>
  <si>
    <t>406-7668594</t>
  </si>
  <si>
    <t>407-5384199</t>
  </si>
  <si>
    <t>404-1218698</t>
  </si>
  <si>
    <t>402-7723019</t>
  </si>
  <si>
    <t>408-4031724</t>
  </si>
  <si>
    <t>171-3370081</t>
  </si>
  <si>
    <t>408-2943352</t>
  </si>
  <si>
    <t>408-2415258</t>
  </si>
  <si>
    <t>408-7696413</t>
  </si>
  <si>
    <t>171-9245976</t>
  </si>
  <si>
    <t>408-6026640</t>
  </si>
  <si>
    <t>408-9927049</t>
  </si>
  <si>
    <t>406-8251437</t>
  </si>
  <si>
    <t>402-2561398</t>
  </si>
  <si>
    <t>403-4620975</t>
  </si>
  <si>
    <t>171-1185779</t>
  </si>
  <si>
    <t>406-7301854</t>
  </si>
  <si>
    <t>171-4483599</t>
  </si>
  <si>
    <t>402-8283237</t>
  </si>
  <si>
    <t>403-4240320</t>
  </si>
  <si>
    <t>404-8725769</t>
  </si>
  <si>
    <t>408-3931013</t>
  </si>
  <si>
    <t>407-8215845</t>
  </si>
  <si>
    <t>405-0927296</t>
  </si>
  <si>
    <t>405-3935093</t>
  </si>
  <si>
    <t>402-7904316</t>
  </si>
  <si>
    <t>405-6316840</t>
  </si>
  <si>
    <t>407-9803581</t>
  </si>
  <si>
    <t>407-2274005</t>
  </si>
  <si>
    <t>408-9417709</t>
  </si>
  <si>
    <t>403-4047131</t>
  </si>
  <si>
    <t>406-0703797</t>
  </si>
  <si>
    <t>405-4197439</t>
  </si>
  <si>
    <t>403-1620002</t>
  </si>
  <si>
    <t>404-3488493</t>
  </si>
  <si>
    <t>406-1182528</t>
  </si>
  <si>
    <t>171-5392191</t>
  </si>
  <si>
    <t>408-9813537</t>
  </si>
  <si>
    <t>406-1472994</t>
  </si>
  <si>
    <t>171-5044615</t>
  </si>
  <si>
    <t>406-9753106</t>
  </si>
  <si>
    <t>403-9100897</t>
  </si>
  <si>
    <t>403-9984929</t>
  </si>
  <si>
    <t>403-3861713</t>
  </si>
  <si>
    <t>403-8096144</t>
  </si>
  <si>
    <t>406-1430610</t>
  </si>
  <si>
    <t>406-5897731</t>
  </si>
  <si>
    <t>406-8674741</t>
  </si>
  <si>
    <t>407-2608213</t>
  </si>
  <si>
    <t>402-9430508</t>
  </si>
  <si>
    <t>408-5432916</t>
  </si>
  <si>
    <t>404-5682661</t>
  </si>
  <si>
    <t>406-9792025</t>
  </si>
  <si>
    <t>403-7016652</t>
  </si>
  <si>
    <t>404-9927746</t>
  </si>
  <si>
    <t>405-7789314</t>
  </si>
  <si>
    <t>408-8845408</t>
  </si>
  <si>
    <t>406-8501111</t>
  </si>
  <si>
    <t>404-6549846</t>
  </si>
  <si>
    <t>403-3013384</t>
  </si>
  <si>
    <t>171-6805432</t>
  </si>
  <si>
    <t>171-5506310</t>
  </si>
  <si>
    <t>405-2402262</t>
  </si>
  <si>
    <t>402-9376118</t>
  </si>
  <si>
    <t>405-6555766</t>
  </si>
  <si>
    <t>171-3389220</t>
  </si>
  <si>
    <t>404-6465978</t>
  </si>
  <si>
    <t>404-0921791</t>
  </si>
  <si>
    <t>402-0380972</t>
  </si>
  <si>
    <t>171-1683340</t>
  </si>
  <si>
    <t>171-3119448</t>
  </si>
  <si>
    <t>171-3355614</t>
  </si>
  <si>
    <t>405-0011746</t>
  </si>
  <si>
    <t>407-6254467</t>
  </si>
  <si>
    <t>171-6409670</t>
  </si>
  <si>
    <t>407-0809437</t>
  </si>
  <si>
    <t>171-9880082</t>
  </si>
  <si>
    <t>408-0152464</t>
  </si>
  <si>
    <t>406-6929795</t>
  </si>
  <si>
    <t>403-7214213</t>
  </si>
  <si>
    <t>404-0771809</t>
  </si>
  <si>
    <t>407-6387359</t>
  </si>
  <si>
    <t>403-1063479</t>
  </si>
  <si>
    <t>406-8543679</t>
  </si>
  <si>
    <t>408-7496693</t>
  </si>
  <si>
    <t>408-1540731</t>
  </si>
  <si>
    <t>405-9438810</t>
  </si>
  <si>
    <t>408-4232662</t>
  </si>
  <si>
    <t>406-1107968</t>
  </si>
  <si>
    <t>403-1674578</t>
  </si>
  <si>
    <t>406-4744674</t>
  </si>
  <si>
    <t>407-7470368</t>
  </si>
  <si>
    <t>408-5533867</t>
  </si>
  <si>
    <t>406-2618598</t>
  </si>
  <si>
    <t>402-2303396</t>
  </si>
  <si>
    <t>403-7874774</t>
  </si>
  <si>
    <t>403-6300874</t>
  </si>
  <si>
    <t>403-4995069</t>
  </si>
  <si>
    <t>407-1935006</t>
  </si>
  <si>
    <t>171-0233887</t>
  </si>
  <si>
    <t>406-8116400</t>
  </si>
  <si>
    <t>404-1834485</t>
  </si>
  <si>
    <t>407-5609514</t>
  </si>
  <si>
    <t>405-4145852</t>
  </si>
  <si>
    <t>406-8853977</t>
  </si>
  <si>
    <t>405-8570690</t>
  </si>
  <si>
    <t>407-6963137</t>
  </si>
  <si>
    <t>406-6145195</t>
  </si>
  <si>
    <t>408-5602925</t>
  </si>
  <si>
    <t>408-9877290</t>
  </si>
  <si>
    <t>408-3405518</t>
  </si>
  <si>
    <t>406-4755302</t>
  </si>
  <si>
    <t>403-4964848</t>
  </si>
  <si>
    <t>406-9498675</t>
  </si>
  <si>
    <t>405-9985172</t>
  </si>
  <si>
    <t>405-7137385</t>
  </si>
  <si>
    <t>403-6727532</t>
  </si>
  <si>
    <t>407-2526694</t>
  </si>
  <si>
    <t>405-5201785</t>
  </si>
  <si>
    <t>407-8280538</t>
  </si>
  <si>
    <t>407-3155887</t>
  </si>
  <si>
    <t>408-7759144</t>
  </si>
  <si>
    <t>408-7699546</t>
  </si>
  <si>
    <t>403-2175304</t>
  </si>
  <si>
    <t>407-8431157</t>
  </si>
  <si>
    <t>171-1644464</t>
  </si>
  <si>
    <t>402-2642921</t>
  </si>
  <si>
    <t>404-9484748</t>
  </si>
  <si>
    <t>406-9123640</t>
  </si>
  <si>
    <t>408-1698084</t>
  </si>
  <si>
    <t>407-9483737</t>
  </si>
  <si>
    <t>406-3925646</t>
  </si>
  <si>
    <t>405-1801632</t>
  </si>
  <si>
    <t>404-1980298</t>
  </si>
  <si>
    <t>408-0070478</t>
  </si>
  <si>
    <t>404-3590504</t>
  </si>
  <si>
    <t>405-8575292</t>
  </si>
  <si>
    <t>404-2563639</t>
  </si>
  <si>
    <t>171-3934791</t>
  </si>
  <si>
    <t>406-3030712</t>
  </si>
  <si>
    <t>407-0330187</t>
  </si>
  <si>
    <t>402-2132793</t>
  </si>
  <si>
    <t>405-2355368</t>
  </si>
  <si>
    <t>404-0301836</t>
  </si>
  <si>
    <t>407-0024570</t>
  </si>
  <si>
    <t>408-4541895</t>
  </si>
  <si>
    <t>407-7525590</t>
  </si>
  <si>
    <t>407-9883097</t>
  </si>
  <si>
    <t>408-7595150</t>
  </si>
  <si>
    <t>403-5455761</t>
  </si>
  <si>
    <t>404-2049652</t>
  </si>
  <si>
    <t>402-9165171</t>
  </si>
  <si>
    <t>404-6480124</t>
  </si>
  <si>
    <t>407-2581427</t>
  </si>
  <si>
    <t>404-7140262</t>
  </si>
  <si>
    <t>407-8620606</t>
  </si>
  <si>
    <t>407-2162761</t>
  </si>
  <si>
    <t>406-8241282</t>
  </si>
  <si>
    <t>171-9126698</t>
  </si>
  <si>
    <t>171-1400859</t>
  </si>
  <si>
    <t>171-4139068</t>
  </si>
  <si>
    <t>402-6925282</t>
  </si>
  <si>
    <t>408-1124612</t>
  </si>
  <si>
    <t>171-7233297</t>
  </si>
  <si>
    <t>406-4817758</t>
  </si>
  <si>
    <t>403-1678869</t>
  </si>
  <si>
    <t>404-7261163</t>
  </si>
  <si>
    <t>406-2790457</t>
  </si>
  <si>
    <t>406-6341492</t>
  </si>
  <si>
    <t>407-3673673</t>
  </si>
  <si>
    <t>404-0319353</t>
  </si>
  <si>
    <t>402-2185614</t>
  </si>
  <si>
    <t>408-1779254</t>
  </si>
  <si>
    <t>408-4712119</t>
  </si>
  <si>
    <t>171-0782536</t>
  </si>
  <si>
    <t>405-3461270</t>
  </si>
  <si>
    <t>408-3729467</t>
  </si>
  <si>
    <t>407-6232269</t>
  </si>
  <si>
    <t>403-1720452</t>
  </si>
  <si>
    <t>403-2434205</t>
  </si>
  <si>
    <t>408-8429877</t>
  </si>
  <si>
    <t>404-2529254</t>
  </si>
  <si>
    <t>404-4116585</t>
  </si>
  <si>
    <t>405-7917598</t>
  </si>
  <si>
    <t>404-6032671</t>
  </si>
  <si>
    <t>403-4909885</t>
  </si>
  <si>
    <t>404-4990174</t>
  </si>
  <si>
    <t>407-8190397</t>
  </si>
  <si>
    <t>171-0780156</t>
  </si>
  <si>
    <t>403-8737366</t>
  </si>
  <si>
    <t>406-0275957</t>
  </si>
  <si>
    <t>403-1979125</t>
  </si>
  <si>
    <t>403-6713929</t>
  </si>
  <si>
    <t>408-4780261</t>
  </si>
  <si>
    <t>404-5899709</t>
  </si>
  <si>
    <t>407-7027004</t>
  </si>
  <si>
    <t>407-3612137</t>
  </si>
  <si>
    <t>408-5614983</t>
  </si>
  <si>
    <t>171-2212580</t>
  </si>
  <si>
    <t>171-6245041</t>
  </si>
  <si>
    <t>402-2663556</t>
  </si>
  <si>
    <t>403-1273754</t>
  </si>
  <si>
    <t>406-0779911</t>
  </si>
  <si>
    <t>405-2384269</t>
  </si>
  <si>
    <t>406-8220272</t>
  </si>
  <si>
    <t>402-4407042</t>
  </si>
  <si>
    <t>403-3852411</t>
  </si>
  <si>
    <t>171-0492900</t>
  </si>
  <si>
    <t>403-2032027</t>
  </si>
  <si>
    <t>404-8952912</t>
  </si>
  <si>
    <t>402-2135883</t>
  </si>
  <si>
    <t>402-7100884</t>
  </si>
  <si>
    <t>405-6339812</t>
  </si>
  <si>
    <t>405-0003290</t>
  </si>
  <si>
    <t>403-3775492</t>
  </si>
  <si>
    <t>408-7711911</t>
  </si>
  <si>
    <t>408-9561002</t>
  </si>
  <si>
    <t>403-0111177</t>
  </si>
  <si>
    <t>407-1415545</t>
  </si>
  <si>
    <t>407-4725440</t>
  </si>
  <si>
    <t>405-2369821</t>
  </si>
  <si>
    <t>171-8116473</t>
  </si>
  <si>
    <t>404-3643247</t>
  </si>
  <si>
    <t>408-1494379</t>
  </si>
  <si>
    <t>406-4698949</t>
  </si>
  <si>
    <t>404-9318904</t>
  </si>
  <si>
    <t>405-1233853</t>
  </si>
  <si>
    <t>171-9822809</t>
  </si>
  <si>
    <t>402-9418622</t>
  </si>
  <si>
    <t>406-6810582</t>
  </si>
  <si>
    <t>408-0349893</t>
  </si>
  <si>
    <t>406-2651705</t>
  </si>
  <si>
    <t>402-9703580</t>
  </si>
  <si>
    <t>406-0424328</t>
  </si>
  <si>
    <t>402-5515426</t>
  </si>
  <si>
    <t>404-5512687</t>
  </si>
  <si>
    <t>402-2140445</t>
  </si>
  <si>
    <t>408-9440450</t>
  </si>
  <si>
    <t>405-5614480</t>
  </si>
  <si>
    <t>171-6525563</t>
  </si>
  <si>
    <t>402-2742486</t>
  </si>
  <si>
    <t>403-8580667</t>
  </si>
  <si>
    <t>402-6038386</t>
  </si>
  <si>
    <t>404-7355162</t>
  </si>
  <si>
    <t>403-4939965</t>
  </si>
  <si>
    <t>171-2075048</t>
  </si>
  <si>
    <t>404-6167691</t>
  </si>
  <si>
    <t>407-5400302</t>
  </si>
  <si>
    <t>404-3729626</t>
  </si>
  <si>
    <t>171-6522603</t>
  </si>
  <si>
    <t>402-6959888</t>
  </si>
  <si>
    <t>171-0584443</t>
  </si>
  <si>
    <t>404-2420378</t>
  </si>
  <si>
    <t>408-8643159</t>
  </si>
  <si>
    <t>404-4315576</t>
  </si>
  <si>
    <t>403-7519291</t>
  </si>
  <si>
    <t>408-2061002</t>
  </si>
  <si>
    <t>406-0401427</t>
  </si>
  <si>
    <t>407-7572425</t>
  </si>
  <si>
    <t>404-7908796</t>
  </si>
  <si>
    <t>408-3353405</t>
  </si>
  <si>
    <t>404-4233322</t>
  </si>
  <si>
    <t>408-7002009</t>
  </si>
  <si>
    <t>171-5616318</t>
  </si>
  <si>
    <t>171-6741005</t>
  </si>
  <si>
    <t>406-6743208</t>
  </si>
  <si>
    <t>402-8159239</t>
  </si>
  <si>
    <t>402-1701315</t>
  </si>
  <si>
    <t>408-3024991</t>
  </si>
  <si>
    <t>407-2663616</t>
  </si>
  <si>
    <t>408-1881284</t>
  </si>
  <si>
    <t>406-7531358</t>
  </si>
  <si>
    <t>403-8280239</t>
  </si>
  <si>
    <t>403-9112331</t>
  </si>
  <si>
    <t>403-0309970</t>
  </si>
  <si>
    <t>405-7843464</t>
  </si>
  <si>
    <t>171-0657946</t>
  </si>
  <si>
    <t>405-7116987</t>
  </si>
  <si>
    <t>406-5927721</t>
  </si>
  <si>
    <t>403-7397596</t>
  </si>
  <si>
    <t>407-3446252</t>
  </si>
  <si>
    <t>407-3442214</t>
  </si>
  <si>
    <t>403-5765764</t>
  </si>
  <si>
    <t>405-6276484</t>
  </si>
  <si>
    <t>406-4725061</t>
  </si>
  <si>
    <t>405-6281809</t>
  </si>
  <si>
    <t>171-4617615</t>
  </si>
  <si>
    <t>402-7062095</t>
  </si>
  <si>
    <t>408-9706325</t>
  </si>
  <si>
    <t>403-4263937</t>
  </si>
  <si>
    <t>171-2959356</t>
  </si>
  <si>
    <t>406-2922709</t>
  </si>
  <si>
    <t>407-6524171</t>
  </si>
  <si>
    <t>408-4531124</t>
  </si>
  <si>
    <t>406-7210038</t>
  </si>
  <si>
    <t>402-6816208</t>
  </si>
  <si>
    <t>402-0345525</t>
  </si>
  <si>
    <t>408-3889093</t>
  </si>
  <si>
    <t>405-5550107</t>
  </si>
  <si>
    <t>171-1653804</t>
  </si>
  <si>
    <t>405-3517479</t>
  </si>
  <si>
    <t>403-8936617</t>
  </si>
  <si>
    <t>407-8069140</t>
  </si>
  <si>
    <t>408-1944603</t>
  </si>
  <si>
    <t>404-6341086</t>
  </si>
  <si>
    <t>403-8655058</t>
  </si>
  <si>
    <t>404-4901135</t>
  </si>
  <si>
    <t>404-0069435</t>
  </si>
  <si>
    <t>405-2523243</t>
  </si>
  <si>
    <t>408-1495441</t>
  </si>
  <si>
    <t>408-2935263</t>
  </si>
  <si>
    <t>404-5502918</t>
  </si>
  <si>
    <t>171-5785828</t>
  </si>
  <si>
    <t>171-3965959</t>
  </si>
  <si>
    <t>407-0363421</t>
  </si>
  <si>
    <t>405-0028632</t>
  </si>
  <si>
    <t>171-8526564</t>
  </si>
  <si>
    <t>171-4268845</t>
  </si>
  <si>
    <t>171-9350856</t>
  </si>
  <si>
    <t>406-0142755</t>
  </si>
  <si>
    <t>406-1765022</t>
  </si>
  <si>
    <t>405-0609976</t>
  </si>
  <si>
    <t>406-9515575</t>
  </si>
  <si>
    <t>406-6924866</t>
  </si>
  <si>
    <t>404-2332747</t>
  </si>
  <si>
    <t>404-3406175</t>
  </si>
  <si>
    <t>405-1993787</t>
  </si>
  <si>
    <t>406-7466979</t>
  </si>
  <si>
    <t>403-7484817</t>
  </si>
  <si>
    <t>402-5504613</t>
  </si>
  <si>
    <t>403-0238732</t>
  </si>
  <si>
    <t>404-9630258</t>
  </si>
  <si>
    <t>403-8622808</t>
  </si>
  <si>
    <t>407-4782522</t>
  </si>
  <si>
    <t>402-5754756</t>
  </si>
  <si>
    <t>405-5789138</t>
  </si>
  <si>
    <t>408-0013632</t>
  </si>
  <si>
    <t>403-4211634</t>
  </si>
  <si>
    <t>402-2130722</t>
  </si>
  <si>
    <t>402-7030199</t>
  </si>
  <si>
    <t>403-4731584</t>
  </si>
  <si>
    <t>405-0612700</t>
  </si>
  <si>
    <t>407-7403963</t>
  </si>
  <si>
    <t>406-0758323</t>
  </si>
  <si>
    <t>406-3867834</t>
  </si>
  <si>
    <t>171-3976547</t>
  </si>
  <si>
    <t>403-5508238</t>
  </si>
  <si>
    <t>408-9929975</t>
  </si>
  <si>
    <t>405-5558218</t>
  </si>
  <si>
    <t>403-3580377</t>
  </si>
  <si>
    <t>406-5419124</t>
  </si>
  <si>
    <t>171-8711991</t>
  </si>
  <si>
    <t>406-9724538</t>
  </si>
  <si>
    <t>405-6954338</t>
  </si>
  <si>
    <t>171-8899935</t>
  </si>
  <si>
    <t>403-3665568</t>
  </si>
  <si>
    <t>406-0863695</t>
  </si>
  <si>
    <t>402-2997706</t>
  </si>
  <si>
    <t>407-1252079</t>
  </si>
  <si>
    <t>406-3607850</t>
  </si>
  <si>
    <t>406-8372051</t>
  </si>
  <si>
    <t>408-5838890</t>
  </si>
  <si>
    <t>171-0490840</t>
  </si>
  <si>
    <t>405-4800858</t>
  </si>
  <si>
    <t>404-0210560</t>
  </si>
  <si>
    <t>405-0234998</t>
  </si>
  <si>
    <t>402-8171830</t>
  </si>
  <si>
    <t>408-4410167</t>
  </si>
  <si>
    <t>402-7100821</t>
  </si>
  <si>
    <t>406-2199413</t>
  </si>
  <si>
    <t>407-5346072</t>
  </si>
  <si>
    <t>408-5256607</t>
  </si>
  <si>
    <t>407-4873199</t>
  </si>
  <si>
    <t>402-3550159</t>
  </si>
  <si>
    <t>407-3073786</t>
  </si>
  <si>
    <t>408-5694145</t>
  </si>
  <si>
    <t>404-5987761</t>
  </si>
  <si>
    <t>402-5606043</t>
  </si>
  <si>
    <t>171-0056896</t>
  </si>
  <si>
    <t>408-2200479</t>
  </si>
  <si>
    <t>404-8766349</t>
  </si>
  <si>
    <t>408-9902350</t>
  </si>
  <si>
    <t>406-9614054</t>
  </si>
  <si>
    <t>402-6689607</t>
  </si>
  <si>
    <t>407-0978573</t>
  </si>
  <si>
    <t>171-2781190</t>
  </si>
  <si>
    <t>407-7672889</t>
  </si>
  <si>
    <t>402-7286392</t>
  </si>
  <si>
    <t>408-4039445</t>
  </si>
  <si>
    <t>406-3437334</t>
  </si>
  <si>
    <t>406-6324980</t>
  </si>
  <si>
    <t>406-5787665</t>
  </si>
  <si>
    <t>171-2036039</t>
  </si>
  <si>
    <t>404-1715407</t>
  </si>
  <si>
    <t>407-8951794</t>
  </si>
  <si>
    <t>403-2659378</t>
  </si>
  <si>
    <t>404-2754896</t>
  </si>
  <si>
    <t>402-3630727</t>
  </si>
  <si>
    <t>171-6490472</t>
  </si>
  <si>
    <t>403-6021680</t>
  </si>
  <si>
    <t>404-1722493</t>
  </si>
  <si>
    <t>402-3461505</t>
  </si>
  <si>
    <t>403-7233156</t>
  </si>
  <si>
    <t>402-4242041</t>
  </si>
  <si>
    <t>171-3337006</t>
  </si>
  <si>
    <t>405-1382930</t>
  </si>
  <si>
    <t>407-6020946</t>
  </si>
  <si>
    <t>402-4050849</t>
  </si>
  <si>
    <t>403-3505936</t>
  </si>
  <si>
    <t>406-5046501</t>
  </si>
  <si>
    <t>403-9578936</t>
  </si>
  <si>
    <t>171-2558971</t>
  </si>
  <si>
    <t>405-7443593</t>
  </si>
  <si>
    <t>408-6041786</t>
  </si>
  <si>
    <t>404-2551978</t>
  </si>
  <si>
    <t>405-0092049</t>
  </si>
  <si>
    <t>171-9381957</t>
  </si>
  <si>
    <t>403-8622153</t>
  </si>
  <si>
    <t>404-7579515</t>
  </si>
  <si>
    <t>171-1602054</t>
  </si>
  <si>
    <t>404-7562896</t>
  </si>
  <si>
    <t>171-2054752</t>
  </si>
  <si>
    <t>406-5782489</t>
  </si>
  <si>
    <t>171-0056474</t>
  </si>
  <si>
    <t>406-8853088</t>
  </si>
  <si>
    <t>406-8520283</t>
  </si>
  <si>
    <t>406-4082321</t>
  </si>
  <si>
    <t>407-2904622</t>
  </si>
  <si>
    <t>407-0151995</t>
  </si>
  <si>
    <t>407-7412916</t>
  </si>
  <si>
    <t>402-7255349</t>
  </si>
  <si>
    <t>404-3229910</t>
  </si>
  <si>
    <t>405-4503521</t>
  </si>
  <si>
    <t>406-4481468</t>
  </si>
  <si>
    <t>406-4565361</t>
  </si>
  <si>
    <t>407-5793245</t>
  </si>
  <si>
    <t>171-5072438</t>
  </si>
  <si>
    <t>404-9181097</t>
  </si>
  <si>
    <t>171-0341195</t>
  </si>
  <si>
    <t>403-0551669</t>
  </si>
  <si>
    <t>171-8578763</t>
  </si>
  <si>
    <t>404-9885400</t>
  </si>
  <si>
    <t>407-7259256</t>
  </si>
  <si>
    <t>171-0200945</t>
  </si>
  <si>
    <t>404-3548306</t>
  </si>
  <si>
    <t>171-0736645</t>
  </si>
  <si>
    <t>403-9301878</t>
  </si>
  <si>
    <t>171-6020342</t>
  </si>
  <si>
    <t>404-8915878</t>
  </si>
  <si>
    <t>406-2347718</t>
  </si>
  <si>
    <t>404-7146430</t>
  </si>
  <si>
    <t>408-5911668</t>
  </si>
  <si>
    <t>403-1568093</t>
  </si>
  <si>
    <t>171-1571374</t>
  </si>
  <si>
    <t>408-1288869</t>
  </si>
  <si>
    <t>406-7917138</t>
  </si>
  <si>
    <t>402-8698818</t>
  </si>
  <si>
    <t>404-1713962</t>
  </si>
  <si>
    <t>407-4166762</t>
  </si>
  <si>
    <t>407-6566282</t>
  </si>
  <si>
    <t>408-6744994</t>
  </si>
  <si>
    <t>406-2051356</t>
  </si>
  <si>
    <t>171-3323289</t>
  </si>
  <si>
    <t>405-8662165</t>
  </si>
  <si>
    <t>407-9126116</t>
  </si>
  <si>
    <t>405-6512456</t>
  </si>
  <si>
    <t>405-7074588</t>
  </si>
  <si>
    <t>405-5841412</t>
  </si>
  <si>
    <t>404-8265009</t>
  </si>
  <si>
    <t>408-1278516</t>
  </si>
  <si>
    <t>402-3402539</t>
  </si>
  <si>
    <t>407-0185102</t>
  </si>
  <si>
    <t>407-2715008</t>
  </si>
  <si>
    <t>402-1901818</t>
  </si>
  <si>
    <t>405-8405338</t>
  </si>
  <si>
    <t>403-8842962</t>
  </si>
  <si>
    <t>403-4288285</t>
  </si>
  <si>
    <t>403-4579831</t>
  </si>
  <si>
    <t>171-3443364</t>
  </si>
  <si>
    <t>405-5079440</t>
  </si>
  <si>
    <t>171-2333489</t>
  </si>
  <si>
    <t>406-9068382</t>
  </si>
  <si>
    <t>406-4820273</t>
  </si>
  <si>
    <t>408-6401128</t>
  </si>
  <si>
    <t>404-0202987</t>
  </si>
  <si>
    <t>171-7722316</t>
  </si>
  <si>
    <t>402-6029952</t>
  </si>
  <si>
    <t>407-5987847</t>
  </si>
  <si>
    <t>406-0476593</t>
  </si>
  <si>
    <t>406-6023829</t>
  </si>
  <si>
    <t>406-1362174</t>
  </si>
  <si>
    <t>171-0544444</t>
  </si>
  <si>
    <t>171-4979417</t>
  </si>
  <si>
    <t>407-8193055</t>
  </si>
  <si>
    <t>408-1583964</t>
  </si>
  <si>
    <t>407-6673066</t>
  </si>
  <si>
    <t>404-9199555</t>
  </si>
  <si>
    <t>406-4033046</t>
  </si>
  <si>
    <t>406-8627183</t>
  </si>
  <si>
    <t>407-8990810</t>
  </si>
  <si>
    <t>402-0891131</t>
  </si>
  <si>
    <t>406-3846363</t>
  </si>
  <si>
    <t>171-6917153</t>
  </si>
  <si>
    <t>404-8406351</t>
  </si>
  <si>
    <t>402-1387386</t>
  </si>
  <si>
    <t>405-6594525</t>
  </si>
  <si>
    <t>408-6838835</t>
  </si>
  <si>
    <t>402-1689516</t>
  </si>
  <si>
    <t>407-3038966</t>
  </si>
  <si>
    <t>402-4801940</t>
  </si>
  <si>
    <t>407-6072101</t>
  </si>
  <si>
    <t>406-5978982</t>
  </si>
  <si>
    <t>405-0071015</t>
  </si>
  <si>
    <t>408-5970812</t>
  </si>
  <si>
    <t>405-6670543</t>
  </si>
  <si>
    <t>407-7210287</t>
  </si>
  <si>
    <t>404-7228823</t>
  </si>
  <si>
    <t>402-4412666</t>
  </si>
  <si>
    <t>402-3944282</t>
  </si>
  <si>
    <t>171-5952560</t>
  </si>
  <si>
    <t>405-4758490</t>
  </si>
  <si>
    <t>171-9076779</t>
  </si>
  <si>
    <t>402-5155532</t>
  </si>
  <si>
    <t>405-5223500</t>
  </si>
  <si>
    <t>407-0532143</t>
  </si>
  <si>
    <t>403-2893349</t>
  </si>
  <si>
    <t>407-9435387</t>
  </si>
  <si>
    <t>405-3781168</t>
  </si>
  <si>
    <t>406-0436791</t>
  </si>
  <si>
    <t>403-3901465</t>
  </si>
  <si>
    <t>171-7074564</t>
  </si>
  <si>
    <t>406-9890445</t>
  </si>
  <si>
    <t>405-4459892</t>
  </si>
  <si>
    <t>404-1421047</t>
  </si>
  <si>
    <t>406-7974285</t>
  </si>
  <si>
    <t>402-4371375</t>
  </si>
  <si>
    <t>404-5182822</t>
  </si>
  <si>
    <t>171-9180614</t>
  </si>
  <si>
    <t>403-9331461</t>
  </si>
  <si>
    <t>171-4776297</t>
  </si>
  <si>
    <t>407-2570835</t>
  </si>
  <si>
    <t>404-5310473</t>
  </si>
  <si>
    <t>406-0599903</t>
  </si>
  <si>
    <t>406-9181416</t>
  </si>
  <si>
    <t>406-1199765</t>
  </si>
  <si>
    <t>406-2043909</t>
  </si>
  <si>
    <t>407-2256683</t>
  </si>
  <si>
    <t>402-4151793</t>
  </si>
  <si>
    <t>171-7336406</t>
  </si>
  <si>
    <t>405-2157284</t>
  </si>
  <si>
    <t>407-6755231</t>
  </si>
  <si>
    <t>406-6608262</t>
  </si>
  <si>
    <t>171-0546291</t>
  </si>
  <si>
    <t>404-8984282</t>
  </si>
  <si>
    <t>402-7872281</t>
  </si>
  <si>
    <t>407-4190144</t>
  </si>
  <si>
    <t>407-9395696</t>
  </si>
  <si>
    <t>405-2561968</t>
  </si>
  <si>
    <t>403-7276147</t>
  </si>
  <si>
    <t>408-8925395</t>
  </si>
  <si>
    <t>171-5107060</t>
  </si>
  <si>
    <t>404-8567426</t>
  </si>
  <si>
    <t>408-8460791</t>
  </si>
  <si>
    <t>404-8449137</t>
  </si>
  <si>
    <t>171-5607063</t>
  </si>
  <si>
    <t>408-3799699</t>
  </si>
  <si>
    <t>404-7002044</t>
  </si>
  <si>
    <t>405-7903181</t>
  </si>
  <si>
    <t>406-6802132</t>
  </si>
  <si>
    <t>408-9550729</t>
  </si>
  <si>
    <t>408-3367657</t>
  </si>
  <si>
    <t>408-1200865</t>
  </si>
  <si>
    <t>171-9820105</t>
  </si>
  <si>
    <t>171-1881491</t>
  </si>
  <si>
    <t>407-1294356</t>
  </si>
  <si>
    <t>408-4121205</t>
  </si>
  <si>
    <t>171-1772770</t>
  </si>
  <si>
    <t>404-8549708</t>
  </si>
  <si>
    <t>408-1690452</t>
  </si>
  <si>
    <t>403-8613417</t>
  </si>
  <si>
    <t>406-1137333</t>
  </si>
  <si>
    <t>404-0430156</t>
  </si>
  <si>
    <t>171-5321293</t>
  </si>
  <si>
    <t>402-4005885</t>
  </si>
  <si>
    <t>407-4658996</t>
  </si>
  <si>
    <t>403-3846766</t>
  </si>
  <si>
    <t>403-4314121</t>
  </si>
  <si>
    <t>408-7679473</t>
  </si>
  <si>
    <t>403-9944535</t>
  </si>
  <si>
    <t>407-4589785</t>
  </si>
  <si>
    <t>408-6580596</t>
  </si>
  <si>
    <t>404-5812684</t>
  </si>
  <si>
    <t>406-5107060</t>
  </si>
  <si>
    <t>405-8873290</t>
  </si>
  <si>
    <t>405-8511742</t>
  </si>
  <si>
    <t>171-7374782</t>
  </si>
  <si>
    <t>406-1886546</t>
  </si>
  <si>
    <t>405-1352665</t>
  </si>
  <si>
    <t>403-1316690</t>
  </si>
  <si>
    <t>408-1686892</t>
  </si>
  <si>
    <t>404-9398851</t>
  </si>
  <si>
    <t>405-9368312</t>
  </si>
  <si>
    <t>402-3478381</t>
  </si>
  <si>
    <t>404-8417224</t>
  </si>
  <si>
    <t>408-4708563</t>
  </si>
  <si>
    <t>171-2838141</t>
  </si>
  <si>
    <t>402-8980387</t>
  </si>
  <si>
    <t>405-6697834</t>
  </si>
  <si>
    <t>403-7050665</t>
  </si>
  <si>
    <t>404-2642423</t>
  </si>
  <si>
    <t>405-4651921</t>
  </si>
  <si>
    <t>408-8564762</t>
  </si>
  <si>
    <t>171-4034543</t>
  </si>
  <si>
    <t>407-0370304</t>
  </si>
  <si>
    <t>171-5342891</t>
  </si>
  <si>
    <t>404-8962789</t>
  </si>
  <si>
    <t>407-8727612</t>
  </si>
  <si>
    <t>171-0038464</t>
  </si>
  <si>
    <t>405-7801783</t>
  </si>
  <si>
    <t>407-5192518</t>
  </si>
  <si>
    <t>407-8346154</t>
  </si>
  <si>
    <t>408-6987211</t>
  </si>
  <si>
    <t>407-3468580</t>
  </si>
  <si>
    <t>406-3251598</t>
  </si>
  <si>
    <t>403-7198421</t>
  </si>
  <si>
    <t>402-1316762</t>
  </si>
  <si>
    <t>404-0474391</t>
  </si>
  <si>
    <t>407-5418239</t>
  </si>
  <si>
    <t>404-3043197</t>
  </si>
  <si>
    <t>406-2041693</t>
  </si>
  <si>
    <t>402-7661456</t>
  </si>
  <si>
    <t>407-5818162</t>
  </si>
  <si>
    <t>403-8021110</t>
  </si>
  <si>
    <t>408-0313960</t>
  </si>
  <si>
    <t>407-2943278</t>
  </si>
  <si>
    <t>405-7037216</t>
  </si>
  <si>
    <t>407-8422139</t>
  </si>
  <si>
    <t>406-3254028</t>
  </si>
  <si>
    <t>171-4810981</t>
  </si>
  <si>
    <t>407-5685594</t>
  </si>
  <si>
    <t>404-8841840</t>
  </si>
  <si>
    <t>405-0055961</t>
  </si>
  <si>
    <t>406-7869593</t>
  </si>
  <si>
    <t>171-3581996</t>
  </si>
  <si>
    <t>408-1427389</t>
  </si>
  <si>
    <t>402-7982981</t>
  </si>
  <si>
    <t>402-5864616</t>
  </si>
  <si>
    <t>407-2065671</t>
  </si>
  <si>
    <t>406-8111690</t>
  </si>
  <si>
    <t>403-4073825</t>
  </si>
  <si>
    <t>404-7469469</t>
  </si>
  <si>
    <t>408-8458322</t>
  </si>
  <si>
    <t>405-1984696</t>
  </si>
  <si>
    <t>171-0350833</t>
  </si>
  <si>
    <t>404-1765927</t>
  </si>
  <si>
    <t>406-0905251</t>
  </si>
  <si>
    <t>402-2161304</t>
  </si>
  <si>
    <t>408-5442474</t>
  </si>
  <si>
    <t>171-7705552</t>
  </si>
  <si>
    <t>402-3462756</t>
  </si>
  <si>
    <t>403-3593499</t>
  </si>
  <si>
    <t>406-4643725</t>
  </si>
  <si>
    <t>408-8677263</t>
  </si>
  <si>
    <t>407-6071833</t>
  </si>
  <si>
    <t>404-0353138</t>
  </si>
  <si>
    <t>406-0846188</t>
  </si>
  <si>
    <t>402-1068814</t>
  </si>
  <si>
    <t>404-5895316</t>
  </si>
  <si>
    <t>407-6461773</t>
  </si>
  <si>
    <t>403-2548952</t>
  </si>
  <si>
    <t>171-8791649</t>
  </si>
  <si>
    <t>402-4278434</t>
  </si>
  <si>
    <t>407-6297503</t>
  </si>
  <si>
    <t>402-0673849</t>
  </si>
  <si>
    <t>403-7509653</t>
  </si>
  <si>
    <t>406-9767961</t>
  </si>
  <si>
    <t>404-2464224</t>
  </si>
  <si>
    <t>407-1263970</t>
  </si>
  <si>
    <t>406-1516962</t>
  </si>
  <si>
    <t>406-7440325</t>
  </si>
  <si>
    <t>407-8642951</t>
  </si>
  <si>
    <t>405-4618669</t>
  </si>
  <si>
    <t>403-3796522</t>
  </si>
  <si>
    <t>404-2480544</t>
  </si>
  <si>
    <t>171-0913446</t>
  </si>
  <si>
    <t>404-8625194</t>
  </si>
  <si>
    <t>405-3874835</t>
  </si>
  <si>
    <t>171-2600022</t>
  </si>
  <si>
    <t>402-6605213</t>
  </si>
  <si>
    <t>171-8579295</t>
  </si>
  <si>
    <t>402-6502487</t>
  </si>
  <si>
    <t>403-0917472</t>
  </si>
  <si>
    <t>171-6043487</t>
  </si>
  <si>
    <t>405-7095372</t>
  </si>
  <si>
    <t>403-9843251</t>
  </si>
  <si>
    <t>407-3395769</t>
  </si>
  <si>
    <t>403-4321648</t>
  </si>
  <si>
    <t>403-0742597</t>
  </si>
  <si>
    <t>404-1643229</t>
  </si>
  <si>
    <t>404-7183519</t>
  </si>
  <si>
    <t>406-9224821</t>
  </si>
  <si>
    <t>403-3521154</t>
  </si>
  <si>
    <t>402-7657456</t>
  </si>
  <si>
    <t>405-0075904</t>
  </si>
  <si>
    <t>403-7195818</t>
  </si>
  <si>
    <t>408-1985955</t>
  </si>
  <si>
    <t>403-3543997</t>
  </si>
  <si>
    <t>405-1058598</t>
  </si>
  <si>
    <t>404-0065388</t>
  </si>
  <si>
    <t>171-8678391</t>
  </si>
  <si>
    <t>405-5978684</t>
  </si>
  <si>
    <t>171-9831778</t>
  </si>
  <si>
    <t>407-1379331</t>
  </si>
  <si>
    <t>408-6744039</t>
  </si>
  <si>
    <t>408-0091009</t>
  </si>
  <si>
    <t>407-5838255</t>
  </si>
  <si>
    <t>406-4355482</t>
  </si>
  <si>
    <t>404-4102579</t>
  </si>
  <si>
    <t>405-2145174</t>
  </si>
  <si>
    <t>171-3874425</t>
  </si>
  <si>
    <t>407-0621983</t>
  </si>
  <si>
    <t>408-0881227</t>
  </si>
  <si>
    <t>408-6676412</t>
  </si>
  <si>
    <t>171-6732909</t>
  </si>
  <si>
    <t>403-5815063</t>
  </si>
  <si>
    <t>407-4132467</t>
  </si>
  <si>
    <t>406-6147757</t>
  </si>
  <si>
    <t>171-3202123</t>
  </si>
  <si>
    <t>408-3894523</t>
  </si>
  <si>
    <t>406-8457885</t>
  </si>
  <si>
    <t>403-6073591</t>
  </si>
  <si>
    <t>171-3747283</t>
  </si>
  <si>
    <t>403-9170808</t>
  </si>
  <si>
    <t>407-1515405</t>
  </si>
  <si>
    <t>405-5734480</t>
  </si>
  <si>
    <t>407-4683912</t>
  </si>
  <si>
    <t>403-1332699</t>
  </si>
  <si>
    <t>406-5215354</t>
  </si>
  <si>
    <t>406-9447226</t>
  </si>
  <si>
    <t>404-8439223</t>
  </si>
  <si>
    <t>407-1214634</t>
  </si>
  <si>
    <t>405-0682326</t>
  </si>
  <si>
    <t>407-8405721</t>
  </si>
  <si>
    <t>406-4126879</t>
  </si>
  <si>
    <t>402-4627834</t>
  </si>
  <si>
    <t>408-9913530</t>
  </si>
  <si>
    <t>408-1061002</t>
  </si>
  <si>
    <t>408-0185390</t>
  </si>
  <si>
    <t>405-5911006</t>
  </si>
  <si>
    <t>408-7405550</t>
  </si>
  <si>
    <t>404-1360799</t>
  </si>
  <si>
    <t>405-9350802</t>
  </si>
  <si>
    <t>403-6221872</t>
  </si>
  <si>
    <t>403-7908182</t>
  </si>
  <si>
    <t>404-4383538</t>
  </si>
  <si>
    <t>403-2216196</t>
  </si>
  <si>
    <t>403-2894081</t>
  </si>
  <si>
    <t>402-8664121</t>
  </si>
  <si>
    <t>171-0089766</t>
  </si>
  <si>
    <t>402-6763947</t>
  </si>
  <si>
    <t>408-5244855</t>
  </si>
  <si>
    <t>404-6279164</t>
  </si>
  <si>
    <t>406-3112261</t>
  </si>
  <si>
    <t>405-9676408</t>
  </si>
  <si>
    <t>402-8254180</t>
  </si>
  <si>
    <t>405-9021711</t>
  </si>
  <si>
    <t>406-7455297</t>
  </si>
  <si>
    <t>403-7071010</t>
  </si>
  <si>
    <t>403-6698179</t>
  </si>
  <si>
    <t>408-5480358</t>
  </si>
  <si>
    <t>408-3875102</t>
  </si>
  <si>
    <t>404-2769744</t>
  </si>
  <si>
    <t>405-1105765</t>
  </si>
  <si>
    <t>406-9991724</t>
  </si>
  <si>
    <t>403-9380885</t>
  </si>
  <si>
    <t>406-8856991</t>
  </si>
  <si>
    <t>405-0271059</t>
  </si>
  <si>
    <t>407-2680985</t>
  </si>
  <si>
    <t>404-6421240</t>
  </si>
  <si>
    <t>171-8430718</t>
  </si>
  <si>
    <t>405-8521330</t>
  </si>
  <si>
    <t>404-1313070</t>
  </si>
  <si>
    <t>404-9966373</t>
  </si>
  <si>
    <t>407-8952648</t>
  </si>
  <si>
    <t>402-7515893</t>
  </si>
  <si>
    <t>402-9154254</t>
  </si>
  <si>
    <t>171-1859343</t>
  </si>
  <si>
    <t>407-1377456</t>
  </si>
  <si>
    <t>402-3726795</t>
  </si>
  <si>
    <t>408-9989920</t>
  </si>
  <si>
    <t>403-4959443</t>
  </si>
  <si>
    <t>406-4743521</t>
  </si>
  <si>
    <t>402-5712287</t>
  </si>
  <si>
    <t>408-6824015</t>
  </si>
  <si>
    <t>408-6629457</t>
  </si>
  <si>
    <t>406-8511259</t>
  </si>
  <si>
    <t>404-0075504</t>
  </si>
  <si>
    <t>171-4752565</t>
  </si>
  <si>
    <t>403-6708978</t>
  </si>
  <si>
    <t>407-2987343</t>
  </si>
  <si>
    <t>171-1658898</t>
  </si>
  <si>
    <t>408-7595163</t>
  </si>
  <si>
    <t>406-8167108</t>
  </si>
  <si>
    <t>406-3506932</t>
  </si>
  <si>
    <t>404-0167012</t>
  </si>
  <si>
    <t>408-4141363</t>
  </si>
  <si>
    <t>405-9160962</t>
  </si>
  <si>
    <t>404-8445088</t>
  </si>
  <si>
    <t>402-1341390</t>
  </si>
  <si>
    <t>407-3257728</t>
  </si>
  <si>
    <t>408-0002447</t>
  </si>
  <si>
    <t>408-1513436</t>
  </si>
  <si>
    <t>408-9068476</t>
  </si>
  <si>
    <t>402-9159993</t>
  </si>
  <si>
    <t>171-3697156</t>
  </si>
  <si>
    <t>403-0595996</t>
  </si>
  <si>
    <t>408-8828515</t>
  </si>
  <si>
    <t>406-7188468</t>
  </si>
  <si>
    <t>405-1276193</t>
  </si>
  <si>
    <t>405-3374547</t>
  </si>
  <si>
    <t>407-9194697</t>
  </si>
  <si>
    <t>408-3853700</t>
  </si>
  <si>
    <t>404-7222119</t>
  </si>
  <si>
    <t>404-0097026</t>
  </si>
  <si>
    <t>405-6172892</t>
  </si>
  <si>
    <t>402-6669769</t>
  </si>
  <si>
    <t>407-9950108</t>
  </si>
  <si>
    <t>407-5710699</t>
  </si>
  <si>
    <t>171-2326012</t>
  </si>
  <si>
    <t>408-6327421</t>
  </si>
  <si>
    <t>407-6540091</t>
  </si>
  <si>
    <t>408-5354625</t>
  </si>
  <si>
    <t>403-0214588</t>
  </si>
  <si>
    <t>408-7734807</t>
  </si>
  <si>
    <t>405-8826664</t>
  </si>
  <si>
    <t>405-8016756</t>
  </si>
  <si>
    <t>405-8215315</t>
  </si>
  <si>
    <t>407-5356726</t>
  </si>
  <si>
    <t>407-8906539</t>
  </si>
  <si>
    <t>408-3286680</t>
  </si>
  <si>
    <t>404-4012913</t>
  </si>
  <si>
    <t>403-1177320</t>
  </si>
  <si>
    <t>402-0360722</t>
  </si>
  <si>
    <t>406-4292660</t>
  </si>
  <si>
    <t>403-6787728</t>
  </si>
  <si>
    <t>408-8778560</t>
  </si>
  <si>
    <t>405-5625629</t>
  </si>
  <si>
    <t>408-1730029</t>
  </si>
  <si>
    <t>404-2585232</t>
  </si>
  <si>
    <t>404-5500403</t>
  </si>
  <si>
    <t>403-6435974</t>
  </si>
  <si>
    <t>403-6649146</t>
  </si>
  <si>
    <t>403-4314323</t>
  </si>
  <si>
    <t>402-5592916</t>
  </si>
  <si>
    <t>403-9401489</t>
  </si>
  <si>
    <t>404-3091660</t>
  </si>
  <si>
    <t>407-0241873</t>
  </si>
  <si>
    <t>171-9793016</t>
  </si>
  <si>
    <t>407-8909433</t>
  </si>
  <si>
    <t>403-5346586</t>
  </si>
  <si>
    <t>406-1748887</t>
  </si>
  <si>
    <t>402-9803492</t>
  </si>
  <si>
    <t>404-2716293</t>
  </si>
  <si>
    <t>406-5980377</t>
  </si>
  <si>
    <t>402-6206735</t>
  </si>
  <si>
    <t>406-4738816</t>
  </si>
  <si>
    <t>407-2142487</t>
  </si>
  <si>
    <t>407-1739151</t>
  </si>
  <si>
    <t>402-9247662</t>
  </si>
  <si>
    <t>406-2064749</t>
  </si>
  <si>
    <t>407-0268826</t>
  </si>
  <si>
    <t>408-1780831</t>
  </si>
  <si>
    <t>171-3760677</t>
  </si>
  <si>
    <t>171-8358309</t>
  </si>
  <si>
    <t>402-6366831</t>
  </si>
  <si>
    <t>406-9414300</t>
  </si>
  <si>
    <t>405-1049385</t>
  </si>
  <si>
    <t>402-1868221</t>
  </si>
  <si>
    <t>402-8098396</t>
  </si>
  <si>
    <t>408-6964335</t>
  </si>
  <si>
    <t>406-9190126</t>
  </si>
  <si>
    <t>403-1350979</t>
  </si>
  <si>
    <t>404-7723881</t>
  </si>
  <si>
    <t>408-9219146</t>
  </si>
  <si>
    <t>405-9728104</t>
  </si>
  <si>
    <t>407-4752785</t>
  </si>
  <si>
    <t>403-4643700</t>
  </si>
  <si>
    <t>404-9843033</t>
  </si>
  <si>
    <t>404-9391434</t>
  </si>
  <si>
    <t>406-5057657</t>
  </si>
  <si>
    <t>171-1139839</t>
  </si>
  <si>
    <t>171-9992706</t>
  </si>
  <si>
    <t>406-9823954</t>
  </si>
  <si>
    <t>403-5049655</t>
  </si>
  <si>
    <t>404-3028273</t>
  </si>
  <si>
    <t>408-3239954</t>
  </si>
  <si>
    <t>405-4724097</t>
  </si>
  <si>
    <t>171-5554881</t>
  </si>
  <si>
    <t>407-6642083</t>
  </si>
  <si>
    <t>404-7807096</t>
  </si>
  <si>
    <t>171-5659388</t>
  </si>
  <si>
    <t>407-8662285</t>
  </si>
  <si>
    <t>404-1451938</t>
  </si>
  <si>
    <t>407-4720257</t>
  </si>
  <si>
    <t>405-3066997</t>
  </si>
  <si>
    <t>403-6177070</t>
  </si>
  <si>
    <t>406-6130013</t>
  </si>
  <si>
    <t>406-9970855</t>
  </si>
  <si>
    <t>402-5310064</t>
  </si>
  <si>
    <t>404-3817580</t>
  </si>
  <si>
    <t>402-3668418</t>
  </si>
  <si>
    <t>404-5603753</t>
  </si>
  <si>
    <t>407-2414151</t>
  </si>
  <si>
    <t>405-2466082</t>
  </si>
  <si>
    <t>405-9694068</t>
  </si>
  <si>
    <t>404-9496812</t>
  </si>
  <si>
    <t>407-9677130</t>
  </si>
  <si>
    <t>404-7329212</t>
  </si>
  <si>
    <t>406-7817885</t>
  </si>
  <si>
    <t>408-6571890</t>
  </si>
  <si>
    <t>405-8350295</t>
  </si>
  <si>
    <t>404-9943161</t>
  </si>
  <si>
    <t>171-5487299</t>
  </si>
  <si>
    <t>404-2567376</t>
  </si>
  <si>
    <t>404-4158727</t>
  </si>
  <si>
    <t>407-3321735</t>
  </si>
  <si>
    <t>403-3676844</t>
  </si>
  <si>
    <t>403-3949548</t>
  </si>
  <si>
    <t>403-6984128</t>
  </si>
  <si>
    <t>402-7587606</t>
  </si>
  <si>
    <t>403-2289900</t>
  </si>
  <si>
    <t>408-8414294</t>
  </si>
  <si>
    <t>407-6298508</t>
  </si>
  <si>
    <t>403-2726667</t>
  </si>
  <si>
    <t>408-7674920</t>
  </si>
  <si>
    <t>171-3001563</t>
  </si>
  <si>
    <t>403-2079988</t>
  </si>
  <si>
    <t>171-1150817</t>
  </si>
  <si>
    <t>402-6188672</t>
  </si>
  <si>
    <t>407-6833884</t>
  </si>
  <si>
    <t>405-3249649</t>
  </si>
  <si>
    <t>171-1814444</t>
  </si>
  <si>
    <t>405-9746730</t>
  </si>
  <si>
    <t>403-3465545</t>
  </si>
  <si>
    <t>402-0215826</t>
  </si>
  <si>
    <t>404-2303810</t>
  </si>
  <si>
    <t>408-1244124</t>
  </si>
  <si>
    <t>406-2009045</t>
  </si>
  <si>
    <t>406-1021489</t>
  </si>
  <si>
    <t>407-4536579</t>
  </si>
  <si>
    <t>406-3622241</t>
  </si>
  <si>
    <t>406-4347582</t>
  </si>
  <si>
    <t>408-8733141</t>
  </si>
  <si>
    <t>403-8759769</t>
  </si>
  <si>
    <t>404-8159711</t>
  </si>
  <si>
    <t>408-6455820</t>
  </si>
  <si>
    <t>171-3144807</t>
  </si>
  <si>
    <t>171-2265638</t>
  </si>
  <si>
    <t>403-9462001</t>
  </si>
  <si>
    <t>402-1035887</t>
  </si>
  <si>
    <t>404-2570797</t>
  </si>
  <si>
    <t>408-3853503</t>
  </si>
  <si>
    <t>402-4613837</t>
  </si>
  <si>
    <t>407-7598159</t>
  </si>
  <si>
    <t>403-2856508</t>
  </si>
  <si>
    <t>407-2688057</t>
  </si>
  <si>
    <t>171-3961903</t>
  </si>
  <si>
    <t>404-2013002</t>
  </si>
  <si>
    <t>405-9151025</t>
  </si>
  <si>
    <t>407-4197977</t>
  </si>
  <si>
    <t>403-3794022</t>
  </si>
  <si>
    <t>171-8977406</t>
  </si>
  <si>
    <t>404-2875267</t>
  </si>
  <si>
    <t>404-2064671</t>
  </si>
  <si>
    <t>171-6343981</t>
  </si>
  <si>
    <t>404-3116548</t>
  </si>
  <si>
    <t>406-0644445</t>
  </si>
  <si>
    <t>407-9958706</t>
  </si>
  <si>
    <t>404-8566095</t>
  </si>
  <si>
    <t>408-9072191</t>
  </si>
  <si>
    <t>406-7468805</t>
  </si>
  <si>
    <t>402-8452110</t>
  </si>
  <si>
    <t>407-1517876</t>
  </si>
  <si>
    <t>405-1825505</t>
  </si>
  <si>
    <t>404-0057433</t>
  </si>
  <si>
    <t>405-1749648</t>
  </si>
  <si>
    <t>408-2132537</t>
  </si>
  <si>
    <t>404-6512796</t>
  </si>
  <si>
    <t>405-7631084</t>
  </si>
  <si>
    <t>404-9034911</t>
  </si>
  <si>
    <t>402-8980339</t>
  </si>
  <si>
    <t>405-1458506</t>
  </si>
  <si>
    <t>404-1400117</t>
  </si>
  <si>
    <t>402-9471386</t>
  </si>
  <si>
    <t>402-9757005</t>
  </si>
  <si>
    <t>407-2707392</t>
  </si>
  <si>
    <t>407-3887492</t>
  </si>
  <si>
    <t>402-0931370</t>
  </si>
  <si>
    <t>403-3761167</t>
  </si>
  <si>
    <t>406-4227337</t>
  </si>
  <si>
    <t>408-7712012</t>
  </si>
  <si>
    <t>406-6427473</t>
  </si>
  <si>
    <t>402-4932505</t>
  </si>
  <si>
    <t>405-4276422</t>
  </si>
  <si>
    <t>404-2210884</t>
  </si>
  <si>
    <t>402-2160772</t>
  </si>
  <si>
    <t>403-4173957</t>
  </si>
  <si>
    <t>404-1332523</t>
  </si>
  <si>
    <t>405-9732130</t>
  </si>
  <si>
    <t>403-0658712</t>
  </si>
  <si>
    <t>408-4957480</t>
  </si>
  <si>
    <t>406-3630092</t>
  </si>
  <si>
    <t>403-2553067</t>
  </si>
  <si>
    <t>403-6044333</t>
  </si>
  <si>
    <t>171-8677000</t>
  </si>
  <si>
    <t>171-0863515</t>
  </si>
  <si>
    <t>408-9453928</t>
  </si>
  <si>
    <t>404-7666098</t>
  </si>
  <si>
    <t>404-4131628</t>
  </si>
  <si>
    <t>402-6411993</t>
  </si>
  <si>
    <t>403-2651163</t>
  </si>
  <si>
    <t>402-1453158</t>
  </si>
  <si>
    <t>403-6954756</t>
  </si>
  <si>
    <t>406-7658363</t>
  </si>
  <si>
    <t>407-0648349</t>
  </si>
  <si>
    <t>406-0619591</t>
  </si>
  <si>
    <t>171-8129672</t>
  </si>
  <si>
    <t>402-9688290</t>
  </si>
  <si>
    <t>408-8413254</t>
  </si>
  <si>
    <t>406-3247235</t>
  </si>
  <si>
    <t>HR Analytics</t>
  </si>
  <si>
    <t>DA202</t>
  </si>
  <si>
    <t>BA301</t>
  </si>
  <si>
    <t>DM101</t>
  </si>
  <si>
    <t>FSD103</t>
  </si>
  <si>
    <t>UX401</t>
  </si>
  <si>
    <t>AI001</t>
  </si>
  <si>
    <t>CC002</t>
  </si>
  <si>
    <t>Grand Total</t>
  </si>
  <si>
    <t>Sum of Fees</t>
  </si>
  <si>
    <t>HR201</t>
  </si>
  <si>
    <t>Count of Enrollment ID</t>
  </si>
  <si>
    <t>Average of Fees</t>
  </si>
  <si>
    <t>Enrollment date</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</si>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</sst>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0" fontId="0" fillId="2" borderId="0" xfId="0" applyFill="1"/>
    <xf numFmtId="0" fontId="0" fillId="3" borderId="0" xfId="0" applyFill="1"/>
    <xf numFmtId="0" fontId="0" fillId="0" borderId="0" xfId="0" applyNumberFormat="1"/>
  </cellXfs>
  <cellStyles count="1">
    <cellStyle name="Normal" xfId="0" builtinId="0"/>
  </cellStyles>
  <dxfs count="4">
    <dxf>
      <numFmt numFmtId="0" formatCode="General"/>
    </dxf>
    <dxf>
      <numFmt numFmtId="19" formatCode="dd/mm/yyyy"/>
    </dxf>
    <dxf>
      <numFmt numFmtId="19" formatCode="dd/mm/yyyy"/>
    </dxf>
    <dxf>
      <numFmt numFmtId="0" formatCode="Genera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(2024).xlsx]Monthly enrollments!PivotTable7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Monthly</a:t>
            </a:r>
            <a:r>
              <a:rPr lang="en-IN" sz="1600" b="1" baseline="0"/>
              <a:t> enrollments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enrollments'!$B$5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cat>
            <c:strRef>
              <c:f>'Monthly enrollments'!$A$6:$A$18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enrollments'!$B$6:$B$18</c:f>
              <c:numCache>
                <c:formatCode>General</c:formatCode>
                <c:ptCount val="12"/>
                <c:pt idx="0">
                  <c:v>218</c:v>
                </c:pt>
                <c:pt idx="1">
                  <c:v>192</c:v>
                </c:pt>
                <c:pt idx="2">
                  <c:v>227</c:v>
                </c:pt>
                <c:pt idx="3">
                  <c:v>201</c:v>
                </c:pt>
                <c:pt idx="4">
                  <c:v>221</c:v>
                </c:pt>
                <c:pt idx="5">
                  <c:v>204</c:v>
                </c:pt>
                <c:pt idx="6">
                  <c:v>225</c:v>
                </c:pt>
                <c:pt idx="7">
                  <c:v>204</c:v>
                </c:pt>
                <c:pt idx="8">
                  <c:v>201</c:v>
                </c:pt>
                <c:pt idx="9">
                  <c:v>186</c:v>
                </c:pt>
                <c:pt idx="10">
                  <c:v>211</c:v>
                </c:pt>
                <c:pt idx="11">
                  <c:v>209</c:v>
                </c:pt>
              </c:numCache>
            </c:numRef>
          </c:val>
          <c:smooth val="0"/>
          <c:extLst>
            <c:ext xmlns:c16="http://schemas.microsoft.com/office/drawing/2014/chart" uri="{C3380CC4-5D6E-409C-BE32-E72D297353CC}">
              <c16:uniqueId val="{00000000-FE2A-4B20-8A23-6D883881AC61}"/>
            </c:ext>
          </c:extLst>
        </c:ser>
        <c:dLbls>
          <c:dLblPos val="t"/>
          <c:showLegendKey val="0"/>
          <c:showVal val="1"/>
          <c:showCatName val="0"/>
          <c:showSerName val="0"/>
          <c:showPercent val="0"/>
          <c:showBubbleSize val="0"/>
        </c:dLbls>
        <c:marker val="1"/>
        <c:smooth val="0"/>
        <c:axId val="1122668864"/>
        <c:axId val="1122655904"/>
      </c:lineChart>
      <c:catAx>
        <c:axId val="112266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55904"/>
        <c:crosses val="autoZero"/>
        <c:auto val="1"/>
        <c:lblAlgn val="ctr"/>
        <c:lblOffset val="100"/>
        <c:noMultiLvlLbl val="0"/>
      </c:catAx>
      <c:valAx>
        <c:axId val="112265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12266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(2024).xlsx]Enrollment status!PivotTable10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Enrollment</a:t>
            </a:r>
            <a:r>
              <a:rPr lang="en-US" sz="1600" b="1" baseline="0"/>
              <a:t> status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26328337038058219"/>
          <c:y val="0.14949245765650787"/>
          <c:w val="0.38791356889039624"/>
          <c:h val="0.751138099961289"/>
        </c:manualLayout>
      </c:layout>
      <c:doughnutChart>
        <c:varyColors val="1"/>
        <c:ser>
          <c:idx val="0"/>
          <c:order val="0"/>
          <c:tx>
            <c:strRef>
              <c:f>'Enrollment status'!$C$4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B5-45F4-9DEC-BBE7F82B72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B5-45F4-9DEC-BBE7F82B72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B5-45F4-9DEC-BBE7F82B72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'Enrollment status'!$B$5:$B$8</c:f>
              <c:strCache>
                <c:ptCount val="3"/>
                <c:pt idx="0">
                  <c:v>Dropped</c:v>
                </c:pt>
                <c:pt idx="1">
                  <c:v>Enrolled</c:v>
                </c:pt>
                <c:pt idx="2">
                  <c:v>Refunded</c:v>
                </c:pt>
              </c:strCache>
            </c:strRef>
          </c:cat>
          <c:val>
            <c:numRef>
              <c:f>'Enrollment status'!$C$5:$C$8</c:f>
              <c:numCache>
                <c:formatCode>General</c:formatCode>
                <c:ptCount val="3"/>
                <c:pt idx="0">
                  <c:v>68</c:v>
                </c:pt>
                <c:pt idx="1">
                  <c:v>2323</c:v>
                </c:pt>
                <c:pt idx="2">
                  <c:v>108</c:v>
                </c:pt>
              </c:numCache>
            </c:numRef>
          </c:val>
          <c:extLst>
            <c:ext xmlns:c16="http://schemas.microsoft.com/office/drawing/2014/chart" uri="{C3380CC4-5D6E-409C-BE32-E72D297353CC}">
              <c16:uniqueId val="{00000006-5FB5-45F4-9DEC-BBE7F82B72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672617813098057"/>
          <c:y val="0.31179796957864242"/>
          <c:w val="0.12890279143496886"/>
          <c:h val="0.46652948256099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(2024).xlsx]Enrollment by City!PivotTable9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Enrollment</a:t>
            </a:r>
            <a:r>
              <a:rPr lang="en-IN" sz="1600" b="1" baseline="0"/>
              <a:t> </a:t>
            </a:r>
            <a:r>
              <a:rPr lang="en-IN" sz="1600" b="1"/>
              <a:t>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47819220266079"/>
          <c:y val="0.15532408964544095"/>
          <c:w val="0.75225594190330425"/>
          <c:h val="0.7537582723296351"/>
        </c:manualLayout>
      </c:layout>
      <c:barChart>
        <c:barDir val="bar"/>
        <c:grouping val="stacked"/>
        <c:varyColors val="0"/>
        <c:ser>
          <c:idx val="0"/>
          <c:order val="0"/>
          <c:tx>
            <c:strRef>
              <c:f>'Enrollment by City'!$C$4</c:f>
              <c:strCache>
                <c:ptCount val="1"/>
                <c:pt idx="0">
                  <c:v>Total</c:v>
                </c:pt>
              </c:strCache>
            </c:strRef>
          </c:tx>
          <c:spPr>
            <a:solidFill>
              <a:schemeClr val="accent1"/>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'Enrollment by City'!$B$5:$B$7</c:f>
              <c:strCache>
                <c:ptCount val="2"/>
                <c:pt idx="0">
                  <c:v>Bengaluru</c:v>
                </c:pt>
                <c:pt idx="1">
                  <c:v>Hyderabad</c:v>
                </c:pt>
              </c:strCache>
            </c:strRef>
          </c:cat>
          <c:val>
            <c:numRef>
              <c:f>'Enrollment by City'!$C$5:$C$7</c:f>
              <c:numCache>
                <c:formatCode>General</c:formatCode>
                <c:ptCount val="2"/>
                <c:pt idx="0">
                  <c:v>206</c:v>
                </c:pt>
                <c:pt idx="1">
                  <c:v>164</c:v>
                </c:pt>
              </c:numCache>
            </c:numRef>
          </c:val>
          <c:extLst>
            <c:ext xmlns:c16="http://schemas.microsoft.com/office/drawing/2014/chart" uri="{C3380CC4-5D6E-409C-BE32-E72D297353CC}">
              <c16:uniqueId val="{00000000-2BEA-4A38-BCB9-69FCD3F1734F}"/>
            </c:ext>
          </c:extLst>
        </c:ser>
        <c:dLbls>
          <c:dLblPos val="ctr"/>
          <c:showLegendKey val="0"/>
          <c:showVal val="1"/>
          <c:showCatName val="0"/>
          <c:showSerName val="0"/>
          <c:showPercent val="0"/>
          <c:showBubbleSize val="0"/>
        </c:dLbls>
        <c:gapWidth val="46"/>
        <c:overlap val="-20"/>
        <c:axId val="1122670304"/>
        <c:axId val="1122654944"/>
      </c:barChart>
      <c:catAx>
        <c:axId val="112267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effectLst>
                  <a:glow rad="25400">
                    <a:schemeClr val="bg1">
                      <a:alpha val="40000"/>
                    </a:schemeClr>
                  </a:glow>
                  <a:outerShdw sx="1000" sy="1000" algn="ctr" rotWithShape="0">
                    <a:schemeClr val="tx1"/>
                  </a:outerShdw>
                </a:effectLst>
                <a:latin typeface="+mn-lt"/>
                <a:ea typeface="+mn-ea"/>
                <a:cs typeface="+mn-cs"/>
              </a:defRPr>
            </a:pPr>
            <a:endParaRPr lang="en-US"/>
          </a:p>
        </c:txPr>
        <c:crossAx val="1122654944"/>
        <c:crosses val="autoZero"/>
        <c:auto val="1"/>
        <c:lblAlgn val="ctr"/>
        <c:lblOffset val="100"/>
        <c:noMultiLvlLbl val="0"/>
      </c:catAx>
      <c:valAx>
        <c:axId val="1122654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7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(2024).xlsx]Enrollment by gender!PivotTable8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Enrollment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4982826211684214"/>
          <c:y val="0.16599895609886103"/>
          <c:w val="0.4169420252797445"/>
          <c:h val="0.73445060508599525"/>
        </c:manualLayout>
      </c:layout>
      <c:pieChart>
        <c:varyColors val="1"/>
        <c:ser>
          <c:idx val="0"/>
          <c:order val="0"/>
          <c:tx>
            <c:strRef>
              <c:f>'Enrollment by gender'!$B$5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D6-4A07-B0CF-9B63AFCBE1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D6-4A07-B0CF-9B63AFCBE1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'Enrollment by gender'!$A$6:$A$8</c:f>
              <c:strCache>
                <c:ptCount val="2"/>
                <c:pt idx="0">
                  <c:v>Female</c:v>
                </c:pt>
                <c:pt idx="1">
                  <c:v>Male</c:v>
                </c:pt>
              </c:strCache>
            </c:strRef>
          </c:cat>
          <c:val>
            <c:numRef>
              <c:f>'Enrollment by gender'!$B$6:$B$8</c:f>
              <c:numCache>
                <c:formatCode>General</c:formatCode>
                <c:ptCount val="2"/>
                <c:pt idx="0">
                  <c:v>1752</c:v>
                </c:pt>
                <c:pt idx="1">
                  <c:v>747</c:v>
                </c:pt>
              </c:numCache>
            </c:numRef>
          </c:val>
          <c:extLst>
            <c:ext xmlns:c16="http://schemas.microsoft.com/office/drawing/2014/chart" uri="{C3380CC4-5D6E-409C-BE32-E72D297353CC}">
              <c16:uniqueId val="{00000004-D3D6-4A07-B0CF-9B63AFCBE14E}"/>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(2024).xlsx]Revenue by course!PivotTable5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Revenue</a:t>
            </a:r>
            <a:r>
              <a:rPr lang="en-IN" sz="1600" b="1" baseline="0"/>
              <a:t> by course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'Revenue by course'!$B$4</c:f>
              <c:strCache>
                <c:ptCount val="1"/>
                <c:pt idx="0">
                  <c:v>Total</c:v>
                </c:pt>
              </c:strCache>
            </c:strRef>
          </c:tx>
          <c:spPr>
            <a:solidFill>
              <a:schemeClr val="accent1"/>
            </a:solidFill>
            <a:ln>
              <a:noFill/>
            </a:ln>
            <a:effectLst/>
            <a:sp3d/>
          </c:spPr>
          <c:invertIfNegative val="0"/>
          <c:dLbls>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course'!$A$5:$A$13</c:f>
              <c:strCache>
                <c:ptCount val="8"/>
                <c:pt idx="0">
                  <c:v>AI &amp; ML</c:v>
                </c:pt>
                <c:pt idx="1">
                  <c:v>Business analytics</c:v>
                </c:pt>
                <c:pt idx="2">
                  <c:v>Cloud Computing</c:v>
                </c:pt>
                <c:pt idx="3">
                  <c:v>Data analytics</c:v>
                </c:pt>
                <c:pt idx="4">
                  <c:v>Digial marketing</c:v>
                </c:pt>
                <c:pt idx="5">
                  <c:v>Full stack development</c:v>
                </c:pt>
                <c:pt idx="6">
                  <c:v>HR Analytics</c:v>
                </c:pt>
                <c:pt idx="7">
                  <c:v>UI/UX Design</c:v>
                </c:pt>
              </c:strCache>
            </c:strRef>
          </c:cat>
          <c:val>
            <c:numRef>
              <c:f>'Revenue by course'!$B$5:$B$13</c:f>
              <c:numCache>
                <c:formatCode>General</c:formatCode>
                <c:ptCount val="8"/>
                <c:pt idx="0">
                  <c:v>2759770</c:v>
                </c:pt>
                <c:pt idx="1">
                  <c:v>21539641</c:v>
                </c:pt>
                <c:pt idx="2">
                  <c:v>599940</c:v>
                </c:pt>
                <c:pt idx="3">
                  <c:v>65919176</c:v>
                </c:pt>
                <c:pt idx="4">
                  <c:v>85071505</c:v>
                </c:pt>
                <c:pt idx="5">
                  <c:v>17488410</c:v>
                </c:pt>
                <c:pt idx="6">
                  <c:v>587986</c:v>
                </c:pt>
                <c:pt idx="7">
                  <c:v>8090810</c:v>
                </c:pt>
              </c:numCache>
            </c:numRef>
          </c:val>
          <c:extLst>
            <c:ext xmlns:c16="http://schemas.microsoft.com/office/drawing/2014/chart" uri="{C3380CC4-5D6E-409C-BE32-E72D297353CC}">
              <c16:uniqueId val="{00000000-25CD-4A69-BD16-CFBFE9E8DB1D}"/>
            </c:ext>
          </c:extLst>
        </c:ser>
        <c:dLbls>
          <c:showLegendKey val="0"/>
          <c:showVal val="1"/>
          <c:showCatName val="0"/>
          <c:showSerName val="0"/>
          <c:showPercent val="0"/>
          <c:showBubbleSize val="0"/>
        </c:dLbls>
        <c:gapWidth val="150"/>
        <c:shape val="box"/>
        <c:axId val="1122774944"/>
        <c:axId val="1122771584"/>
        <c:axId val="0"/>
      </c:bar3DChart>
      <c:catAx>
        <c:axId val="1122774944"/>
        <c:scaling>
          <c:orientation val="minMax"/>
        </c:scaling>
        <c:delete val="0"/>
        <c:axPos val="l"/>
        <c:numFmt formatCode="General"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22771584"/>
        <c:crosses val="autoZero"/>
        <c:auto val="1"/>
        <c:lblAlgn val="ctr"/>
        <c:lblOffset val="100"/>
        <c:noMultiLvlLbl val="0"/>
      </c:catAx>
      <c:valAx>
        <c:axId val="1122771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7494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(2024).xlsx]Enrollment by Lead Source!PivotTable6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baseline="0"/>
              <a:t>Enrollment by Lead Source</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'Enrollment by Lead Source'!$B$4</c:f>
              <c:strCache>
                <c:ptCount val="1"/>
                <c:pt idx="0">
                  <c:v>Total</c:v>
                </c:pt>
              </c:strCache>
            </c:strRef>
          </c:tx>
          <c:spPr>
            <a:solidFill>
              <a:schemeClr val="accent1"/>
            </a:solidFill>
            <a:ln>
              <a:noFill/>
            </a:ln>
            <a:effectLst/>
            <a:sp3d/>
          </c:spPr>
          <c:invertIfNegative val="0"/>
          <c:dLbls>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'Enrollment by Lead Source'!$A$5:$A$12</c:f>
              <c:strCache>
                <c:ptCount val="7"/>
                <c:pt idx="0">
                  <c:v>Email campaign</c:v>
                </c:pt>
                <c:pt idx="1">
                  <c:v>Facebook ads</c:v>
                </c:pt>
                <c:pt idx="2">
                  <c:v>Google ads</c:v>
                </c:pt>
                <c:pt idx="3">
                  <c:v>Instagram ads</c:v>
                </c:pt>
                <c:pt idx="4">
                  <c:v>Referral</c:v>
                </c:pt>
                <c:pt idx="5">
                  <c:v>Website</c:v>
                </c:pt>
                <c:pt idx="6">
                  <c:v>Whatsapp</c:v>
                </c:pt>
              </c:strCache>
            </c:strRef>
          </c:cat>
          <c:val>
            <c:numRef>
              <c:f>'Enrollment by Lead Source'!$B$5:$B$12</c:f>
              <c:numCache>
                <c:formatCode>General</c:formatCode>
                <c:ptCount val="7"/>
                <c:pt idx="0">
                  <c:v>100</c:v>
                </c:pt>
                <c:pt idx="1">
                  <c:v>875</c:v>
                </c:pt>
                <c:pt idx="2">
                  <c:v>532</c:v>
                </c:pt>
                <c:pt idx="3">
                  <c:v>144</c:v>
                </c:pt>
                <c:pt idx="4">
                  <c:v>144</c:v>
                </c:pt>
                <c:pt idx="5">
                  <c:v>593</c:v>
                </c:pt>
                <c:pt idx="6">
                  <c:v>111</c:v>
                </c:pt>
              </c:numCache>
            </c:numRef>
          </c:val>
          <c:extLst>
            <c:ext xmlns:c16="http://schemas.microsoft.com/office/drawing/2014/chart" uri="{C3380CC4-5D6E-409C-BE32-E72D297353CC}">
              <c16:uniqueId val="{00000000-664E-4AF3-AD56-39827B3A9FD4}"/>
            </c:ext>
          </c:extLst>
        </c:ser>
        <c:dLbls>
          <c:showLegendKey val="0"/>
          <c:showVal val="1"/>
          <c:showCatName val="0"/>
          <c:showSerName val="0"/>
          <c:showPercent val="0"/>
          <c:showBubbleSize val="0"/>
        </c:dLbls>
        <c:gapWidth val="55"/>
        <c:gapDepth val="0"/>
        <c:shape val="box"/>
        <c:axId val="1122777344"/>
        <c:axId val="1122777824"/>
        <c:axId val="0"/>
      </c:bar3DChart>
      <c:catAx>
        <c:axId val="1122777344"/>
        <c:scaling>
          <c:orientation val="minMax"/>
        </c:scaling>
        <c:delete val="0"/>
        <c:axPos val="l"/>
        <c:numFmt formatCode="General" sourceLinked="1"/>
        <c:majorTickMark val="none"/>
        <c:minorTickMark val="none"/>
        <c:tickLblPos val="nextTo"/>
        <c:spPr>
          <a:noFill/>
          <a:ln cmpd="dbl">
            <a:solidFill>
              <a:schemeClr val="lt1">
                <a:shade val="50000"/>
              </a:schemeClr>
            </a:solidFill>
          </a:ln>
          <a:effectLst/>
        </c:spPr>
        <c:txPr>
          <a:bodyPr rot="0" spcFirstLastPara="1" vertOverflow="ellipsis" wrap="square" anchor="ctr" anchorCtr="0"/>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122777824"/>
        <c:crosses val="autoZero"/>
        <c:auto val="1"/>
        <c:lblAlgn val="ctr"/>
        <c:lblOffset val="100"/>
        <c:noMultiLvlLbl val="0"/>
      </c:catAx>
      <c:valAx>
        <c:axId val="1122777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7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(2024).xlsx]Enrllmnt by course!PivotTable4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Enrollment</a:t>
            </a:r>
            <a:r>
              <a:rPr lang="en-US" sz="1600" b="1" baseline="0"/>
              <a:t> by course</a:t>
            </a:r>
            <a:endParaRPr lang="en-US" sz="1600" b="1"/>
          </a:p>
        </c:rich>
      </c:tx>
      <c:layout>
        <c:manualLayout>
          <c:xMode val="edge"/>
          <c:yMode val="edge"/>
          <c:x val="0.17162711069900824"/>
          <c:y val="2.3662059582929183E-2"/>
        </c:manualLayout>
      </c:layout>
      <c:overlay val="0"/>
      <c:spPr>
        <a:noFill/>
        <a:ln>
          <a:noFill/>
        </a:ln>
        <a:effectLst/>
      </c:sp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18900000" algn="b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18900000" algn="b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216000" tIns="72000" rIns="38100" bIns="144000" anchor="b"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173686198262705E-2"/>
          <c:y val="0.15796609326625574"/>
          <c:w val="0.92921523776008441"/>
          <c:h val="0.52955985501352654"/>
        </c:manualLayout>
      </c:layout>
      <c:bar3DChart>
        <c:barDir val="col"/>
        <c:grouping val="clustered"/>
        <c:varyColors val="0"/>
        <c:ser>
          <c:idx val="0"/>
          <c:order val="0"/>
          <c:tx>
            <c:strRef>
              <c:f>'Enrllmnt by course'!$B$4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216000" tIns="72000" rIns="38100" bIns="144000" anchor="b"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'Enrllmnt by course'!$A$5:$A$13</c:f>
              <c:strCache>
                <c:ptCount val="8"/>
                <c:pt idx="0">
                  <c:v>AI &amp; ML</c:v>
                </c:pt>
                <c:pt idx="1">
                  <c:v>Business analytics</c:v>
                </c:pt>
                <c:pt idx="2">
                  <c:v>Cloud Computing</c:v>
                </c:pt>
                <c:pt idx="3">
                  <c:v>Data analytics</c:v>
                </c:pt>
                <c:pt idx="4">
                  <c:v>Digial marketing</c:v>
                </c:pt>
                <c:pt idx="5">
                  <c:v>Full stack development</c:v>
                </c:pt>
                <c:pt idx="6">
                  <c:v>HR Analytics</c:v>
                </c:pt>
                <c:pt idx="7">
                  <c:v>UI/UX Design</c:v>
                </c:pt>
              </c:strCache>
            </c:strRef>
          </c:cat>
          <c:val>
            <c:numRef>
              <c:f>'Enrllmnt by course'!$B$5:$B$13</c:f>
              <c:numCache>
                <c:formatCode>General</c:formatCode>
                <c:ptCount val="8"/>
                <c:pt idx="0">
                  <c:v>23</c:v>
                </c:pt>
                <c:pt idx="1">
                  <c:v>359</c:v>
                </c:pt>
                <c:pt idx="2">
                  <c:v>6</c:v>
                </c:pt>
                <c:pt idx="3">
                  <c:v>824</c:v>
                </c:pt>
                <c:pt idx="4">
                  <c:v>995</c:v>
                </c:pt>
                <c:pt idx="5">
                  <c:v>159</c:v>
                </c:pt>
                <c:pt idx="6">
                  <c:v>14</c:v>
                </c:pt>
                <c:pt idx="7">
                  <c:v>119</c:v>
                </c:pt>
              </c:numCache>
            </c:numRef>
          </c:val>
          <c:extLst>
            <c:ext xmlns:c16="http://schemas.microsoft.com/office/drawing/2014/chart" uri="{C3380CC4-5D6E-409C-BE32-E72D297353CC}">
              <c16:uniqueId val="{00000000-7E19-42DC-B59E-F1501CA69260}"/>
            </c:ext>
          </c:extLst>
        </c:ser>
        <c:dLbls>
          <c:showLegendKey val="0"/>
          <c:showVal val="1"/>
          <c:showCatName val="0"/>
          <c:showSerName val="0"/>
          <c:showPercent val="0"/>
          <c:showBubbleSize val="0"/>
        </c:dLbls>
        <c:gapWidth val="50"/>
        <c:gapDepth val="59"/>
        <c:shape val="box"/>
        <c:axId val="1122732224"/>
        <c:axId val="1122736544"/>
        <c:axId val="0"/>
      </c:bar3DChart>
      <c:catAx>
        <c:axId val="1122732224"/>
        <c:scaling>
          <c:orientation val="minMax"/>
        </c:scaling>
        <c:delete val="0"/>
        <c:axPos val="b"/>
        <c:numFmt formatCode="General" sourceLinked="1"/>
        <c:majorTickMark val="out"/>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36544"/>
        <c:crosses val="autoZero"/>
        <c:auto val="1"/>
        <c:lblAlgn val="ctr"/>
        <c:lblOffset val="100"/>
        <c:noMultiLvlLbl val="0"/>
      </c:catAx>
      <c:valAx>
        <c:axId val="1122736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122732224"/>
        <c:crosses val="autoZero"/>
        <c:crossBetween val="between"/>
      </c:valAx>
      <c:spPr>
        <a:noFill/>
        <a:ln>
          <a:noFill/>
        </a:ln>
        <a:effectLst>
          <a:outerShdw blurRad="50800" dist="38100" dir="10800000" algn="r" rotWithShape="0">
            <a:prstClr val="black">
              <a:alpha val="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(2024).xlsx]Enrllmnt by course!PivotTable4</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Enrollment</a:t>
            </a:r>
            <a:r>
              <a:rPr lang="en-US" sz="1600" b="1" baseline="0"/>
              <a:t> by course</a:t>
            </a:r>
            <a:endParaRPr lang="en-US" sz="1600" b="1"/>
          </a:p>
        </c:rich>
      </c:tx>
      <c:layout>
        <c:manualLayout>
          <c:xMode val="edge"/>
          <c:yMode val="edge"/>
          <c:x val="0.17162711069900824"/>
          <c:y val="2.36620595829291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18900000" algn="b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18900000" algn="b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216000" tIns="72000" rIns="38100" bIns="144000" anchor="b"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216000" tIns="72000" rIns="38100" bIns="144000" anchor="b"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216000" tIns="72000" rIns="38100" bIns="144000" anchor="b"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173686198262705E-2"/>
          <c:y val="0.15796609326625574"/>
          <c:w val="0.92921523776008441"/>
          <c:h val="0.52955985501352654"/>
        </c:manualLayout>
      </c:layout>
      <c:bar3DChart>
        <c:barDir val="col"/>
        <c:grouping val="clustered"/>
        <c:varyColors val="0"/>
        <c:ser>
          <c:idx val="0"/>
          <c:order val="0"/>
          <c:tx>
            <c:strRef>
              <c:f>'Enrllmnt by course'!$B$4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horzOverflow="clip" vert="horz" wrap="square" lIns="216000" tIns="72000" rIns="38100" bIns="144000" anchor="b"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'Enrllmnt by course'!$A$5:$A$13</c:f>
              <c:strCache>
                <c:ptCount val="8"/>
                <c:pt idx="0">
                  <c:v>AI &amp; ML</c:v>
                </c:pt>
                <c:pt idx="1">
                  <c:v>Business analytics</c:v>
                </c:pt>
                <c:pt idx="2">
                  <c:v>Cloud Computing</c:v>
                </c:pt>
                <c:pt idx="3">
                  <c:v>Data analytics</c:v>
                </c:pt>
                <c:pt idx="4">
                  <c:v>Digial marketing</c:v>
                </c:pt>
                <c:pt idx="5">
                  <c:v>Full stack development</c:v>
                </c:pt>
                <c:pt idx="6">
                  <c:v>HR Analytics</c:v>
                </c:pt>
                <c:pt idx="7">
                  <c:v>UI/UX Design</c:v>
                </c:pt>
              </c:strCache>
            </c:strRef>
          </c:cat>
          <c:val>
            <c:numRef>
              <c:f>'Enrllmnt by course'!$B$5:$B$13</c:f>
              <c:numCache>
                <c:formatCode>General</c:formatCode>
                <c:ptCount val="8"/>
                <c:pt idx="0">
                  <c:v>23</c:v>
                </c:pt>
                <c:pt idx="1">
                  <c:v>359</c:v>
                </c:pt>
                <c:pt idx="2">
                  <c:v>6</c:v>
                </c:pt>
                <c:pt idx="3">
                  <c:v>824</c:v>
                </c:pt>
                <c:pt idx="4">
                  <c:v>995</c:v>
                </c:pt>
                <c:pt idx="5">
                  <c:v>159</c:v>
                </c:pt>
                <c:pt idx="6">
                  <c:v>14</c:v>
                </c:pt>
                <c:pt idx="7">
                  <c:v>119</c:v>
                </c:pt>
              </c:numCache>
            </c:numRef>
          </c:val>
          <c:extLst>
            <c:ext xmlns:c16="http://schemas.microsoft.com/office/drawing/2014/chart" uri="{C3380CC4-5D6E-409C-BE32-E72D297353CC}">
              <c16:uniqueId val="{00000000-0D26-428F-8C6E-2B2B143E077F}"/>
            </c:ext>
          </c:extLst>
        </c:ser>
        <c:dLbls>
          <c:showLegendKey val="0"/>
          <c:showVal val="1"/>
          <c:showCatName val="0"/>
          <c:showSerName val="0"/>
          <c:showPercent val="0"/>
          <c:showBubbleSize val="0"/>
        </c:dLbls>
        <c:gapWidth val="50"/>
        <c:gapDepth val="59"/>
        <c:shape val="box"/>
        <c:axId val="1122732224"/>
        <c:axId val="1122736544"/>
        <c:axId val="0"/>
      </c:bar3DChart>
      <c:catAx>
        <c:axId val="1122732224"/>
        <c:scaling>
          <c:orientation val="minMax"/>
        </c:scaling>
        <c:delete val="0"/>
        <c:axPos val="b"/>
        <c:numFmt formatCode="General" sourceLinked="1"/>
        <c:majorTickMark val="out"/>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36544"/>
        <c:crosses val="autoZero"/>
        <c:auto val="1"/>
        <c:lblAlgn val="ctr"/>
        <c:lblOffset val="100"/>
        <c:noMultiLvlLbl val="0"/>
      </c:catAx>
      <c:valAx>
        <c:axId val="1122736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122732224"/>
        <c:crosses val="autoZero"/>
        <c:crossBetween val="between"/>
      </c:valAx>
      <c:spPr>
        <a:noFill/>
        <a:ln>
          <a:noFill/>
        </a:ln>
        <a:effectLst>
          <a:outerShdw blurRad="50800" dist="38100" dir="10800000" algn="r" rotWithShape="0">
            <a:prstClr val="black">
              <a:alpha val="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(2024).xlsx]Enrollment by Lead Source!PivotTable6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baseline="0"/>
              <a:t>Enrollment by Lead Source</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'Enrollment by Lead Source'!$B$4</c:f>
              <c:strCache>
                <c:ptCount val="1"/>
                <c:pt idx="0">
                  <c:v>Total</c:v>
                </c:pt>
              </c:strCache>
            </c:strRef>
          </c:tx>
          <c:spPr>
            <a:solidFill>
              <a:schemeClr val="accent1"/>
            </a:solidFill>
            <a:ln>
              <a:noFill/>
            </a:ln>
            <a:effectLst/>
            <a:sp3d/>
          </c:spPr>
          <c:invertIfNegative val="0"/>
          <c:dLbls>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'Enrollment by Lead Source'!$A$5:$A$12</c:f>
              <c:strCache>
                <c:ptCount val="7"/>
                <c:pt idx="0">
                  <c:v>Email campaign</c:v>
                </c:pt>
                <c:pt idx="1">
                  <c:v>Facebook ads</c:v>
                </c:pt>
                <c:pt idx="2">
                  <c:v>Google ads</c:v>
                </c:pt>
                <c:pt idx="3">
                  <c:v>Instagram ads</c:v>
                </c:pt>
                <c:pt idx="4">
                  <c:v>Referral</c:v>
                </c:pt>
                <c:pt idx="5">
                  <c:v>Website</c:v>
                </c:pt>
                <c:pt idx="6">
                  <c:v>Whatsapp</c:v>
                </c:pt>
              </c:strCache>
            </c:strRef>
          </c:cat>
          <c:val>
            <c:numRef>
              <c:f>'Enrollment by Lead Source'!$B$5:$B$12</c:f>
              <c:numCache>
                <c:formatCode>General</c:formatCode>
                <c:ptCount val="7"/>
                <c:pt idx="0">
                  <c:v>100</c:v>
                </c:pt>
                <c:pt idx="1">
                  <c:v>875</c:v>
                </c:pt>
                <c:pt idx="2">
                  <c:v>532</c:v>
                </c:pt>
                <c:pt idx="3">
                  <c:v>144</c:v>
                </c:pt>
                <c:pt idx="4">
                  <c:v>144</c:v>
                </c:pt>
                <c:pt idx="5">
                  <c:v>593</c:v>
                </c:pt>
                <c:pt idx="6">
                  <c:v>111</c:v>
                </c:pt>
              </c:numCache>
            </c:numRef>
          </c:val>
          <c:extLst>
            <c:ext xmlns:c16="http://schemas.microsoft.com/office/drawing/2014/chart" uri="{C3380CC4-5D6E-409C-BE32-E72D297353CC}">
              <c16:uniqueId val="{00000000-C150-45E3-8450-1F831B7CDBDA}"/>
            </c:ext>
          </c:extLst>
        </c:ser>
        <c:dLbls>
          <c:showLegendKey val="0"/>
          <c:showVal val="1"/>
          <c:showCatName val="0"/>
          <c:showSerName val="0"/>
          <c:showPercent val="0"/>
          <c:showBubbleSize val="0"/>
        </c:dLbls>
        <c:gapWidth val="55"/>
        <c:gapDepth val="0"/>
        <c:shape val="box"/>
        <c:axId val="1122777344"/>
        <c:axId val="1122777824"/>
        <c:axId val="0"/>
      </c:bar3DChart>
      <c:catAx>
        <c:axId val="1122777344"/>
        <c:scaling>
          <c:orientation val="minMax"/>
        </c:scaling>
        <c:delete val="0"/>
        <c:axPos val="l"/>
        <c:numFmt formatCode="General" sourceLinked="1"/>
        <c:majorTickMark val="none"/>
        <c:minorTickMark val="none"/>
        <c:tickLblPos val="nextTo"/>
        <c:spPr>
          <a:noFill/>
          <a:ln cmpd="dbl">
            <a:solidFill>
              <a:schemeClr val="lt1">
                <a:shade val="50000"/>
              </a:schemeClr>
            </a:solidFill>
          </a:ln>
          <a:effectLst/>
        </c:spPr>
        <c:txPr>
          <a:bodyPr rot="0" spcFirstLastPara="1" vertOverflow="ellipsis" wrap="square" anchor="ctr" anchorCtr="0"/>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122777824"/>
        <c:crosses val="autoZero"/>
        <c:auto val="1"/>
        <c:lblAlgn val="ctr"/>
        <c:lblOffset val="100"/>
        <c:noMultiLvlLbl val="0"/>
      </c:catAx>
      <c:valAx>
        <c:axId val="1122777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7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(2024).xlsx]Revenue by course!PivotTable5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course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'Revenue by course'!$B$4</c:f>
              <c:strCache>
                <c:ptCount val="1"/>
                <c:pt idx="0">
                  <c:v>Total</c:v>
                </c:pt>
              </c:strCache>
            </c:strRef>
          </c:tx>
          <c:spPr>
            <a:solidFill>
              <a:schemeClr val="accent1"/>
            </a:solidFill>
            <a:ln>
              <a:noFill/>
            </a:ln>
            <a:effectLst/>
            <a:sp3d/>
          </c:spPr>
          <c:invertIfNegative val="0"/>
          <c:dLbls>
            <c:spPr>
              <a:no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course'!$A$5:$A$13</c:f>
              <c:strCache>
                <c:ptCount val="8"/>
                <c:pt idx="0">
                  <c:v>AI &amp; ML</c:v>
                </c:pt>
                <c:pt idx="1">
                  <c:v>Business analytics</c:v>
                </c:pt>
                <c:pt idx="2">
                  <c:v>Cloud Computing</c:v>
                </c:pt>
                <c:pt idx="3">
                  <c:v>Data analytics</c:v>
                </c:pt>
                <c:pt idx="4">
                  <c:v>Digial marketing</c:v>
                </c:pt>
                <c:pt idx="5">
                  <c:v>Full stack development</c:v>
                </c:pt>
                <c:pt idx="6">
                  <c:v>HR Analytics</c:v>
                </c:pt>
                <c:pt idx="7">
                  <c:v>UI/UX Design</c:v>
                </c:pt>
              </c:strCache>
            </c:strRef>
          </c:cat>
          <c:val>
            <c:numRef>
              <c:f>'Revenue by course'!$B$5:$B$13</c:f>
              <c:numCache>
                <c:formatCode>General</c:formatCode>
                <c:ptCount val="8"/>
                <c:pt idx="0">
                  <c:v>2759770</c:v>
                </c:pt>
                <c:pt idx="1">
                  <c:v>21539641</c:v>
                </c:pt>
                <c:pt idx="2">
                  <c:v>599940</c:v>
                </c:pt>
                <c:pt idx="3">
                  <c:v>65919176</c:v>
                </c:pt>
                <c:pt idx="4">
                  <c:v>85071505</c:v>
                </c:pt>
                <c:pt idx="5">
                  <c:v>17488410</c:v>
                </c:pt>
                <c:pt idx="6">
                  <c:v>587986</c:v>
                </c:pt>
                <c:pt idx="7">
                  <c:v>8090810</c:v>
                </c:pt>
              </c:numCache>
            </c:numRef>
          </c:val>
          <c:extLst>
            <c:ext xmlns:c16="http://schemas.microsoft.com/office/drawing/2014/chart" uri="{C3380CC4-5D6E-409C-BE32-E72D297353CC}">
              <c16:uniqueId val="{00000000-81B3-4FBD-9DB2-35F7FAAFDADA}"/>
            </c:ext>
          </c:extLst>
        </c:ser>
        <c:dLbls>
          <c:showLegendKey val="0"/>
          <c:showVal val="1"/>
          <c:showCatName val="0"/>
          <c:showSerName val="0"/>
          <c:showPercent val="0"/>
          <c:showBubbleSize val="0"/>
        </c:dLbls>
        <c:gapWidth val="150"/>
        <c:shape val="box"/>
        <c:axId val="1122774944"/>
        <c:axId val="1122771584"/>
        <c:axId val="0"/>
      </c:bar3DChart>
      <c:catAx>
        <c:axId val="1122774944"/>
        <c:scaling>
          <c:orientation val="minMax"/>
        </c:scaling>
        <c:delete val="0"/>
        <c:axPos val="l"/>
        <c:numFmt formatCode="General"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22771584"/>
        <c:crosses val="autoZero"/>
        <c:auto val="1"/>
        <c:lblAlgn val="ctr"/>
        <c:lblOffset val="100"/>
        <c:noMultiLvlLbl val="0"/>
      </c:catAx>
      <c:valAx>
        <c:axId val="1122771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7494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(2024).xlsx]Monthly enrollments!PivotTable7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Monthly</a:t>
            </a:r>
            <a:r>
              <a:rPr lang="en-IN" sz="1600" b="1" baseline="0"/>
              <a:t> enrollments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enrollments'!$B$5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cat>
            <c:strRef>
              <c:f>'Monthly enrollments'!$A$6:$A$18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enrollments'!$B$6:$B$18</c:f>
              <c:numCache>
                <c:formatCode>General</c:formatCode>
                <c:ptCount val="12"/>
                <c:pt idx="0">
                  <c:v>218</c:v>
                </c:pt>
                <c:pt idx="1">
                  <c:v>192</c:v>
                </c:pt>
                <c:pt idx="2">
                  <c:v>227</c:v>
                </c:pt>
                <c:pt idx="3">
                  <c:v>201</c:v>
                </c:pt>
                <c:pt idx="4">
                  <c:v>221</c:v>
                </c:pt>
                <c:pt idx="5">
                  <c:v>204</c:v>
                </c:pt>
                <c:pt idx="6">
                  <c:v>225</c:v>
                </c:pt>
                <c:pt idx="7">
                  <c:v>204</c:v>
                </c:pt>
                <c:pt idx="8">
                  <c:v>201</c:v>
                </c:pt>
                <c:pt idx="9">
                  <c:v>186</c:v>
                </c:pt>
                <c:pt idx="10">
                  <c:v>211</c:v>
                </c:pt>
                <c:pt idx="11">
                  <c:v>209</c:v>
                </c:pt>
              </c:numCache>
            </c:numRef>
          </c:val>
          <c:smooth val="0"/>
          <c:extLst>
            <c:ext xmlns:c16="http://schemas.microsoft.com/office/drawing/2014/chart" uri="{C3380CC4-5D6E-409C-BE32-E72D297353CC}">
              <c16:uniqueId val="{00000003-DEE4-49DD-B919-BE60F1FB773E}"/>
            </c:ext>
          </c:extLst>
        </c:ser>
        <c:dLbls>
          <c:dLblPos val="t"/>
          <c:showLegendKey val="0"/>
          <c:showVal val="1"/>
          <c:showCatName val="0"/>
          <c:showSerName val="0"/>
          <c:showPercent val="0"/>
          <c:showBubbleSize val="0"/>
        </c:dLbls>
        <c:marker val="1"/>
        <c:smooth val="0"/>
        <c:axId val="1122668864"/>
        <c:axId val="1122655904"/>
      </c:lineChart>
      <c:catAx>
        <c:axId val="112266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55904"/>
        <c:crosses val="autoZero"/>
        <c:auto val="1"/>
        <c:lblAlgn val="ctr"/>
        <c:lblOffset val="100"/>
        <c:noMultiLvlLbl val="0"/>
      </c:catAx>
      <c:valAx>
        <c:axId val="112265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12266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(2024).xlsx]Enrollment by gender!PivotTable8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Enrollment by gender</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s>
    <c:plotArea>
      <c:layout>
        <c:manualLayout>
          <c:layoutTarget val="inner"/>
          <c:xMode val="edge"/>
          <c:yMode val="edge"/>
          <c:x val="0.24982826211684214"/>
          <c:y val="0.16599895609886103"/>
          <c:w val="0.4169420252797445"/>
          <c:h val="0.73445060508599525"/>
        </c:manualLayout>
      </c:layout>
      <c:pieChart>
        <c:varyColors val="1"/>
        <c:ser>
          <c:idx val="0"/>
          <c:order val="0"/>
          <c:tx>
            <c:strRef>
              <c:f>'Enrollment by gender'!$B$5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6DBB-4194-AAEB-CAE1D5C88C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6DBB-4194-AAEB-CAE1D5C88C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'Enrollment by gender'!$A$6:$A$8</c:f>
              <c:strCache>
                <c:ptCount val="2"/>
                <c:pt idx="0">
                  <c:v>Female</c:v>
                </c:pt>
                <c:pt idx="1">
                  <c:v>Male</c:v>
                </c:pt>
              </c:strCache>
            </c:strRef>
          </c:cat>
          <c:val>
            <c:numRef>
              <c:f>'Enrollment by gender'!$B$6:$B$8</c:f>
              <c:numCache>
                <c:formatCode>General</c:formatCode>
                <c:ptCount val="2"/>
                <c:pt idx="0">
                  <c:v>1752</c:v>
                </c:pt>
                <c:pt idx="1">
                  <c:v>747</c:v>
                </c:pt>
              </c:numCache>
            </c:numRef>
          </c:val>
          <c:extLst>
            <c:ext xmlns:c16="http://schemas.microsoft.com/office/drawing/2014/chart" uri="{C3380CC4-5D6E-409C-BE32-E72D297353CC}">
              <c16:uniqueId val="{00000007-6DBB-4194-AAEB-CAE1D5C88CC8}"/>
            </c:ext>
          </c:extLst>
        </c:ser>
        <c:dLbls>
          <c:dLblPos val="outEnd"/>
          <c:showLegendKey val="0"/>
          <c:showVal val="0"/>
          <c:showCatName val="0"/>
          <c:showSerName val="0"/>
          <c:showPercent val="1"/>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(2024).xlsx]Enrollment status!PivotTable10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Enrollment</a:t>
            </a:r>
            <a:r>
              <a:rPr lang="en-US" sz="1600" b="1" baseline="0"/>
              <a:t> status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manualLayout>
          <c:layoutTarget val="inner"/>
          <c:xMode val="edge"/>
          <c:yMode val="edge"/>
          <c:x val="0.26328337038058219"/>
          <c:y val="0.14949245765650787"/>
          <c:w val="0.38791356889039624"/>
          <c:h val="0.751138099961289"/>
        </c:manualLayout>
      </c:layout>
      <c:doughnutChart>
        <c:varyColors val="1"/>
        <c:ser>
          <c:idx val="0"/>
          <c:order val="0"/>
          <c:tx>
            <c:strRef>
              <c:f>'Enrollment status'!$C$4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85-4535-9081-380256D10D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85-4535-9081-380256D10D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85-4535-9081-380256D10D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'Enrollment status'!$B$5:$B$8</c:f>
              <c:strCache>
                <c:ptCount val="3"/>
                <c:pt idx="0">
                  <c:v>Dropped</c:v>
                </c:pt>
                <c:pt idx="1">
                  <c:v>Enrolled</c:v>
                </c:pt>
                <c:pt idx="2">
                  <c:v>Refunded</c:v>
                </c:pt>
              </c:strCache>
            </c:strRef>
          </c:cat>
          <c:val>
            <c:numRef>
              <c:f>'Enrollment status'!$C$5:$C$8</c:f>
              <c:numCache>
                <c:formatCode>General</c:formatCode>
                <c:ptCount val="3"/>
                <c:pt idx="0">
                  <c:v>68</c:v>
                </c:pt>
                <c:pt idx="1">
                  <c:v>2323</c:v>
                </c:pt>
                <c:pt idx="2">
                  <c:v>108</c:v>
                </c:pt>
              </c:numCache>
            </c:numRef>
          </c:val>
          <c:extLst>
            <c:ext xmlns:c16="http://schemas.microsoft.com/office/drawing/2014/chart" uri="{C3380CC4-5D6E-409C-BE32-E72D297353CC}">
              <c16:uniqueId val="{00000006-9B85-4535-9081-380256D10D4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672617813098057"/>
          <c:y val="0.31179796957864242"/>
          <c:w val="0.12890279143496886"/>
          <c:h val="0.46652948256099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[Edtech_sales_data (2024).xlsx]Enrollment by City!PivotTable9</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Enrollment</a:t>
            </a:r>
            <a:r>
              <a:rPr lang="en-IN" sz="1600" b="1" baseline="0"/>
              <a:t> </a:t>
            </a:r>
            <a:r>
              <a:rPr lang="en-IN" sz="1600" b="1"/>
              <a:t>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algn="l" rotWithShape="0">
              <a:prstClr val="black">
                <a:alpha val="40000"/>
              </a:prstClr>
            </a:outerShdw>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47819220266079"/>
          <c:y val="0.15532408964544095"/>
          <c:w val="0.75225594190330425"/>
          <c:h val="0.7537582723296351"/>
        </c:manualLayout>
      </c:layout>
      <c:barChart>
        <c:barDir val="bar"/>
        <c:grouping val="stacked"/>
        <c:varyColors val="0"/>
        <c:ser>
          <c:idx val="0"/>
          <c:order val="0"/>
          <c:tx>
            <c:strRef>
              <c:f>'Enrollment by City'!$C$4</c:f>
              <c:strCache>
                <c:ptCount val="1"/>
                <c:pt idx="0">
                  <c:v>Total</c:v>
                </c:pt>
              </c:strCache>
            </c:strRef>
          </c:tx>
          <c:spPr>
            <a:solidFill>
              <a:schemeClr val="accent1"/>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'Enrollment by City'!$B$5:$B$7</c:f>
              <c:strCache>
                <c:ptCount val="2"/>
                <c:pt idx="0">
                  <c:v>Bengaluru</c:v>
                </c:pt>
                <c:pt idx="1">
                  <c:v>Hyderabad</c:v>
                </c:pt>
              </c:strCache>
            </c:strRef>
          </c:cat>
          <c:val>
            <c:numRef>
              <c:f>'Enrollment by City'!$C$5:$C$7</c:f>
              <c:numCache>
                <c:formatCode>General</c:formatCode>
                <c:ptCount val="2"/>
                <c:pt idx="0">
                  <c:v>206</c:v>
                </c:pt>
                <c:pt idx="1">
                  <c:v>164</c:v>
                </c:pt>
              </c:numCache>
            </c:numRef>
          </c:val>
          <c:extLst>
            <c:ext xmlns:c16="http://schemas.microsoft.com/office/drawing/2014/chart" uri="{C3380CC4-5D6E-409C-BE32-E72D297353CC}">
              <c16:uniqueId val="{00000000-B8AC-4A9D-A691-EC492E328A2A}"/>
            </c:ext>
          </c:extLst>
        </c:ser>
        <c:dLbls>
          <c:dLblPos val="ctr"/>
          <c:showLegendKey val="0"/>
          <c:showVal val="1"/>
          <c:showCatName val="0"/>
          <c:showSerName val="0"/>
          <c:showPercent val="0"/>
          <c:showBubbleSize val="0"/>
        </c:dLbls>
        <c:gapWidth val="46"/>
        <c:overlap val="-20"/>
        <c:axId val="1122670304"/>
        <c:axId val="1122654944"/>
      </c:barChart>
      <c:catAx>
        <c:axId val="112267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effectLst>
                  <a:glow rad="25400">
                    <a:schemeClr val="bg1">
                      <a:alpha val="40000"/>
                    </a:schemeClr>
                  </a:glow>
                  <a:outerShdw sx="1000" sy="1000" algn="ctr" rotWithShape="0">
                    <a:schemeClr val="tx1"/>
                  </a:outerShdw>
                </a:effectLst>
                <a:latin typeface="+mn-lt"/>
                <a:ea typeface="+mn-ea"/>
                <a:cs typeface="+mn-cs"/>
              </a:defRPr>
            </a:pPr>
            <a:endParaRPr lang="en-US"/>
          </a:p>
        </c:txPr>
        <c:crossAx val="1122654944"/>
        <c:crosses val="autoZero"/>
        <c:auto val="1"/>
        <c:lblAlgn val="ctr"/>
        <c:lblOffset val="100"/>
        <c:noMultiLvlLbl val="0"/>
      </c:catAx>
      <c:valAx>
        <c:axId val="1122654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7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hyperlink" Target="#'Mkt&amp;course'!A1"/></Relationships>
</file>

<file path=xl/drawings/_rels/drawing2.xml.rels><?xml version="1.0" encoding="UTF-8" standalone="yes"?>
<Relationships xmlns="http://schemas.openxmlformats.org/package/2006/relationships"><Relationship Id="rId3" Type="http://schemas.openxmlformats.org/officeDocument/2006/relationships/hyperlink" Target="#BussOverview!A1"/><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7.xml"/><Relationship Id="rId4" Type="http://schemas.openxmlformats.org/officeDocument/2006/relationships/hyperlink" Target="#'Mkt&amp;course'!A1"/></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40</xdr:col>
      <xdr:colOff>521918</xdr:colOff>
      <xdr:row>71</xdr:row>
      <xdr:rowOff>146137</xdr:rowOff>
    </xdr:to>
    <xdr:sp macro="" textlink="">
      <xdr:nvSpPr>
        <xdr:cNvPr id="2" name="Rectangle 1">
          <a:extLst>
            <a:ext uri="{FF2B5EF4-FFF2-40B4-BE49-F238E27FC236}">
              <a16:creationId xmlns:a16="http://schemas.microsoft.com/office/drawing/2014/main" id="{27DACB48-23C4-40BE-80FA-83E08CE4D1F8}"/>
            </a:ext>
          </a:extLst>
        </xdr:cNvPr>
        <xdr:cNvSpPr/>
      </xdr:nvSpPr>
      <xdr:spPr>
        <a:xfrm>
          <a:off x="0" y="0"/>
          <a:ext cx="25106039" cy="13261773"/>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85618</xdr:colOff>
      <xdr:row>16</xdr:row>
      <xdr:rowOff>146550</xdr:rowOff>
    </xdr:from>
    <xdr:to>
      <xdr:col>3</xdr:col>
      <xdr:colOff>239062</xdr:colOff>
      <xdr:row>27</xdr:row>
      <xdr:rowOff>34871</xdr:rowOff>
    </xdr:to>
    <mc:AlternateContent xmlns:mc="http://schemas.openxmlformats.org/markup-compatibility/2006" xmlns:a14="http://schemas.microsoft.com/office/drawing/2010/main">
      <mc:Choice Requires="a14">
        <xdr:graphicFrame macro="">
          <xdr:nvGraphicFramePr>
            <xdr:cNvPr id="9" name="Course  2">
              <a:extLst>
                <a:ext uri="{FF2B5EF4-FFF2-40B4-BE49-F238E27FC236}">
                  <a16:creationId xmlns:a16="http://schemas.microsoft.com/office/drawing/2014/main" id="{C2778E29-80B2-4E11-9856-52F06EE43D54}"/>
                </a:ext>
              </a:extLst>
            </xdr:cNvPr>
            <xdr:cNvGraphicFramePr/>
          </xdr:nvGraphicFramePr>
          <xdr:xfrm>
            <a:off x="0" y="0"/>
            <a:ext cx="0" cy="0"/>
          </xdr:xfrm>
          <a:graphic>
            <a:graphicData uri="http://schemas.microsoft.com/office/drawing/2010/slicer">
              <sle:slicer xmlns:sle="http://schemas.microsoft.com/office/drawing/2010/slicer" name="Course  2"/>
            </a:graphicData>
          </a:graphic>
        </xdr:graphicFrame>
      </mc:Choice>
      <mc:Fallback xmlns="">
        <xdr:sp macro="" textlink="">
          <xdr:nvSpPr>
            <xdr:cNvPr id="0" name=""/>
            <xdr:cNvSpPr>
              <a:spLocks noTextEdit="1"/>
            </xdr:cNvSpPr>
          </xdr:nvSpPr>
          <xdr:spPr>
            <a:xfrm>
              <a:off x="85618" y="3102186"/>
              <a:ext cx="1977626" cy="1920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68495</xdr:colOff>
      <xdr:row>5</xdr:row>
      <xdr:rowOff>132028</xdr:rowOff>
    </xdr:from>
    <xdr:to>
      <xdr:col>3</xdr:col>
      <xdr:colOff>235508</xdr:colOff>
      <xdr:row>16</xdr:row>
      <xdr:rowOff>102531</xdr:rowOff>
    </xdr:to>
    <mc:AlternateContent xmlns:mc="http://schemas.openxmlformats.org/markup-compatibility/2006" xmlns:a14="http://schemas.microsoft.com/office/drawing/2010/main">
      <mc:Choice Requires="a14">
        <xdr:graphicFrame macro="">
          <xdr:nvGraphicFramePr>
            <xdr:cNvPr id="10" name="Lead Source 2">
              <a:extLst>
                <a:ext uri="{FF2B5EF4-FFF2-40B4-BE49-F238E27FC236}">
                  <a16:creationId xmlns:a16="http://schemas.microsoft.com/office/drawing/2014/main" id="{0A2F1E90-0BFC-43FD-8366-763DCAB024C3}"/>
                </a:ext>
              </a:extLst>
            </xdr:cNvPr>
            <xdr:cNvGraphicFramePr/>
          </xdr:nvGraphicFramePr>
          <xdr:xfrm>
            <a:off x="0" y="0"/>
            <a:ext cx="0" cy="0"/>
          </xdr:xfrm>
          <a:graphic>
            <a:graphicData uri="http://schemas.microsoft.com/office/drawing/2010/slicer">
              <sle:slicer xmlns:sle="http://schemas.microsoft.com/office/drawing/2010/slicer" name="Lead Source 2"/>
            </a:graphicData>
          </a:graphic>
        </xdr:graphicFrame>
      </mc:Choice>
      <mc:Fallback xmlns="">
        <xdr:sp macro="" textlink="">
          <xdr:nvSpPr>
            <xdr:cNvPr id="0" name=""/>
            <xdr:cNvSpPr>
              <a:spLocks noTextEdit="1"/>
            </xdr:cNvSpPr>
          </xdr:nvSpPr>
          <xdr:spPr>
            <a:xfrm>
              <a:off x="68495" y="1055664"/>
              <a:ext cx="1991195" cy="2002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85617</xdr:colOff>
      <xdr:row>27</xdr:row>
      <xdr:rowOff>83717</xdr:rowOff>
    </xdr:from>
    <xdr:to>
      <xdr:col>3</xdr:col>
      <xdr:colOff>236660</xdr:colOff>
      <xdr:row>37</xdr:row>
      <xdr:rowOff>137044</xdr:rowOff>
    </xdr:to>
    <mc:AlternateContent xmlns:mc="http://schemas.openxmlformats.org/markup-compatibility/2006" xmlns:a14="http://schemas.microsoft.com/office/drawing/2010/main">
      <mc:Choice Requires="a14">
        <xdr:graphicFrame macro="">
          <xdr:nvGraphicFramePr>
            <xdr:cNvPr id="11" name="Month 3">
              <a:extLst>
                <a:ext uri="{FF2B5EF4-FFF2-40B4-BE49-F238E27FC236}">
                  <a16:creationId xmlns:a16="http://schemas.microsoft.com/office/drawing/2014/main" id="{4384AD5D-9ABB-4956-9BCC-7437564DD23A}"/>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85617" y="5071353"/>
              <a:ext cx="1975225" cy="190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265524</xdr:colOff>
      <xdr:row>5</xdr:row>
      <xdr:rowOff>121437</xdr:rowOff>
    </xdr:from>
    <xdr:to>
      <xdr:col>13</xdr:col>
      <xdr:colOff>77635</xdr:colOff>
      <xdr:row>19</xdr:row>
      <xdr:rowOff>152752</xdr:rowOff>
    </xdr:to>
    <xdr:graphicFrame macro="">
      <xdr:nvGraphicFramePr>
        <xdr:cNvPr id="16" name="Chart 15">
          <a:extLst>
            <a:ext uri="{FF2B5EF4-FFF2-40B4-BE49-F238E27FC236}">
              <a16:creationId xmlns:a16="http://schemas.microsoft.com/office/drawing/2014/main" id="{C9940B45-220B-47F8-AAE2-4696FDC14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273792</xdr:colOff>
      <xdr:row>20</xdr:row>
      <xdr:rowOff>18742</xdr:rowOff>
    </xdr:from>
    <xdr:to>
      <xdr:col>13</xdr:col>
      <xdr:colOff>85617</xdr:colOff>
      <xdr:row>37</xdr:row>
      <xdr:rowOff>136989</xdr:rowOff>
    </xdr:to>
    <xdr:graphicFrame macro="">
      <xdr:nvGraphicFramePr>
        <xdr:cNvPr id="17" name="Chart 16">
          <a:extLst>
            <a:ext uri="{FF2B5EF4-FFF2-40B4-BE49-F238E27FC236}">
              <a16:creationId xmlns:a16="http://schemas.microsoft.com/office/drawing/2014/main" id="{BFC11442-AC12-45D1-B035-9183CE91B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138767</xdr:colOff>
      <xdr:row>5</xdr:row>
      <xdr:rowOff>120660</xdr:rowOff>
    </xdr:from>
    <xdr:to>
      <xdr:col>22</xdr:col>
      <xdr:colOff>239730</xdr:colOff>
      <xdr:row>19</xdr:row>
      <xdr:rowOff>145551</xdr:rowOff>
    </xdr:to>
    <xdr:graphicFrame macro="">
      <xdr:nvGraphicFramePr>
        <xdr:cNvPr id="18" name="Chart 17">
          <a:extLst>
            <a:ext uri="{FF2B5EF4-FFF2-40B4-BE49-F238E27FC236}">
              <a16:creationId xmlns:a16="http://schemas.microsoft.com/office/drawing/2014/main" id="{0075D153-30F6-478E-92B0-E00B276A2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68496</xdr:colOff>
      <xdr:row>0</xdr:row>
      <xdr:rowOff>77055</xdr:rowOff>
    </xdr:from>
    <xdr:to>
      <xdr:col>5</xdr:col>
      <xdr:colOff>402406</xdr:colOff>
      <xdr:row>5</xdr:row>
      <xdr:rowOff>68493</xdr:rowOff>
    </xdr:to>
    <xdr:sp macro="" textlink="">
      <xdr:nvSpPr>
        <xdr:cNvPr id="20" name="Rectangle 19">
          <a:hlinkClick xmlns:r="http://schemas.openxmlformats.org/officeDocument/2006/relationships" r:id="rId4"/>
          <a:extLst>
            <a:ext uri="{FF2B5EF4-FFF2-40B4-BE49-F238E27FC236}">
              <a16:creationId xmlns:a16="http://schemas.microsoft.com/office/drawing/2014/main" id="{49797AD8-96AE-B32C-D5F5-803E7745BC44}"/>
            </a:ext>
          </a:extLst>
        </xdr:cNvPr>
        <xdr:cNvSpPr/>
      </xdr:nvSpPr>
      <xdr:spPr>
        <a:xfrm>
          <a:off x="68496" y="77055"/>
          <a:ext cx="3373348" cy="890427"/>
        </a:xfrm>
        <a:prstGeom prst="rect">
          <a:avLst/>
        </a:prstGeom>
        <a:solidFill>
          <a:schemeClr val="accent4"/>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a:solidFill>
                <a:schemeClr val="tx1"/>
              </a:solidFill>
            </a:rPr>
            <a:t>Business Overview</a:t>
          </a:r>
        </a:p>
      </xdr:txBody>
    </xdr:sp>
    <xdr:clientData/>
  </xdr:twoCellAnchor>
  <xdr:twoCellAnchor>
    <xdr:from>
      <xdr:col>5</xdr:col>
      <xdr:colOff>443504</xdr:colOff>
      <xdr:row>0</xdr:row>
      <xdr:rowOff>75344</xdr:rowOff>
    </xdr:from>
    <xdr:to>
      <xdr:col>8</xdr:col>
      <xdr:colOff>453777</xdr:colOff>
      <xdr:row>5</xdr:row>
      <xdr:rowOff>68495</xdr:rowOff>
    </xdr:to>
    <xdr:sp macro="" textlink="">
      <xdr:nvSpPr>
        <xdr:cNvPr id="23" name="Rectangle 22">
          <a:extLst>
            <a:ext uri="{FF2B5EF4-FFF2-40B4-BE49-F238E27FC236}">
              <a16:creationId xmlns:a16="http://schemas.microsoft.com/office/drawing/2014/main" id="{6219CE98-BCC2-4B7B-A413-76575C2B3BE4}"/>
            </a:ext>
          </a:extLst>
        </xdr:cNvPr>
        <xdr:cNvSpPr/>
      </xdr:nvSpPr>
      <xdr:spPr>
        <a:xfrm>
          <a:off x="3482942" y="75344"/>
          <a:ext cx="2090790" cy="892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Total</a:t>
          </a:r>
          <a:r>
            <a:rPr lang="en-IN" sz="2000" b="1" baseline="0">
              <a:solidFill>
                <a:schemeClr val="lt1"/>
              </a:solidFill>
              <a:effectLst/>
              <a:latin typeface="+mn-lt"/>
              <a:ea typeface="+mn-ea"/>
              <a:cs typeface="+mn-cs"/>
            </a:rPr>
            <a:t> enrollments</a:t>
          </a:r>
          <a:endParaRPr lang="en-IN" sz="2000">
            <a:effectLst/>
          </a:endParaRPr>
        </a:p>
        <a:p>
          <a:pPr algn="ctr"/>
          <a:endParaRPr lang="en-IN" sz="2000"/>
        </a:p>
      </xdr:txBody>
    </xdr:sp>
    <xdr:clientData/>
  </xdr:twoCellAnchor>
  <xdr:twoCellAnchor>
    <xdr:from>
      <xdr:col>5</xdr:col>
      <xdr:colOff>529120</xdr:colOff>
      <xdr:row>2</xdr:row>
      <xdr:rowOff>178085</xdr:rowOff>
    </xdr:from>
    <xdr:to>
      <xdr:col>8</xdr:col>
      <xdr:colOff>342473</xdr:colOff>
      <xdr:row>4</xdr:row>
      <xdr:rowOff>119735</xdr:rowOff>
    </xdr:to>
    <xdr:sp macro="" textlink="BussOverview!E13">
      <xdr:nvSpPr>
        <xdr:cNvPr id="24" name="TextBox 23">
          <a:extLst>
            <a:ext uri="{FF2B5EF4-FFF2-40B4-BE49-F238E27FC236}">
              <a16:creationId xmlns:a16="http://schemas.microsoft.com/office/drawing/2014/main" id="{940A648D-B3A4-41CA-AFF8-989197BF000F}"/>
            </a:ext>
          </a:extLst>
        </xdr:cNvPr>
        <xdr:cNvSpPr txBox="1"/>
      </xdr:nvSpPr>
      <xdr:spPr>
        <a:xfrm>
          <a:off x="3568558" y="537681"/>
          <a:ext cx="1893870" cy="30124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EBAC77-3E0F-41CF-A2B4-061748D9E582}" type="TxLink">
            <a:rPr lang="en-US" sz="2000" b="1" i="0" u="none" strike="noStrike">
              <a:solidFill>
                <a:srgbClr val="000000"/>
              </a:solidFill>
              <a:latin typeface="Calibri"/>
              <a:ea typeface="Calibri"/>
              <a:cs typeface="Calibri"/>
            </a:rPr>
            <a:pPr algn="ctr"/>
            <a:t>2499</a:t>
          </a:fld>
          <a:endParaRPr lang="en-IN" sz="4000" b="1"/>
        </a:p>
      </xdr:txBody>
    </xdr:sp>
    <xdr:clientData/>
  </xdr:twoCellAnchor>
  <xdr:twoCellAnchor>
    <xdr:from>
      <xdr:col>8</xdr:col>
      <xdr:colOff>493161</xdr:colOff>
      <xdr:row>0</xdr:row>
      <xdr:rowOff>65068</xdr:rowOff>
    </xdr:from>
    <xdr:to>
      <xdr:col>12</xdr:col>
      <xdr:colOff>152400</xdr:colOff>
      <xdr:row>5</xdr:row>
      <xdr:rowOff>51370</xdr:rowOff>
    </xdr:to>
    <xdr:sp macro="" textlink="">
      <xdr:nvSpPr>
        <xdr:cNvPr id="29" name="Rectangle 28">
          <a:extLst>
            <a:ext uri="{FF2B5EF4-FFF2-40B4-BE49-F238E27FC236}">
              <a16:creationId xmlns:a16="http://schemas.microsoft.com/office/drawing/2014/main" id="{D6E18E16-EE43-43CD-B410-94277B9AED34}"/>
            </a:ext>
          </a:extLst>
        </xdr:cNvPr>
        <xdr:cNvSpPr/>
      </xdr:nvSpPr>
      <xdr:spPr>
        <a:xfrm>
          <a:off x="5613116" y="65068"/>
          <a:ext cx="2090790" cy="88529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Total</a:t>
          </a:r>
          <a:r>
            <a:rPr lang="en-IN" sz="2000" b="1" baseline="0">
              <a:solidFill>
                <a:schemeClr val="lt1"/>
              </a:solidFill>
              <a:effectLst/>
              <a:latin typeface="+mn-lt"/>
              <a:ea typeface="+mn-ea"/>
              <a:cs typeface="+mn-cs"/>
            </a:rPr>
            <a:t> revenue</a:t>
          </a:r>
          <a:endParaRPr lang="en-IN" sz="2000">
            <a:effectLst/>
          </a:endParaRPr>
        </a:p>
        <a:p>
          <a:pPr algn="ctr"/>
          <a:endParaRPr lang="en-IN" sz="2000"/>
        </a:p>
      </xdr:txBody>
    </xdr:sp>
    <xdr:clientData/>
  </xdr:twoCellAnchor>
  <xdr:twoCellAnchor>
    <xdr:from>
      <xdr:col>8</xdr:col>
      <xdr:colOff>589053</xdr:colOff>
      <xdr:row>3</xdr:row>
      <xdr:rowOff>3846</xdr:rowOff>
    </xdr:from>
    <xdr:to>
      <xdr:col>12</xdr:col>
      <xdr:colOff>25686</xdr:colOff>
      <xdr:row>4</xdr:row>
      <xdr:rowOff>122474</xdr:rowOff>
    </xdr:to>
    <xdr:sp macro="" textlink="BussOverview!F13">
      <xdr:nvSpPr>
        <xdr:cNvPr id="30" name="TextBox 29">
          <a:extLst>
            <a:ext uri="{FF2B5EF4-FFF2-40B4-BE49-F238E27FC236}">
              <a16:creationId xmlns:a16="http://schemas.microsoft.com/office/drawing/2014/main" id="{5387E754-CC4D-434C-9481-11910320131C}"/>
            </a:ext>
          </a:extLst>
        </xdr:cNvPr>
        <xdr:cNvSpPr txBox="1"/>
      </xdr:nvSpPr>
      <xdr:spPr>
        <a:xfrm>
          <a:off x="5709008" y="543239"/>
          <a:ext cx="1868184" cy="29842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4A645C-BF15-4AEE-B38D-9202A6EBB747}" type="TxLink">
            <a:rPr lang="en-US" sz="2000" b="1" i="0" u="none" strike="noStrike">
              <a:solidFill>
                <a:srgbClr val="000000"/>
              </a:solidFill>
              <a:latin typeface="Calibri"/>
              <a:ea typeface="Calibri"/>
              <a:cs typeface="Calibri"/>
            </a:rPr>
            <a:pPr algn="ctr"/>
            <a:t>202057238</a:t>
          </a:fld>
          <a:endParaRPr lang="en-IN" sz="4000" b="1"/>
        </a:p>
      </xdr:txBody>
    </xdr:sp>
    <xdr:clientData/>
  </xdr:twoCellAnchor>
  <xdr:twoCellAnchor>
    <xdr:from>
      <xdr:col>12</xdr:col>
      <xdr:colOff>200348</xdr:colOff>
      <xdr:row>0</xdr:row>
      <xdr:rowOff>71919</xdr:rowOff>
    </xdr:from>
    <xdr:to>
      <xdr:col>15</xdr:col>
      <xdr:colOff>467475</xdr:colOff>
      <xdr:row>5</xdr:row>
      <xdr:rowOff>59934</xdr:rowOff>
    </xdr:to>
    <xdr:sp macro="" textlink="">
      <xdr:nvSpPr>
        <xdr:cNvPr id="31" name="Rectangle 30">
          <a:extLst>
            <a:ext uri="{FF2B5EF4-FFF2-40B4-BE49-F238E27FC236}">
              <a16:creationId xmlns:a16="http://schemas.microsoft.com/office/drawing/2014/main" id="{A2D917FF-E2B5-476E-9A6D-2187EF002CE9}"/>
            </a:ext>
          </a:extLst>
        </xdr:cNvPr>
        <xdr:cNvSpPr/>
      </xdr:nvSpPr>
      <xdr:spPr>
        <a:xfrm>
          <a:off x="7751854" y="71919"/>
          <a:ext cx="2090790" cy="8870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baseline="0">
              <a:solidFill>
                <a:schemeClr val="lt1"/>
              </a:solidFill>
              <a:effectLst/>
              <a:latin typeface="+mn-lt"/>
              <a:ea typeface="+mn-ea"/>
              <a:cs typeface="+mn-cs"/>
            </a:rPr>
            <a:t>Avg rvenue</a:t>
          </a:r>
          <a:endParaRPr lang="en-IN" sz="2000">
            <a:effectLst/>
          </a:endParaRPr>
        </a:p>
        <a:p>
          <a:pPr algn="ctr"/>
          <a:endParaRPr lang="en-IN" sz="2000"/>
        </a:p>
      </xdr:txBody>
    </xdr:sp>
    <xdr:clientData/>
  </xdr:twoCellAnchor>
  <xdr:twoCellAnchor>
    <xdr:from>
      <xdr:col>12</xdr:col>
      <xdr:colOff>332976</xdr:colOff>
      <xdr:row>2</xdr:row>
      <xdr:rowOff>167715</xdr:rowOff>
    </xdr:from>
    <xdr:to>
      <xdr:col>15</xdr:col>
      <xdr:colOff>333911</xdr:colOff>
      <xdr:row>4</xdr:row>
      <xdr:rowOff>132224</xdr:rowOff>
    </xdr:to>
    <xdr:sp macro="" textlink="BussOverview!G13">
      <xdr:nvSpPr>
        <xdr:cNvPr id="32" name="TextBox 31">
          <a:extLst>
            <a:ext uri="{FF2B5EF4-FFF2-40B4-BE49-F238E27FC236}">
              <a16:creationId xmlns:a16="http://schemas.microsoft.com/office/drawing/2014/main" id="{EE5B74F8-DF1F-4872-A897-DDDC58724D93}"/>
            </a:ext>
          </a:extLst>
        </xdr:cNvPr>
        <xdr:cNvSpPr txBox="1"/>
      </xdr:nvSpPr>
      <xdr:spPr>
        <a:xfrm>
          <a:off x="7884482" y="527311"/>
          <a:ext cx="1824598" cy="32410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D5B973-AEB0-4D24-B650-08E23C5A0E4B}" type="TxLink">
            <a:rPr lang="en-US" sz="2000" b="1" i="0" u="none" strike="noStrike">
              <a:solidFill>
                <a:srgbClr val="000000"/>
              </a:solidFill>
              <a:latin typeface="Calibri"/>
              <a:ea typeface="Calibri"/>
              <a:cs typeface="Calibri"/>
            </a:rPr>
            <a:pPr algn="ctr"/>
            <a:t>80855.23729</a:t>
          </a:fld>
          <a:endParaRPr lang="en-IN" sz="4000" b="1"/>
        </a:p>
      </xdr:txBody>
    </xdr:sp>
    <xdr:clientData/>
  </xdr:twoCellAnchor>
  <xdr:twoCellAnchor>
    <xdr:from>
      <xdr:col>13</xdr:col>
      <xdr:colOff>145551</xdr:colOff>
      <xdr:row>20</xdr:row>
      <xdr:rowOff>17123</xdr:rowOff>
    </xdr:from>
    <xdr:to>
      <xdr:col>22</xdr:col>
      <xdr:colOff>239729</xdr:colOff>
      <xdr:row>37</xdr:row>
      <xdr:rowOff>119864</xdr:rowOff>
    </xdr:to>
    <xdr:graphicFrame macro="">
      <xdr:nvGraphicFramePr>
        <xdr:cNvPr id="33" name="Chart 32">
          <a:extLst>
            <a:ext uri="{FF2B5EF4-FFF2-40B4-BE49-F238E27FC236}">
              <a16:creationId xmlns:a16="http://schemas.microsoft.com/office/drawing/2014/main" id="{0D30412D-98F3-4009-8A57-AA77F8BC3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507999</xdr:colOff>
      <xdr:row>0</xdr:row>
      <xdr:rowOff>69272</xdr:rowOff>
    </xdr:from>
    <xdr:to>
      <xdr:col>22</xdr:col>
      <xdr:colOff>230908</xdr:colOff>
      <xdr:row>5</xdr:row>
      <xdr:rowOff>30787</xdr:rowOff>
    </xdr:to>
    <mc:AlternateContent xmlns:mc="http://schemas.openxmlformats.org/markup-compatibility/2006" xmlns:tsle="http://schemas.microsoft.com/office/drawing/2012/timeslicer">
      <mc:Choice Requires="tsle">
        <xdr:graphicFrame macro="">
          <xdr:nvGraphicFramePr>
            <xdr:cNvPr id="35" name="Enrollment date 1">
              <a:extLst>
                <a:ext uri="{FF2B5EF4-FFF2-40B4-BE49-F238E27FC236}">
                  <a16:creationId xmlns:a16="http://schemas.microsoft.com/office/drawing/2014/main" id="{8BA5D909-EB22-4C9D-99F3-2EA7F421F8A5}"/>
                </a:ext>
              </a:extLst>
            </xdr:cNvPr>
            <xdr:cNvGraphicFramePr/>
          </xdr:nvGraphicFramePr>
          <xdr:xfrm>
            <a:off x="0" y="0"/>
            <a:ext cx="0" cy="0"/>
          </xdr:xfrm>
          <a:graphic>
            <a:graphicData uri="http://schemas.microsoft.com/office/drawing/2012/timeslicer">
              <tsle:timeslicer name="Enrollment date 1"/>
            </a:graphicData>
          </a:graphic>
        </xdr:graphicFrame>
      </mc:Choice>
      <mc:Fallback xmlns="">
        <xdr:sp macro="" textlink="">
          <xdr:nvSpPr>
            <xdr:cNvPr id="0" name=""/>
            <xdr:cNvSpPr>
              <a:spLocks noTextEdit="1"/>
            </xdr:cNvSpPr>
          </xdr:nvSpPr>
          <xdr:spPr>
            <a:xfrm>
              <a:off x="9890605" y="69272"/>
              <a:ext cx="3979333" cy="8851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40</xdr:col>
      <xdr:colOff>521918</xdr:colOff>
      <xdr:row>71</xdr:row>
      <xdr:rowOff>146137</xdr:rowOff>
    </xdr:to>
    <xdr:sp macro="" textlink="">
      <xdr:nvSpPr>
        <xdr:cNvPr id="2" name="Rectangle 1">
          <a:extLst>
            <a:ext uri="{FF2B5EF4-FFF2-40B4-BE49-F238E27FC236}">
              <a16:creationId xmlns:a16="http://schemas.microsoft.com/office/drawing/2014/main" id="{D5AC4014-F032-4C50-BE05-E4422574A903}"/>
            </a:ext>
          </a:extLst>
        </xdr:cNvPr>
        <xdr:cNvSpPr/>
      </xdr:nvSpPr>
      <xdr:spPr>
        <a:xfrm>
          <a:off x="0" y="0"/>
          <a:ext cx="25164998" cy="13130617"/>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82990</xdr:colOff>
      <xdr:row>16</xdr:row>
      <xdr:rowOff>123916</xdr:rowOff>
    </xdr:from>
    <xdr:to>
      <xdr:col>3</xdr:col>
      <xdr:colOff>239063</xdr:colOff>
      <xdr:row>27</xdr:row>
      <xdr:rowOff>12237</xdr:rowOff>
    </xdr:to>
    <mc:AlternateContent xmlns:mc="http://schemas.openxmlformats.org/markup-compatibility/2006" xmlns:a14="http://schemas.microsoft.com/office/drawing/2010/main">
      <mc:Choice Requires="a14">
        <xdr:graphicFrame macro="">
          <xdr:nvGraphicFramePr>
            <xdr:cNvPr id="3" name="Course  3">
              <a:extLst>
                <a:ext uri="{FF2B5EF4-FFF2-40B4-BE49-F238E27FC236}">
                  <a16:creationId xmlns:a16="http://schemas.microsoft.com/office/drawing/2014/main" id="{617CAFF3-285C-4882-906B-6CB34AB6FF2E}"/>
                </a:ext>
              </a:extLst>
            </xdr:cNvPr>
            <xdr:cNvGraphicFramePr/>
          </xdr:nvGraphicFramePr>
          <xdr:xfrm>
            <a:off x="0" y="0"/>
            <a:ext cx="0" cy="0"/>
          </xdr:xfrm>
          <a:graphic>
            <a:graphicData uri="http://schemas.microsoft.com/office/drawing/2010/slicer">
              <sle:slicer xmlns:sle="http://schemas.microsoft.com/office/drawing/2010/slicer" name="Course  3"/>
            </a:graphicData>
          </a:graphic>
        </xdr:graphicFrame>
      </mc:Choice>
      <mc:Fallback xmlns="">
        <xdr:sp macro="" textlink="">
          <xdr:nvSpPr>
            <xdr:cNvPr id="0" name=""/>
            <xdr:cNvSpPr>
              <a:spLocks noTextEdit="1"/>
            </xdr:cNvSpPr>
          </xdr:nvSpPr>
          <xdr:spPr>
            <a:xfrm>
              <a:off x="82990" y="3049996"/>
              <a:ext cx="1984873" cy="1900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68495</xdr:colOff>
      <xdr:row>5</xdr:row>
      <xdr:rowOff>116939</xdr:rowOff>
    </xdr:from>
    <xdr:to>
      <xdr:col>3</xdr:col>
      <xdr:colOff>235508</xdr:colOff>
      <xdr:row>16</xdr:row>
      <xdr:rowOff>87442</xdr:rowOff>
    </xdr:to>
    <mc:AlternateContent xmlns:mc="http://schemas.openxmlformats.org/markup-compatibility/2006" xmlns:a14="http://schemas.microsoft.com/office/drawing/2010/main">
      <mc:Choice Requires="a14">
        <xdr:graphicFrame macro="">
          <xdr:nvGraphicFramePr>
            <xdr:cNvPr id="4" name="Lead Source 3">
              <a:extLst>
                <a:ext uri="{FF2B5EF4-FFF2-40B4-BE49-F238E27FC236}">
                  <a16:creationId xmlns:a16="http://schemas.microsoft.com/office/drawing/2014/main" id="{952FE1C9-7873-4FDD-B98B-31E6DB7BC59F}"/>
                </a:ext>
              </a:extLst>
            </xdr:cNvPr>
            <xdr:cNvGraphicFramePr/>
          </xdr:nvGraphicFramePr>
          <xdr:xfrm>
            <a:off x="0" y="0"/>
            <a:ext cx="0" cy="0"/>
          </xdr:xfrm>
          <a:graphic>
            <a:graphicData uri="http://schemas.microsoft.com/office/drawing/2010/slicer">
              <sle:slicer xmlns:sle="http://schemas.microsoft.com/office/drawing/2010/slicer" name="Lead Source 3"/>
            </a:graphicData>
          </a:graphic>
        </xdr:graphicFrame>
      </mc:Choice>
      <mc:Fallback xmlns="">
        <xdr:sp macro="" textlink="">
          <xdr:nvSpPr>
            <xdr:cNvPr id="0" name=""/>
            <xdr:cNvSpPr>
              <a:spLocks noTextEdit="1"/>
            </xdr:cNvSpPr>
          </xdr:nvSpPr>
          <xdr:spPr>
            <a:xfrm>
              <a:off x="68495" y="1031339"/>
              <a:ext cx="1995813" cy="1982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93162</xdr:colOff>
      <xdr:row>27</xdr:row>
      <xdr:rowOff>45994</xdr:rowOff>
    </xdr:from>
    <xdr:to>
      <xdr:col>3</xdr:col>
      <xdr:colOff>244205</xdr:colOff>
      <xdr:row>37</xdr:row>
      <xdr:rowOff>99321</xdr:rowOff>
    </xdr:to>
    <mc:AlternateContent xmlns:mc="http://schemas.openxmlformats.org/markup-compatibility/2006" xmlns:a14="http://schemas.microsoft.com/office/drawing/2010/main">
      <mc:Choice Requires="a14">
        <xdr:graphicFrame macro="">
          <xdr:nvGraphicFramePr>
            <xdr:cNvPr id="5" name="Month 4">
              <a:extLst>
                <a:ext uri="{FF2B5EF4-FFF2-40B4-BE49-F238E27FC236}">
                  <a16:creationId xmlns:a16="http://schemas.microsoft.com/office/drawing/2014/main" id="{ABE6B0A1-C0DC-479C-BAEC-55CBB1BEE1AE}"/>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93162" y="4983754"/>
              <a:ext cx="1979843" cy="1882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315457</xdr:colOff>
      <xdr:row>5</xdr:row>
      <xdr:rowOff>112365</xdr:rowOff>
    </xdr:from>
    <xdr:to>
      <xdr:col>22</xdr:col>
      <xdr:colOff>182880</xdr:colOff>
      <xdr:row>22</xdr:row>
      <xdr:rowOff>113338</xdr:rowOff>
    </xdr:to>
    <xdr:graphicFrame macro="">
      <xdr:nvGraphicFramePr>
        <xdr:cNvPr id="8" name="Chart 7">
          <a:extLst>
            <a:ext uri="{FF2B5EF4-FFF2-40B4-BE49-F238E27FC236}">
              <a16:creationId xmlns:a16="http://schemas.microsoft.com/office/drawing/2014/main" id="{4CD2EAAB-81A6-4838-97D6-F9A3E03E1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133371</xdr:colOff>
      <xdr:row>22</xdr:row>
      <xdr:rowOff>176530</xdr:rowOff>
    </xdr:from>
    <xdr:to>
      <xdr:col>18</xdr:col>
      <xdr:colOff>42808</xdr:colOff>
      <xdr:row>37</xdr:row>
      <xdr:rowOff>166091</xdr:rowOff>
    </xdr:to>
    <xdr:graphicFrame macro="">
      <xdr:nvGraphicFramePr>
        <xdr:cNvPr id="9" name="Chart 8">
          <a:extLst>
            <a:ext uri="{FF2B5EF4-FFF2-40B4-BE49-F238E27FC236}">
              <a16:creationId xmlns:a16="http://schemas.microsoft.com/office/drawing/2014/main" id="{95CB4532-72D7-4481-89B4-520418F61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68496</xdr:colOff>
      <xdr:row>0</xdr:row>
      <xdr:rowOff>77055</xdr:rowOff>
    </xdr:from>
    <xdr:to>
      <xdr:col>5</xdr:col>
      <xdr:colOff>402406</xdr:colOff>
      <xdr:row>5</xdr:row>
      <xdr:rowOff>68493</xdr:rowOff>
    </xdr:to>
    <xdr:sp macro="" textlink="">
      <xdr:nvSpPr>
        <xdr:cNvPr id="13" name="Rectangle 12">
          <a:hlinkClick xmlns:r="http://schemas.openxmlformats.org/officeDocument/2006/relationships" r:id="rId3"/>
          <a:extLst>
            <a:ext uri="{FF2B5EF4-FFF2-40B4-BE49-F238E27FC236}">
              <a16:creationId xmlns:a16="http://schemas.microsoft.com/office/drawing/2014/main" id="{1F690258-193D-476F-93FD-BCB83A5B60F3}"/>
            </a:ext>
          </a:extLst>
        </xdr:cNvPr>
        <xdr:cNvSpPr/>
      </xdr:nvSpPr>
      <xdr:spPr>
        <a:xfrm>
          <a:off x="68496" y="77055"/>
          <a:ext cx="3381910" cy="905838"/>
        </a:xfrm>
        <a:prstGeom prst="rect">
          <a:avLst/>
        </a:prstGeom>
        <a:solidFill>
          <a:schemeClr val="accent4"/>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Marketing</a:t>
          </a:r>
          <a:r>
            <a:rPr lang="en-IN" sz="2400" b="1" baseline="0">
              <a:solidFill>
                <a:schemeClr val="tx1"/>
              </a:solidFill>
            </a:rPr>
            <a:t> and course insights</a:t>
          </a:r>
          <a:endParaRPr lang="en-IN" sz="2400" b="1">
            <a:solidFill>
              <a:schemeClr val="tx1"/>
            </a:solidFill>
          </a:endParaRPr>
        </a:p>
      </xdr:txBody>
    </xdr:sp>
    <xdr:clientData/>
  </xdr:twoCellAnchor>
  <xdr:twoCellAnchor>
    <xdr:from>
      <xdr:col>5</xdr:col>
      <xdr:colOff>443504</xdr:colOff>
      <xdr:row>0</xdr:row>
      <xdr:rowOff>75344</xdr:rowOff>
    </xdr:from>
    <xdr:to>
      <xdr:col>8</xdr:col>
      <xdr:colOff>453777</xdr:colOff>
      <xdr:row>5</xdr:row>
      <xdr:rowOff>68495</xdr:rowOff>
    </xdr:to>
    <xdr:sp macro="" textlink="">
      <xdr:nvSpPr>
        <xdr:cNvPr id="14" name="Rectangle 13">
          <a:extLst>
            <a:ext uri="{FF2B5EF4-FFF2-40B4-BE49-F238E27FC236}">
              <a16:creationId xmlns:a16="http://schemas.microsoft.com/office/drawing/2014/main" id="{EA98B1AE-FD66-4409-9871-1D3A4B1C8745}"/>
            </a:ext>
          </a:extLst>
        </xdr:cNvPr>
        <xdr:cNvSpPr/>
      </xdr:nvSpPr>
      <xdr:spPr>
        <a:xfrm>
          <a:off x="3491504" y="75344"/>
          <a:ext cx="2098153" cy="9075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Total</a:t>
          </a:r>
          <a:r>
            <a:rPr lang="en-IN" sz="2000" b="1" baseline="0">
              <a:solidFill>
                <a:schemeClr val="lt1"/>
              </a:solidFill>
              <a:effectLst/>
              <a:latin typeface="+mn-lt"/>
              <a:ea typeface="+mn-ea"/>
              <a:cs typeface="+mn-cs"/>
            </a:rPr>
            <a:t> enrollments</a:t>
          </a:r>
          <a:endParaRPr lang="en-IN" sz="2000">
            <a:effectLst/>
          </a:endParaRPr>
        </a:p>
        <a:p>
          <a:pPr algn="ctr"/>
          <a:endParaRPr lang="en-IN" sz="2000"/>
        </a:p>
      </xdr:txBody>
    </xdr:sp>
    <xdr:clientData/>
  </xdr:twoCellAnchor>
  <xdr:twoCellAnchor>
    <xdr:from>
      <xdr:col>5</xdr:col>
      <xdr:colOff>529120</xdr:colOff>
      <xdr:row>2</xdr:row>
      <xdr:rowOff>178085</xdr:rowOff>
    </xdr:from>
    <xdr:to>
      <xdr:col>8</xdr:col>
      <xdr:colOff>342473</xdr:colOff>
      <xdr:row>4</xdr:row>
      <xdr:rowOff>119735</xdr:rowOff>
    </xdr:to>
    <xdr:sp macro="" textlink="'Mkt&amp;course'!E13">
      <xdr:nvSpPr>
        <xdr:cNvPr id="15" name="TextBox 14">
          <a:extLst>
            <a:ext uri="{FF2B5EF4-FFF2-40B4-BE49-F238E27FC236}">
              <a16:creationId xmlns:a16="http://schemas.microsoft.com/office/drawing/2014/main" id="{F4171447-BC8E-4207-91C0-17A24E6013D2}"/>
            </a:ext>
          </a:extLst>
        </xdr:cNvPr>
        <xdr:cNvSpPr txBox="1"/>
      </xdr:nvSpPr>
      <xdr:spPr>
        <a:xfrm>
          <a:off x="3577120" y="543845"/>
          <a:ext cx="1901233" cy="30741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EBAC77-3E0F-41CF-A2B4-061748D9E582}" type="TxLink">
            <a:rPr lang="en-US" sz="2000" b="1" i="0" u="none" strike="noStrike">
              <a:solidFill>
                <a:srgbClr val="000000"/>
              </a:solidFill>
              <a:latin typeface="Calibri"/>
              <a:ea typeface="Calibri"/>
              <a:cs typeface="Calibri"/>
            </a:rPr>
            <a:pPr algn="ctr"/>
            <a:t>2499</a:t>
          </a:fld>
          <a:endParaRPr lang="en-IN" sz="4000" b="1"/>
        </a:p>
      </xdr:txBody>
    </xdr:sp>
    <xdr:clientData/>
  </xdr:twoCellAnchor>
  <xdr:twoCellAnchor>
    <xdr:from>
      <xdr:col>8</xdr:col>
      <xdr:colOff>485616</xdr:colOff>
      <xdr:row>0</xdr:row>
      <xdr:rowOff>65068</xdr:rowOff>
    </xdr:from>
    <xdr:to>
      <xdr:col>12</xdr:col>
      <xdr:colOff>144855</xdr:colOff>
      <xdr:row>5</xdr:row>
      <xdr:rowOff>67901</xdr:rowOff>
    </xdr:to>
    <xdr:sp macro="" textlink="">
      <xdr:nvSpPr>
        <xdr:cNvPr id="16" name="Rectangle 15">
          <a:extLst>
            <a:ext uri="{FF2B5EF4-FFF2-40B4-BE49-F238E27FC236}">
              <a16:creationId xmlns:a16="http://schemas.microsoft.com/office/drawing/2014/main" id="{4B4428A8-A637-4935-99B4-371DB89A32D9}"/>
            </a:ext>
          </a:extLst>
        </xdr:cNvPr>
        <xdr:cNvSpPr/>
      </xdr:nvSpPr>
      <xdr:spPr>
        <a:xfrm>
          <a:off x="5621496" y="65068"/>
          <a:ext cx="2097639" cy="9172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Total</a:t>
          </a:r>
          <a:r>
            <a:rPr lang="en-IN" sz="2000" b="1" baseline="0">
              <a:solidFill>
                <a:schemeClr val="lt1"/>
              </a:solidFill>
              <a:effectLst/>
              <a:latin typeface="+mn-lt"/>
              <a:ea typeface="+mn-ea"/>
              <a:cs typeface="+mn-cs"/>
            </a:rPr>
            <a:t> revenue</a:t>
          </a:r>
          <a:endParaRPr lang="en-IN" sz="2000">
            <a:effectLst/>
          </a:endParaRPr>
        </a:p>
        <a:p>
          <a:pPr algn="ctr"/>
          <a:endParaRPr lang="en-IN" sz="2000"/>
        </a:p>
      </xdr:txBody>
    </xdr:sp>
    <xdr:clientData/>
  </xdr:twoCellAnchor>
  <xdr:twoCellAnchor>
    <xdr:from>
      <xdr:col>8</xdr:col>
      <xdr:colOff>589053</xdr:colOff>
      <xdr:row>3</xdr:row>
      <xdr:rowOff>3846</xdr:rowOff>
    </xdr:from>
    <xdr:to>
      <xdr:col>12</xdr:col>
      <xdr:colOff>25686</xdr:colOff>
      <xdr:row>4</xdr:row>
      <xdr:rowOff>122474</xdr:rowOff>
    </xdr:to>
    <xdr:sp macro="" textlink="'Mkt&amp;course'!F13">
      <xdr:nvSpPr>
        <xdr:cNvPr id="17" name="TextBox 16">
          <a:extLst>
            <a:ext uri="{FF2B5EF4-FFF2-40B4-BE49-F238E27FC236}">
              <a16:creationId xmlns:a16="http://schemas.microsoft.com/office/drawing/2014/main" id="{9B1C6102-D43F-4DA4-A543-55CE2512FA2E}"/>
            </a:ext>
          </a:extLst>
        </xdr:cNvPr>
        <xdr:cNvSpPr txBox="1"/>
      </xdr:nvSpPr>
      <xdr:spPr>
        <a:xfrm>
          <a:off x="5724933" y="552486"/>
          <a:ext cx="1875033" cy="301508"/>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4A645C-BF15-4AEE-B38D-9202A6EBB747}" type="TxLink">
            <a:rPr lang="en-US" sz="2000" b="1" i="0" u="none" strike="noStrike">
              <a:solidFill>
                <a:srgbClr val="000000"/>
              </a:solidFill>
              <a:latin typeface="Calibri"/>
              <a:ea typeface="Calibri"/>
              <a:cs typeface="Calibri"/>
            </a:rPr>
            <a:pPr algn="ctr"/>
            <a:t>202057238</a:t>
          </a:fld>
          <a:endParaRPr lang="en-IN" sz="4000" b="1"/>
        </a:p>
      </xdr:txBody>
    </xdr:sp>
    <xdr:clientData/>
  </xdr:twoCellAnchor>
  <xdr:twoCellAnchor>
    <xdr:from>
      <xdr:col>12</xdr:col>
      <xdr:colOff>162626</xdr:colOff>
      <xdr:row>0</xdr:row>
      <xdr:rowOff>64450</xdr:rowOff>
    </xdr:from>
    <xdr:to>
      <xdr:col>15</xdr:col>
      <xdr:colOff>429753</xdr:colOff>
      <xdr:row>5</xdr:row>
      <xdr:rowOff>75521</xdr:rowOff>
    </xdr:to>
    <xdr:sp macro="" textlink="">
      <xdr:nvSpPr>
        <xdr:cNvPr id="18" name="Rectangle 17">
          <a:extLst>
            <a:ext uri="{FF2B5EF4-FFF2-40B4-BE49-F238E27FC236}">
              <a16:creationId xmlns:a16="http://schemas.microsoft.com/office/drawing/2014/main" id="{99FCAD67-78DE-41E1-9649-904079E940E4}"/>
            </a:ext>
          </a:extLst>
        </xdr:cNvPr>
        <xdr:cNvSpPr/>
      </xdr:nvSpPr>
      <xdr:spPr>
        <a:xfrm>
          <a:off x="7736906" y="64450"/>
          <a:ext cx="2095927" cy="9254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baseline="0">
              <a:solidFill>
                <a:schemeClr val="lt1"/>
              </a:solidFill>
              <a:effectLst/>
              <a:latin typeface="+mn-lt"/>
              <a:ea typeface="+mn-ea"/>
              <a:cs typeface="+mn-cs"/>
            </a:rPr>
            <a:t>Avg fee</a:t>
          </a:r>
          <a:endParaRPr lang="en-IN" sz="2000">
            <a:effectLst/>
          </a:endParaRPr>
        </a:p>
        <a:p>
          <a:pPr algn="ctr"/>
          <a:endParaRPr lang="en-IN" sz="2000"/>
        </a:p>
      </xdr:txBody>
    </xdr:sp>
    <xdr:clientData/>
  </xdr:twoCellAnchor>
  <xdr:twoCellAnchor>
    <xdr:from>
      <xdr:col>12</xdr:col>
      <xdr:colOff>332976</xdr:colOff>
      <xdr:row>2</xdr:row>
      <xdr:rowOff>167715</xdr:rowOff>
    </xdr:from>
    <xdr:to>
      <xdr:col>15</xdr:col>
      <xdr:colOff>333911</xdr:colOff>
      <xdr:row>4</xdr:row>
      <xdr:rowOff>132224</xdr:rowOff>
    </xdr:to>
    <xdr:sp macro="" textlink="'Mkt&amp;course'!G13">
      <xdr:nvSpPr>
        <xdr:cNvPr id="19" name="TextBox 18">
          <a:extLst>
            <a:ext uri="{FF2B5EF4-FFF2-40B4-BE49-F238E27FC236}">
              <a16:creationId xmlns:a16="http://schemas.microsoft.com/office/drawing/2014/main" id="{C751F3B1-23FA-4236-91C3-43B39CC1EB96}"/>
            </a:ext>
          </a:extLst>
        </xdr:cNvPr>
        <xdr:cNvSpPr txBox="1"/>
      </xdr:nvSpPr>
      <xdr:spPr>
        <a:xfrm>
          <a:off x="7907256" y="533475"/>
          <a:ext cx="1829735" cy="330269"/>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D5B973-AEB0-4D24-B650-08E23C5A0E4B}" type="TxLink">
            <a:rPr lang="en-US" sz="2000" b="1" i="0" u="none" strike="noStrike">
              <a:solidFill>
                <a:srgbClr val="000000"/>
              </a:solidFill>
              <a:latin typeface="Calibri"/>
              <a:ea typeface="Calibri"/>
              <a:cs typeface="Calibri"/>
            </a:rPr>
            <a:pPr algn="ctr"/>
            <a:t>80855.23729</a:t>
          </a:fld>
          <a:endParaRPr lang="en-IN" sz="4000" b="1"/>
        </a:p>
      </xdr:txBody>
    </xdr:sp>
    <xdr:clientData/>
  </xdr:twoCellAnchor>
  <xdr:twoCellAnchor>
    <xdr:from>
      <xdr:col>3</xdr:col>
      <xdr:colOff>274995</xdr:colOff>
      <xdr:row>5</xdr:row>
      <xdr:rowOff>120881</xdr:rowOff>
    </xdr:from>
    <xdr:to>
      <xdr:col>12</xdr:col>
      <xdr:colOff>266432</xdr:colOff>
      <xdr:row>22</xdr:row>
      <xdr:rowOff>120880</xdr:rowOff>
    </xdr:to>
    <xdr:graphicFrame macro="">
      <xdr:nvGraphicFramePr>
        <xdr:cNvPr id="21" name="Chart 20">
          <a:hlinkClick xmlns:r="http://schemas.openxmlformats.org/officeDocument/2006/relationships" r:id="rId4"/>
          <a:extLst>
            <a:ext uri="{FF2B5EF4-FFF2-40B4-BE49-F238E27FC236}">
              <a16:creationId xmlns:a16="http://schemas.microsoft.com/office/drawing/2014/main" id="{71338940-4585-4D09-ACFC-5AC674DF6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441960</xdr:colOff>
      <xdr:row>0</xdr:row>
      <xdr:rowOff>68580</xdr:rowOff>
    </xdr:from>
    <xdr:to>
      <xdr:col>22</xdr:col>
      <xdr:colOff>167640</xdr:colOff>
      <xdr:row>5</xdr:row>
      <xdr:rowOff>39331</xdr:rowOff>
    </xdr:to>
    <mc:AlternateContent xmlns:mc="http://schemas.openxmlformats.org/markup-compatibility/2006" xmlns:tsle="http://schemas.microsoft.com/office/drawing/2012/timeslicer">
      <mc:Choice Requires="tsle">
        <xdr:graphicFrame macro="">
          <xdr:nvGraphicFramePr>
            <xdr:cNvPr id="23" name="Enrollment date 3">
              <a:extLst>
                <a:ext uri="{FF2B5EF4-FFF2-40B4-BE49-F238E27FC236}">
                  <a16:creationId xmlns:a16="http://schemas.microsoft.com/office/drawing/2014/main" id="{6F4733AF-86FD-4794-8D68-AFF0BA8FACDE}"/>
                </a:ext>
              </a:extLst>
            </xdr:cNvPr>
            <xdr:cNvGraphicFramePr/>
          </xdr:nvGraphicFramePr>
          <xdr:xfrm>
            <a:off x="0" y="0"/>
            <a:ext cx="0" cy="0"/>
          </xdr:xfrm>
          <a:graphic>
            <a:graphicData uri="http://schemas.microsoft.com/office/drawing/2012/timeslicer">
              <tsle:timeslicer name="Enrollment date 3"/>
            </a:graphicData>
          </a:graphic>
        </xdr:graphicFrame>
      </mc:Choice>
      <mc:Fallback xmlns="">
        <xdr:sp macro="" textlink="">
          <xdr:nvSpPr>
            <xdr:cNvPr id="0" name=""/>
            <xdr:cNvSpPr>
              <a:spLocks noTextEdit="1"/>
            </xdr:cNvSpPr>
          </xdr:nvSpPr>
          <xdr:spPr>
            <a:xfrm>
              <a:off x="9845040" y="68580"/>
              <a:ext cx="3992880" cy="8851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441960</xdr:colOff>
      <xdr:row>2</xdr:row>
      <xdr:rowOff>144780</xdr:rowOff>
    </xdr:from>
    <xdr:to>
      <xdr:col>14</xdr:col>
      <xdr:colOff>441960</xdr:colOff>
      <xdr:row>16</xdr:row>
      <xdr:rowOff>68580</xdr:rowOff>
    </xdr:to>
    <mc:AlternateContent xmlns:mc="http://schemas.openxmlformats.org/markup-compatibility/2006" xmlns:a14="http://schemas.microsoft.com/office/drawing/2010/main">
      <mc:Choice Requires="a14">
        <xdr:graphicFrame macro="">
          <xdr:nvGraphicFramePr>
            <xdr:cNvPr id="4" name="Course ">
              <a:extLst>
                <a:ext uri="{FF2B5EF4-FFF2-40B4-BE49-F238E27FC236}">
                  <a16:creationId xmlns:a16="http://schemas.microsoft.com/office/drawing/2014/main" id="{16B2A96B-BF2D-6E3D-1190-066A6FEEABA1}"/>
                </a:ext>
              </a:extLst>
            </xdr:cNvPr>
            <xdr:cNvGraphicFramePr/>
          </xdr:nvGraphicFramePr>
          <xdr:xfrm>
            <a:off x="0" y="0"/>
            <a:ext cx="0" cy="0"/>
          </xdr:xfrm>
          <a:graphic>
            <a:graphicData uri="http://schemas.microsoft.com/office/drawing/2010/slicer">
              <sle:slicer xmlns:sle="http://schemas.microsoft.com/office/drawing/2010/slicer" name="Course "/>
            </a:graphicData>
          </a:graphic>
        </xdr:graphicFrame>
      </mc:Choice>
      <mc:Fallback xmlns="">
        <xdr:sp macro="" textlink="">
          <xdr:nvSpPr>
            <xdr:cNvPr id="0" name=""/>
            <xdr:cNvSpPr>
              <a:spLocks noTextEdit="1"/>
            </xdr:cNvSpPr>
          </xdr:nvSpPr>
          <xdr:spPr>
            <a:xfrm>
              <a:off x="8686800" y="510540"/>
              <a:ext cx="1828800" cy="248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xdr:colOff>
      <xdr:row>2</xdr:row>
      <xdr:rowOff>144780</xdr:rowOff>
    </xdr:from>
    <xdr:to>
      <xdr:col>11</xdr:col>
      <xdr:colOff>337732</xdr:colOff>
      <xdr:row>19</xdr:row>
      <xdr:rowOff>113997</xdr:rowOff>
    </xdr:to>
    <xdr:graphicFrame macro="">
      <xdr:nvGraphicFramePr>
        <xdr:cNvPr id="7" name="Chart 6">
          <a:extLst>
            <a:ext uri="{FF2B5EF4-FFF2-40B4-BE49-F238E27FC236}">
              <a16:creationId xmlns:a16="http://schemas.microsoft.com/office/drawing/2014/main" id="{365CDA12-BE53-468B-A8D2-56394AC89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121920</xdr:colOff>
      <xdr:row>3</xdr:row>
      <xdr:rowOff>7620</xdr:rowOff>
    </xdr:from>
    <xdr:to>
      <xdr:col>16</xdr:col>
      <xdr:colOff>121920</xdr:colOff>
      <xdr:row>16</xdr:row>
      <xdr:rowOff>97155</xdr:rowOff>
    </xdr:to>
    <mc:AlternateContent xmlns:mc="http://schemas.openxmlformats.org/markup-compatibility/2006" xmlns:a14="http://schemas.microsoft.com/office/drawing/2010/main">
      <mc:Choice Requires="a14">
        <xdr:graphicFrame macro="">
          <xdr:nvGraphicFramePr>
            <xdr:cNvPr id="3" name="Lead Source">
              <a:extLst>
                <a:ext uri="{FF2B5EF4-FFF2-40B4-BE49-F238E27FC236}">
                  <a16:creationId xmlns:a16="http://schemas.microsoft.com/office/drawing/2014/main" id="{B1EA31DA-BD6C-381D-1CF9-FD9D242C10D9}"/>
                </a:ext>
              </a:extLst>
            </xdr:cNvPr>
            <xdr:cNvGraphicFramePr/>
          </xdr:nvGraphicFramePr>
          <xdr:xfrm>
            <a:off x="0" y="0"/>
            <a:ext cx="0" cy="0"/>
          </xdr:xfrm>
          <a:graphic>
            <a:graphicData uri="http://schemas.microsoft.com/office/drawing/2010/slicer">
              <sle:slicer xmlns:sle="http://schemas.microsoft.com/office/drawing/2010/slicer" name="Lead Source"/>
            </a:graphicData>
          </a:graphic>
        </xdr:graphicFrame>
      </mc:Choice>
      <mc:Fallback xmlns="">
        <xdr:sp macro="" textlink="">
          <xdr:nvSpPr>
            <xdr:cNvPr id="0" name=""/>
            <xdr:cNvSpPr>
              <a:spLocks noTextEdit="1"/>
            </xdr:cNvSpPr>
          </xdr:nvSpPr>
          <xdr:spPr>
            <a:xfrm>
              <a:off x="9090660" y="556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99060</xdr:colOff>
      <xdr:row>3</xdr:row>
      <xdr:rowOff>7620</xdr:rowOff>
    </xdr:from>
    <xdr:to>
      <xdr:col>13</xdr:col>
      <xdr:colOff>25095</xdr:colOff>
      <xdr:row>17</xdr:row>
      <xdr:rowOff>152900</xdr:rowOff>
    </xdr:to>
    <xdr:graphicFrame macro="">
      <xdr:nvGraphicFramePr>
        <xdr:cNvPr id="4" name="Chart 3">
          <a:extLst>
            <a:ext uri="{FF2B5EF4-FFF2-40B4-BE49-F238E27FC236}">
              <a16:creationId xmlns:a16="http://schemas.microsoft.com/office/drawing/2014/main" id="{5946CB2A-FDF6-4067-9DC4-F00408B88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129540</xdr:colOff>
      <xdr:row>2</xdr:row>
      <xdr:rowOff>175260</xdr:rowOff>
    </xdr:from>
    <xdr:to>
      <xdr:col>12</xdr:col>
      <xdr:colOff>47284</xdr:colOff>
      <xdr:row>19</xdr:row>
      <xdr:rowOff>145451</xdr:rowOff>
    </xdr:to>
    <xdr:graphicFrame macro="">
      <xdr:nvGraphicFramePr>
        <xdr:cNvPr id="3" name="Chart 2">
          <a:extLst>
            <a:ext uri="{FF2B5EF4-FFF2-40B4-BE49-F238E27FC236}">
              <a16:creationId xmlns:a16="http://schemas.microsoft.com/office/drawing/2014/main" id="{8565BA85-9A30-44B2-A645-2A610D38D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60960</xdr:colOff>
      <xdr:row>4</xdr:row>
      <xdr:rowOff>0</xdr:rowOff>
    </xdr:from>
    <xdr:to>
      <xdr:col>14</xdr:col>
      <xdr:colOff>60960</xdr:colOff>
      <xdr:row>21</xdr:row>
      <xdr:rowOff>15240</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DF0C3A23-55EF-FBDA-1017-C262EDC2505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602980" y="731520"/>
              <a:ext cx="1828800" cy="312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68580</xdr:colOff>
      <xdr:row>4</xdr:row>
      <xdr:rowOff>7620</xdr:rowOff>
    </xdr:from>
    <xdr:to>
      <xdr:col>10</xdr:col>
      <xdr:colOff>547141</xdr:colOff>
      <xdr:row>17</xdr:row>
      <xdr:rowOff>178663</xdr:rowOff>
    </xdr:to>
    <xdr:graphicFrame macro="">
      <xdr:nvGraphicFramePr>
        <xdr:cNvPr id="4" name="Chart 3">
          <a:extLst>
            <a:ext uri="{FF2B5EF4-FFF2-40B4-BE49-F238E27FC236}">
              <a16:creationId xmlns:a16="http://schemas.microsoft.com/office/drawing/2014/main" id="{794A742D-BA8D-4D33-B25E-A04AF24C1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133350</xdr:colOff>
      <xdr:row>4</xdr:row>
      <xdr:rowOff>0</xdr:rowOff>
    </xdr:from>
    <xdr:to>
      <xdr:col>10</xdr:col>
      <xdr:colOff>403860</xdr:colOff>
      <xdr:row>21</xdr:row>
      <xdr:rowOff>7620</xdr:rowOff>
    </xdr:to>
    <xdr:graphicFrame macro="">
      <xdr:nvGraphicFramePr>
        <xdr:cNvPr id="2" name="Chart 1">
          <a:extLst>
            <a:ext uri="{FF2B5EF4-FFF2-40B4-BE49-F238E27FC236}">
              <a16:creationId xmlns:a16="http://schemas.microsoft.com/office/drawing/2014/main" id="{99FE12AB-B333-B7CC-9A0F-002BA1EFC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144780</xdr:colOff>
      <xdr:row>3</xdr:row>
      <xdr:rowOff>22860</xdr:rowOff>
    </xdr:from>
    <xdr:to>
      <xdr:col>13</xdr:col>
      <xdr:colOff>196335</xdr:colOff>
      <xdr:row>20</xdr:row>
      <xdr:rowOff>88709</xdr:rowOff>
    </xdr:to>
    <xdr:graphicFrame macro="">
      <xdr:nvGraphicFramePr>
        <xdr:cNvPr id="3" name="Chart 2">
          <a:extLst>
            <a:ext uri="{FF2B5EF4-FFF2-40B4-BE49-F238E27FC236}">
              <a16:creationId xmlns:a16="http://schemas.microsoft.com/office/drawing/2014/main" id="{302C7A23-5E92-441D-AC9C-A0391E593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198120</xdr:colOff>
      <xdr:row>2</xdr:row>
      <xdr:rowOff>175260</xdr:rowOff>
    </xdr:from>
    <xdr:to>
      <xdr:col>12</xdr:col>
      <xdr:colOff>283672</xdr:colOff>
      <xdr:row>16</xdr:row>
      <xdr:rowOff>156999</xdr:rowOff>
    </xdr:to>
    <xdr:graphicFrame macro="">
      <xdr:nvGraphicFramePr>
        <xdr:cNvPr id="3" name="Chart 2">
          <a:extLst>
            <a:ext uri="{FF2B5EF4-FFF2-40B4-BE49-F238E27FC236}">
              <a16:creationId xmlns:a16="http://schemas.microsoft.com/office/drawing/2014/main" id="{8C62EBAC-B856-4E8B-938D-14F237369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236220</xdr:colOff>
      <xdr:row>2</xdr:row>
      <xdr:rowOff>53340</xdr:rowOff>
    </xdr:from>
    <xdr:to>
      <xdr:col>7</xdr:col>
      <xdr:colOff>312420</xdr:colOff>
      <xdr:row>8</xdr:row>
      <xdr:rowOff>22860</xdr:rowOff>
    </xdr:to>
    <mc:AlternateContent xmlns:mc="http://schemas.openxmlformats.org/markup-compatibility/2006" xmlns:tsle="http://schemas.microsoft.com/office/drawing/2012/timeslicer">
      <mc:Choice Requires="tsle">
        <xdr:graphicFrame macro="">
          <xdr:nvGraphicFramePr>
            <xdr:cNvPr id="2" name="Enrollment Date">
              <a:extLst>
                <a:ext uri="{FF2B5EF4-FFF2-40B4-BE49-F238E27FC236}">
                  <a16:creationId xmlns:a16="http://schemas.microsoft.com/office/drawing/2014/main" id="{9A5F6EA3-1B7A-5ED6-BCB2-8360C4CB6805}"/>
                </a:ext>
              </a:extLst>
            </xdr:cNvPr>
            <xdr:cNvGraphicFramePr/>
          </xdr:nvGraphicFramePr>
          <xdr:xfrm>
            <a:off x="0" y="0"/>
            <a:ext cx="0" cy="0"/>
          </xdr:xfrm>
          <a:graphic>
            <a:graphicData uri="http://schemas.microsoft.com/office/drawing/2012/timeslicer">
              <tsle:timeslicer name="Enrollment Date"/>
            </a:graphicData>
          </a:graphic>
        </xdr:graphicFrame>
      </mc:Choice>
      <mc:Fallback xmlns="">
        <xdr:sp macro="" textlink="">
          <xdr:nvSpPr>
            <xdr:cNvPr id="0" name=""/>
            <xdr:cNvSpPr>
              <a:spLocks noTextEdit="1"/>
            </xdr:cNvSpPr>
          </xdr:nvSpPr>
          <xdr:spPr>
            <a:xfrm>
              <a:off x="3383280" y="419100"/>
              <a:ext cx="4351020" cy="1066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pun Singh" refreshedDate="46065.76699398148" createdVersion="8" refreshedVersion="8" minRefreshableVersion="3" recordCount="2499" xr:uid="{F48EFF01-8764-45C4-BC83-812F92A110C1}">
  <cacheSource type="worksheet">
    <worksheetSource name="Table1"/>
  </cacheSource>
  <cacheFields count="16">
    <cacheField name="Record ID" numFmtId="0">
      <sharedItems containsSemiMixedTypes="0" containsString="0" containsNumber="1" containsInteger="1" minValue="1" maxValue="2499"/>
    </cacheField>
    <cacheField name="Enrollment ID" numFmtId="0">
      <sharedItems/>
    </cacheField>
    <cacheField name="Student ID" numFmtId="0">
      <sharedItems/>
    </cacheField>
    <cacheField name="Gender" numFmtId="0">
      <sharedItems count="2">
        <s v="Female"/>
        <s v="Male"/>
      </sharedItems>
    </cacheField>
    <cacheField name="Age" numFmtId="0">
      <sharedItems containsSemiMixedTypes="0" containsString="0" containsNumber="1" containsInteger="1" minValue="18" maxValue="78"/>
    </cacheField>
    <cacheField name="Enrollment date" numFmtId="14">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5"/>
    </cacheField>
    <cacheField name="Month" numFmtId="14">
      <sharedItems count="12">
        <s v="Jan"/>
        <s v="Feb"/>
        <s v="Mar"/>
        <s v="Apr"/>
        <s v="May"/>
        <s v="Jun"/>
        <s v="Jul"/>
        <s v="Aug"/>
        <s v="Sep"/>
        <s v="Oct"/>
        <s v="Nov"/>
        <s v="Dec"/>
      </sharedItems>
    </cacheField>
    <cacheField name="Enrollment Status" numFmtId="0">
      <sharedItems count="3">
        <s v="Enrolled"/>
        <s v="Dropped"/>
        <s v="Refunded"/>
      </sharedItems>
    </cacheField>
    <cacheField name="Lead Source" numFmtId="0">
      <sharedItems count="7">
        <s v="Website"/>
        <s v="Facebook ads"/>
        <s v="Google ads"/>
        <s v="Email campaign"/>
        <s v="Referral"/>
        <s v="Instagram ads"/>
        <s v="Whatsapp"/>
      </sharedItems>
    </cacheField>
    <cacheField name="Course Code" numFmtId="0">
      <sharedItems/>
    </cacheField>
    <cacheField name="Course " numFmtId="0">
      <sharedItems count="8">
        <s v="Data analytics"/>
        <s v="Business analytics"/>
        <s v="Digial marketing"/>
        <s v="Full stack development"/>
        <s v="UI/UX Design"/>
        <s v="AI &amp; ML"/>
        <s v="HR Analytics"/>
        <s v="Cloud Computing"/>
      </sharedItems>
    </cacheField>
    <cacheField name="Fees" numFmtId="0">
      <sharedItems containsSemiMixedTypes="0" containsString="0" containsNumber="1" containsInteger="1" minValue="41999" maxValue="119990"/>
    </cacheField>
    <cacheField name="City" numFmtId="0">
      <sharedItems count="634">
        <s v="Zirakpur"/>
        <s v="Navi Mumbai"/>
        <s v="Kozhikode"/>
        <s v="Bengaluru"/>
        <s v="Kunnathunad"/>
        <s v="Bangalore"/>
        <s v="Doiwala"/>
        <s v="Vijayawada"/>
        <s v="Panchkula"/>
        <s v="New Delhi"/>
        <s v="Nizamabad"/>
        <s v="Mysuru"/>
        <s v="Gwalior"/>
        <s v="Ambala"/>
        <s v="Kanpur"/>
        <s v="Hyderabad"/>
        <s v="Mumbai"/>
        <s v="Lucknow"/>
        <s v="Karaikal"/>
        <s v="Vadodara"/>
        <s v="Changanacherry"/>
        <s v="Paravur"/>
        <s v="Agra"/>
        <s v="Kollam"/>
        <s v="Pune"/>
        <s v="Varanasi"/>
        <s v="Karnal"/>
        <s v="Secunderabad"/>
        <s v="Guwahati"/>
        <s v="Chennai"/>
        <s v="Fatehabad"/>
        <s v="Nellore"/>
        <s v="Gurugram"/>
        <s v="Gopeshwar"/>
        <s v="Kannamangalam Alappuzha District"/>
        <s v="Visakhapatnam"/>
        <s v="Tiruvallur"/>
        <s v="Bhadrak"/>
        <s v="Madurai"/>
        <s v="Kalyan"/>
        <s v="Ernakulam"/>
        <s v="Dehradun"/>
        <s v="Veerapandianpattinam"/>
        <s v="Kargikala, Kota, Bilaspur"/>
        <s v="Sonarpur"/>
        <s v="Amravati"/>
        <s v="Solapur"/>
        <s v="Howrah"/>
        <s v="Rajkot"/>
        <s v="Kolkata"/>
        <s v="Honavar"/>
        <s v="Margao"/>
        <s v="Manjeri"/>
        <s v="Ganaur"/>
        <s v="Bhubaneswar"/>
        <s v="Delhi"/>
        <s v="Ahmedabad"/>
        <s v="Jaipur"/>
        <s v="Beawar"/>
        <s v="Sitamarhi"/>
        <s v="Kottayam District"/>
        <s v="Purnia"/>
        <s v="Jamshedpur"/>
        <s v="Shahjahanpur"/>
        <s v="Ludhiana"/>
        <s v="Bahadurgarh"/>
        <s v="Pondicherry"/>
        <s v="New Town"/>
        <s v="Aluva"/>
        <s v="Ferrargunj"/>
        <s v="Sonamura"/>
        <s v="Anpara,Sonebhadra"/>
        <s v="Bhusawal"/>
        <s v="Palwancha"/>
        <s v="Thiruvananthapuram"/>
        <s v="Port Blair"/>
        <s v="Amritsar"/>
        <s v="Jhansi"/>
        <s v="Mavelikkara"/>
        <s v="Udaipur"/>
        <s v="Coimbatore"/>
        <s v="Lakhimpur"/>
        <s v="Tinsukia"/>
        <s v="Guntur"/>
        <s v="Chandigarh"/>
        <s v="Shimla"/>
        <s v="Imphal"/>
        <s v="Thiruvallur"/>
        <s v="Chalakudy , Thrissur"/>
        <s v="Faridabad"/>
        <s v="Moradabad"/>
        <s v="Kolhapur"/>
        <s v="Thane"/>
        <s v="Kakkanad"/>
        <s v="Bhopal"/>
        <s v="Vellore"/>
        <s v="Bhogaon"/>
        <s v="Eravu"/>
        <s v="Puduvayal"/>
        <s v="Dindori"/>
        <s v="Noida"/>
        <s v="Orai"/>
        <s v="Allahabad"/>
        <s v="Kurnool"/>
        <s v="Kumarapalayam"/>
        <s v="Pilicode"/>
        <s v="Mohali"/>
        <s v="Mavoor"/>
        <s v="Jalandhar"/>
        <s v="Kochi"/>
        <s v="Nashik"/>
        <s v="Nimta"/>
        <s v="Kaladhungi"/>
        <s v="Pandhurna,"/>
        <s v="Bihta Patna District"/>
        <s v="Vizianagaram"/>
        <s v="Shyamnagar"/>
        <s v="Pavaratty"/>
        <s v="Kotdwara"/>
        <s v="Karkal"/>
        <s v="Bareilly"/>
        <s v="Adampur"/>
        <s v="Indore"/>
        <s v="Warangal"/>
        <s v="Perumbaikad - Kottayam"/>
        <s v="Karimganj"/>
        <s v="Pamur"/>
        <s v="Deoband"/>
        <s v="Ghaziabad"/>
        <s v="South Goa"/>
        <s v="Erode"/>
        <s v="Cheppad"/>
        <s v="Khalilabad"/>
        <s v="Silvassa"/>
        <s v="Digboi"/>
        <s v="Srinagar"/>
        <s v="Gurgaon"/>
        <s v="Balodabazar"/>
        <s v="Surat"/>
        <s v="Pathanamthitta"/>
        <s v="Rae Bareli"/>
        <s v="Patna"/>
        <s v="Bidar"/>
        <s v="Koyilandy, Kozhikode"/>
        <s v="Tenali"/>
        <s v="Aurangabad"/>
        <s v="Ullal"/>
        <s v="Cuttack"/>
        <s v="Sambalpur"/>
        <s v="Muzaffarnagar"/>
        <s v="Thrissur"/>
        <s v="Saifai Etawah"/>
        <s v="North Delhi"/>
        <s v="Mehkar"/>
        <s v="Akola"/>
        <s v="Dimapur"/>
        <s v="Thanjavur"/>
        <s v="Dharapuram"/>
        <s v="Alappuzha"/>
        <s v="Bhimavaram"/>
        <s v="Navsari"/>
        <s v="Kottayam"/>
        <s v="Gudur"/>
        <s v="Budaun"/>
        <s v="Jaunpur"/>
        <s v="Hailakandi"/>
        <s v="Ranebennur"/>
        <s v="Pimpri Chinchwad"/>
        <s v="Jalna"/>
        <s v="Rishra"/>
        <s v="Rajahmundry"/>
        <s v="Chapra"/>
        <s v="Bardoli"/>
        <s v="Krishnagiri"/>
        <s v="Mundra"/>
        <s v="Gopalganj"/>
        <s v="Ateli"/>
        <s v="Dongargarh"/>
        <s v="Gondiya"/>
        <s v="Panvel"/>
        <s v="Nallur Kanniyakumari District"/>
        <s v="Nagaon"/>
        <s v="Sujanpur"/>
        <s v="Greater Noida"/>
        <s v="Jaisalmer"/>
        <s v="Raipur"/>
        <s v="Ponnani"/>
        <s v="Bhilwara"/>
        <s v="Eluru"/>
        <s v="Nagercoil"/>
        <s v="Corbett"/>
        <s v="Thorrur"/>
        <s v="Jamkhandi"/>
        <s v="Badgam"/>
        <s v="Loni"/>
        <s v="Begusarai"/>
        <s v="Gurugaon"/>
        <s v="Rewa"/>
        <s v="Hassan"/>
        <s v="Robertsonpet"/>
        <s v="Ongole"/>
        <s v="Yerrabalem"/>
        <s v="Manipal"/>
        <s v="Nacharam"/>
        <s v="Hanumangarh"/>
        <s v="Gorakhpur"/>
        <s v="Amruthahalli, Jakkur Post"/>
        <s v="Bankimnagar"/>
        <s v="Ambikapur"/>
        <s v="Kalaburgi"/>
        <s v="Asika"/>
        <s v="Feroke"/>
        <s v="Palampur"/>
        <s v="Aligarh"/>
        <s v="Talegaon Midc"/>
        <s v="Farrukhnagar"/>
        <s v="Gaya"/>
        <s v="Atul"/>
        <s v="Hosur"/>
        <s v="Jalpaiguri"/>
        <s v="Hosapete"/>
        <s v="Mahad"/>
        <s v="Raia"/>
        <s v="Satara"/>
        <s v="Bahraich"/>
        <s v="Yeleswaram"/>
        <s v="Meerut"/>
        <s v="Thurayur"/>
        <s v="Mandapeta"/>
        <s v="Karimnagar"/>
        <s v="Shirpur"/>
        <s v="Bathinda"/>
        <s v="Kalimpong"/>
        <s v="Tadipatri"/>
        <s v="Bellary"/>
        <s v="Mannargudi"/>
        <s v="Giridih"/>
        <s v="Sonamukhi"/>
        <s v="Ankleshwar"/>
        <s v="Venkatagiri"/>
        <s v="Mangaluru"/>
        <s v="Tumakuru"/>
        <s v="Tadpatri"/>
        <s v="Vapi"/>
        <s v="Ranchi"/>
        <s v="Shahdara"/>
        <s v="Kunda; Pratapgarh"/>
        <s v="Rohtak"/>
        <s v="Gudivada Krishna District"/>
        <s v="Mettupalayam Coimbatore District"/>
        <s v="Perumbavoor"/>
        <s v="Rajam"/>
        <s v="Anand"/>
        <s v="Anjar"/>
        <s v="Sehore"/>
        <s v="Nagpur"/>
        <s v="Palai"/>
        <s v="Malpur Road, Modasa"/>
        <s v="Porvorim"/>
        <s v="Kadungalloor"/>
        <s v="Mumbai 400050"/>
        <s v="Paradip"/>
        <s v="Nalbari"/>
        <s v="Warora"/>
        <s v="Chhindwara"/>
        <s v="Ribander"/>
        <s v="Sunabeda"/>
        <s v="Chitradurga"/>
        <s v="Madhepura"/>
        <s v="Seoni"/>
        <s v="Dumraon"/>
        <s v="Srikakulam"/>
        <s v="Ujjain"/>
        <s v="Bhiwadi"/>
        <s v="Sanguem"/>
        <s v="Agartala"/>
        <s v="Pandharpur"/>
        <s v="Motihari"/>
        <s v="Mahindra World City"/>
        <s v="Saharanpur"/>
        <s v="Upper Tadong"/>
        <s v="Saroornagar Rr District"/>
        <s v="Kuzhithurai"/>
        <s v="Palwal"/>
        <s v="Thoothukkudi"/>
        <s v="Dindigul"/>
        <s v="Gandhinagar"/>
        <s v="Oachira"/>
        <s v="Hardwar"/>
        <s v="Garulia"/>
        <s v="Lakhipur Cachar District"/>
        <s v="Karwar"/>
        <s v="Puttur"/>
        <s v="Rampur"/>
        <s v="Suri"/>
        <s v="Tindivanam"/>
        <s v="Ajmer"/>
        <s v="Kanchipuram"/>
        <s v="Beypore"/>
        <s v="Kaniyapuram, Thiruvananthapuram District"/>
        <s v="Shivamogga"/>
        <s v="Bhosari, Pune"/>
        <s v="Narsampet"/>
        <s v="Jatani"/>
        <s v="Panipat"/>
        <s v="Ahmadnagar"/>
        <s v="Wanaparthy"/>
        <s v="Madikeri"/>
        <s v="Deoria"/>
        <s v="Ghansoli"/>
        <s v="Leh"/>
        <s v="Unnao"/>
        <s v="Silchar"/>
        <s v="Palghar"/>
        <s v="Shirur"/>
        <s v="Berhampur"/>
        <s v="Siddipet"/>
        <s v="Almora"/>
        <s v="Himmatnagar"/>
        <s v="Sonbhadra"/>
        <s v="Medinipur"/>
        <s v="Payyannur"/>
        <s v="Tirupathur Vellore District"/>
        <s v="Rudrapur"/>
        <s v="Panaji"/>
        <s v="Ratlam"/>
        <s v="Dowleswaram"/>
        <s v="Jetpur Navagadh"/>
        <s v="Chengalpattu"/>
        <s v="Kannur"/>
        <s v="Zaidpur"/>
        <s v="Haldwani"/>
        <s v="Tirupati"/>
        <s v="Naigaon East"/>
        <s v="Tenkasi"/>
        <s v="Chandauli"/>
        <s v="Atchutapuram Apsez"/>
        <s v="Kanigiri"/>
        <s v="Ranapur"/>
        <s v="Patiala"/>
        <s v="Belagavi"/>
        <s v="Jalgaon"/>
        <s v="Tiruppur"/>
        <s v="Mangalagiri"/>
        <s v="Pirangut"/>
        <s v="Khopoli"/>
        <s v="Proddatur"/>
        <s v="Mysore"/>
        <s v="Singtam"/>
        <s v="Virar West"/>
        <s v="Bhiwandi"/>
        <s v="Sipcot Thoothukudi"/>
        <s v="Nowgong"/>
        <s v="Lakhisarai"/>
        <s v="Unchahar"/>
        <s v="Shamli"/>
        <s v="Jabalpur"/>
        <s v="Kota"/>
        <s v="Solan"/>
        <s v="Barabanki"/>
        <s v="Tiruchirappalli"/>
        <s v="Etawah"/>
        <s v="Bhatpar Rani"/>
        <s v="Udupi"/>
        <s v="Sagar"/>
        <s v="Palani"/>
        <s v="Vasai,Palghar"/>
        <s v="Vasai Virar"/>
        <s v="Sonipat"/>
        <s v="Nadbai"/>
        <s v="Dewas"/>
        <s v="Kothamangalam"/>
        <s v="Karur"/>
        <s v="Ballari"/>
        <s v="Nathdwara"/>
        <s v="Calapor"/>
        <s v="Ettumanoor"/>
        <s v="Dhanbad"/>
        <s v="Bettiah"/>
        <s v="Hapur"/>
        <s v="Udma"/>
        <s v="Kayamkulam"/>
        <s v="Mannar"/>
        <s v="Neyyattinkara"/>
        <s v="Kanjikode Industrial Area"/>
        <s v="Yavatmal"/>
        <s v="Barmer"/>
        <s v="Madanapalle"/>
        <s v="Mandideep"/>
        <s v="Murakambattu"/>
        <s v="Pathankot"/>
        <s v="Anantapur"/>
        <s v="Sikar"/>
        <s v="Kottarakkara"/>
        <s v="City"/>
        <s v="Bicholim"/>
        <s v="Ramanathapuram"/>
        <s v="Kurumpilavu"/>
        <s v="Sri Ganganagar"/>
        <s v="Hubballi"/>
        <s v="Vuyyuru"/>
        <s v="Thottada"/>
        <s v="Chamba"/>
        <s v="Curchorem"/>
        <s v="Chelakkara"/>
        <s v="Idar"/>
        <s v="Daman"/>
        <s v="Ahmednagar"/>
        <s v="Byasanagar"/>
        <s v="Rawatbhata"/>
        <s v="Sedam"/>
        <s v="Kalameshwar"/>
        <s v="Medak"/>
        <s v="Padappai"/>
        <s v="Jorethang"/>
        <s v="Gurdaspur"/>
        <s v="Chirkunda"/>
        <s v="Pakaur"/>
        <s v="Nainital"/>
        <s v="Osmanabad"/>
        <s v="Kalamassery"/>
        <s v="Durgapur"/>
        <s v="Firozabad"/>
        <s v="Sangareddy"/>
        <s v="Palakkad"/>
        <s v="Tiruvannamalai"/>
        <s v="Badlapur"/>
        <s v="Siliguri"/>
        <s v="Prothrapur"/>
        <s v="Nuzvid"/>
        <s v="Shillong"/>
        <s v="Bilaspur"/>
        <s v="Kothagudem"/>
        <s v="Asansol"/>
        <s v="Malappuram P O"/>
        <s v="Neyveli"/>
        <s v="Ponda"/>
        <s v="Cuncolim"/>
        <s v="Mahabubabad"/>
        <s v="Ara"/>
        <s v="Kottayam Dist"/>
        <s v="Khandwa"/>
        <s v="Roorkee"/>
        <s v="Rangia"/>
        <s v="Bela Pratapgarh"/>
        <s v="Nadia"/>
        <s v="Mirzapur Cum Vindhyachal"/>
        <s v="Aroor"/>
        <s v="Malur"/>
        <s v="Duliajan"/>
        <s v="Ozar"/>
        <s v="Panihati"/>
        <s v="Bhagalpur"/>
        <s v="Jammu"/>
        <s v="Bharatpur"/>
        <s v="Vengurla"/>
        <s v="Dhakholi"/>
        <s v="Serampore"/>
        <s v="Dandeli"/>
        <s v="Wardha"/>
        <s v="Peruvilai"/>
        <s v="Barasat"/>
        <s v="Bhandara"/>
        <s v="Chandausi"/>
        <s v="Rishikesh"/>
        <s v="Ranip,Ahmedabad"/>
        <s v="Dakshina Kannada"/>
        <s v="Devinagar"/>
        <s v="Sheopur"/>
        <s v="Dharamshala"/>
        <s v="Pattiom"/>
        <s v="Nanjangud"/>
        <s v="Virudhunagar"/>
        <s v="Sahibganj"/>
        <s v="Krishnarajpet"/>
        <s v="Bestawaripeta"/>
        <s v="Rourkela"/>
        <s v="Dibiyapur"/>
        <s v="Bikaner"/>
        <s v="Palia Kalan"/>
        <s v="Benipatti"/>
        <s v="Alwar"/>
        <s v="Shenkottai"/>
        <s v="Bidhan Nagar"/>
        <s v="Deoghar"/>
        <s v="Sohna"/>
        <s v="Khanna"/>
        <s v="Mathura"/>
        <s v="Dharmsala"/>
        <s v="Sohagpur"/>
        <s v="Enathu"/>
        <s v="Rajpur Sonarpur"/>
        <s v="Taraori"/>
        <s v="Aizawl"/>
        <s v="Colvale"/>
        <s v="Riico Industrial Area Neemrana"/>
        <s v="Bhuntar"/>
        <s v="Kalyan West"/>
        <s v="Kakinada"/>
        <s v="Koratty"/>
        <s v="Sultanpur"/>
        <s v="Nayagarh"/>
        <s v="Salem"/>
        <s v="Mandsaur"/>
        <s v="Gonda"/>
        <s v="Chittoor"/>
        <s v="Buchireddipalem"/>
        <s v="Banglore"/>
        <s v="Atholi"/>
        <s v="Bijnor"/>
        <s v="Pauri"/>
        <s v="Suryapet"/>
        <s v="Tezpur"/>
        <s v="Nanded Waghala"/>
        <s v="Hoskote"/>
        <s v="Chatra"/>
        <s v="Bulandshahr"/>
        <s v="Egra"/>
        <s v="Chikhal Kasa"/>
        <s v="Madhurawada"/>
        <s v="Hathras"/>
        <s v="Mariani"/>
        <s v="Chodavaram"/>
        <s v="Guruvayur"/>
        <s v="Jorhat"/>
        <s v="Bokaro Steel City"/>
        <s v="Burdwan"/>
        <s v="Bagru"/>
        <s v="Kaveripattinam"/>
        <s v="Paonta Sahib"/>
        <s v="Haridwar"/>
        <s v="Kahalgaon"/>
        <s v="Manugur"/>
        <s v="Faizabad"/>
        <s v="Thiruvalla"/>
        <s v="Tanakpur"/>
        <s v="Ariyallur"/>
        <s v="Jashpurnagar"/>
        <s v="Anugul"/>
        <s v="Sawantwadi"/>
        <s v="Mormugao"/>
        <s v="Zahirabad"/>
        <s v="Puducherry"/>
        <s v="Kaij"/>
        <s v="Metapally"/>
        <s v="Perinad"/>
        <s v="Baramati"/>
        <s v="Anupuram"/>
        <s v="Pune Kalyani Nagar"/>
        <s v="Narasimhanaickenpalayam"/>
        <s v="Tirupathi"/>
        <s v="Kannod"/>
        <s v="Karjat Raigarh District"/>
        <s v="New Town, Kolkata"/>
        <s v="Calangute"/>
        <s v="Chandrapur"/>
        <s v="Pali"/>
        <s v="Naharlugun Model Arunachal Pradesh"/>
        <s v="Sikkathambur Palayam"/>
        <s v="Simar Sir"/>
        <s v="Muvattupuzha"/>
        <s v="Chalakudy"/>
        <s v="Muthukulam"/>
        <s v="Itanagar"/>
        <s v="Etah"/>
        <s v="Bansberia"/>
        <s v="Chengannur"/>
        <s v="Mapusa"/>
        <s v="Namagiripettai"/>
        <s v="Hyderaba"/>
        <s v="Darjeeling"/>
        <s v="Dharwad"/>
        <s v="Miraj"/>
        <s v="Vasai West"/>
        <s v="Kohima"/>
        <s v="Dapoli Camp"/>
        <s v="Mahendragarh"/>
        <s v="Reasi"/>
        <s v="Chippada Pharma Sez"/>
        <s v="Khammam"/>
        <s v="Sangli Miraj Kupwad"/>
        <s v="Srivilliputhur"/>
        <s v="Talikkulam"/>
        <s v="Doddaballapur"/>
        <s v="Malda"/>
        <s v="Khamgaon"/>
        <s v="Tirupathur , Tirupattur District"/>
        <s v="Malappuram"/>
        <s v="Nandyal"/>
        <s v="Anakapalle"/>
        <s v="Shahdol"/>
        <s v="Banda"/>
        <s v="Amalapuram"/>
        <s v="Patan"/>
        <s v="Mirik"/>
        <s v="Kendujhar"/>
        <s v="Dhaura Tanda"/>
        <s v="Diu"/>
        <s v="Honda"/>
        <s v="Dharmavaram"/>
        <s v="Perinthalmanna"/>
        <s v="Abu Road"/>
        <s v="Raichur"/>
        <s v="Madhubani"/>
        <s v="Mandi"/>
        <s v="Indirapuram, Ghaziabad"/>
        <s v="Titlagarh"/>
        <s v="Malegaon"/>
        <s v="Edathiruthy"/>
        <s v="Chirala"/>
        <s v="Darbhanga"/>
        <s v="Kokrajhar"/>
        <s v="Kadur"/>
        <s v="Kalakote"/>
        <s v="Nagamalaipudukottai"/>
        <s v="Dibrugarh"/>
        <s v="Latur"/>
        <s v="Balaghat"/>
        <s v="Inkollu"/>
        <s v="Ayoor"/>
        <s v="Chilakaluripet"/>
        <s v="Kasaragod"/>
        <s v="Bishunipur"/>
        <s v="Kadapa"/>
        <s v="Kudukkimotta"/>
        <s v="Kamptee"/>
        <s v="Tadong"/>
        <s v="Thazhuthala"/>
        <s v="Srikalahasti"/>
        <s v="Kumbakonam"/>
        <s v="North Guwahati"/>
        <s v="Bhavnagar"/>
        <s v="Katihar"/>
        <s v="Bhuj"/>
      </sharedItems>
    </cacheField>
    <cacheField name="Column1" numFmtId="0">
      <sharedItems/>
    </cacheField>
    <cacheField name="Days (Enrollment Date)" numFmtId="0" databaseField="0">
      <fieldGroup base="5">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Enrollment Date)" numFmtId="0" databaseField="0">
      <fieldGroup base="5">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38540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
    <s v="408-2726532"/>
    <s v="27265"/>
    <x v="0"/>
    <n v="42"/>
    <x v="0"/>
    <x v="0"/>
    <x v="0"/>
    <x v="0"/>
    <s v="DA202"/>
    <x v="0"/>
    <n v="79999"/>
    <x v="0"/>
    <s v="Data analytics"/>
  </r>
  <r>
    <n v="2"/>
    <s v="171-9236722"/>
    <s v="92367"/>
    <x v="0"/>
    <n v="20"/>
    <x v="0"/>
    <x v="0"/>
    <x v="0"/>
    <x v="0"/>
    <s v="DA202"/>
    <x v="0"/>
    <n v="79999"/>
    <x v="1"/>
    <s v="Data analytics"/>
  </r>
  <r>
    <n v="3"/>
    <s v="403-8361465"/>
    <s v="83614"/>
    <x v="0"/>
    <n v="68"/>
    <x v="1"/>
    <x v="0"/>
    <x v="0"/>
    <x v="1"/>
    <s v="DA202"/>
    <x v="0"/>
    <n v="79999"/>
    <x v="2"/>
    <s v="Data analytics"/>
  </r>
  <r>
    <n v="4"/>
    <s v="406-7628092"/>
    <s v="76280"/>
    <x v="0"/>
    <n v="24"/>
    <x v="1"/>
    <x v="0"/>
    <x v="0"/>
    <x v="1"/>
    <s v="BA301"/>
    <x v="1"/>
    <n v="59999"/>
    <x v="3"/>
    <s v="Business analytics"/>
  </r>
  <r>
    <n v="5"/>
    <s v="405-7935467"/>
    <s v="79354"/>
    <x v="0"/>
    <n v="27"/>
    <x v="1"/>
    <x v="0"/>
    <x v="0"/>
    <x v="0"/>
    <s v="DM101"/>
    <x v="2"/>
    <n v="85499"/>
    <x v="4"/>
    <s v="Digial marketing"/>
  </r>
  <r>
    <n v="6"/>
    <s v="171-9749569"/>
    <s v="97495"/>
    <x v="0"/>
    <n v="23"/>
    <x v="1"/>
    <x v="0"/>
    <x v="1"/>
    <x v="2"/>
    <s v="DM101"/>
    <x v="2"/>
    <n v="85499"/>
    <x v="5"/>
    <s v="Digial marketing"/>
  </r>
  <r>
    <n v="7"/>
    <s v="408-6068156"/>
    <s v="60681"/>
    <x v="0"/>
    <n v="29"/>
    <x v="1"/>
    <x v="0"/>
    <x v="0"/>
    <x v="1"/>
    <s v="BA301"/>
    <x v="1"/>
    <n v="59999"/>
    <x v="6"/>
    <s v="Business analytics"/>
  </r>
  <r>
    <n v="8"/>
    <s v="171-7130304"/>
    <s v="71303"/>
    <x v="0"/>
    <n v="44"/>
    <x v="2"/>
    <x v="0"/>
    <x v="0"/>
    <x v="2"/>
    <s v="BA301"/>
    <x v="1"/>
    <n v="59999"/>
    <x v="3"/>
    <s v="Business analytics"/>
  </r>
  <r>
    <n v="9"/>
    <s v="404-2966775"/>
    <s v="29667"/>
    <x v="1"/>
    <n v="46"/>
    <x v="2"/>
    <x v="0"/>
    <x v="0"/>
    <x v="1"/>
    <s v="DM101"/>
    <x v="2"/>
    <n v="85499"/>
    <x v="7"/>
    <s v="Digial marketing"/>
  </r>
  <r>
    <n v="10"/>
    <s v="171-3928696"/>
    <s v="39286"/>
    <x v="0"/>
    <n v="25"/>
    <x v="2"/>
    <x v="0"/>
    <x v="0"/>
    <x v="3"/>
    <s v="BA301"/>
    <x v="1"/>
    <n v="59999"/>
    <x v="8"/>
    <s v="Business analytics"/>
  </r>
  <r>
    <n v="11"/>
    <s v="406-1077707"/>
    <s v="10777"/>
    <x v="0"/>
    <n v="22"/>
    <x v="2"/>
    <x v="0"/>
    <x v="0"/>
    <x v="0"/>
    <s v="DM101"/>
    <x v="2"/>
    <n v="85499"/>
    <x v="9"/>
    <s v="Digial marketing"/>
  </r>
  <r>
    <n v="12"/>
    <s v="407-7342628"/>
    <s v="73426"/>
    <x v="0"/>
    <n v="35"/>
    <x v="3"/>
    <x v="0"/>
    <x v="2"/>
    <x v="2"/>
    <s v="DA202"/>
    <x v="0"/>
    <n v="79999"/>
    <x v="10"/>
    <s v="Data analytics"/>
  </r>
  <r>
    <n v="13"/>
    <s v="171-4181018"/>
    <s v="41810"/>
    <x v="0"/>
    <n v="39"/>
    <x v="3"/>
    <x v="0"/>
    <x v="0"/>
    <x v="1"/>
    <s v="BA301"/>
    <x v="1"/>
    <n v="59999"/>
    <x v="11"/>
    <s v="Business analytics"/>
  </r>
  <r>
    <n v="14"/>
    <s v="407-7686513"/>
    <s v="76865"/>
    <x v="1"/>
    <n v="43"/>
    <x v="3"/>
    <x v="0"/>
    <x v="2"/>
    <x v="0"/>
    <s v="DA202"/>
    <x v="0"/>
    <n v="79999"/>
    <x v="12"/>
    <s v="Data analytics"/>
  </r>
  <r>
    <n v="15"/>
    <s v="406-5004666"/>
    <s v="50046"/>
    <x v="0"/>
    <n v="49"/>
    <x v="3"/>
    <x v="0"/>
    <x v="0"/>
    <x v="4"/>
    <s v="DA202"/>
    <x v="0"/>
    <n v="79999"/>
    <x v="13"/>
    <s v="Data analytics"/>
  </r>
  <r>
    <n v="16"/>
    <s v="402-9044852"/>
    <s v="90448"/>
    <x v="0"/>
    <n v="52"/>
    <x v="3"/>
    <x v="0"/>
    <x v="0"/>
    <x v="0"/>
    <s v="DM101"/>
    <x v="2"/>
    <n v="85499"/>
    <x v="14"/>
    <s v="Digial marketing"/>
  </r>
  <r>
    <n v="17"/>
    <s v="405-3941109"/>
    <s v="39411"/>
    <x v="0"/>
    <n v="31"/>
    <x v="3"/>
    <x v="0"/>
    <x v="0"/>
    <x v="5"/>
    <s v="DA202"/>
    <x v="0"/>
    <n v="79999"/>
    <x v="15"/>
    <s v="Data analytics"/>
  </r>
  <r>
    <n v="18"/>
    <s v="403-7495046"/>
    <s v="74950"/>
    <x v="0"/>
    <n v="65"/>
    <x v="3"/>
    <x v="0"/>
    <x v="0"/>
    <x v="3"/>
    <s v="FSD103"/>
    <x v="3"/>
    <n v="109990"/>
    <x v="3"/>
    <s v="Full stack development"/>
  </r>
  <r>
    <n v="19"/>
    <s v="408-3135388"/>
    <s v="31353"/>
    <x v="0"/>
    <n v="49"/>
    <x v="3"/>
    <x v="0"/>
    <x v="0"/>
    <x v="1"/>
    <s v="BA301"/>
    <x v="1"/>
    <n v="59999"/>
    <x v="1"/>
    <s v="Business analytics"/>
  </r>
  <r>
    <n v="20"/>
    <s v="403-3302348"/>
    <s v="33023"/>
    <x v="0"/>
    <n v="78"/>
    <x v="3"/>
    <x v="0"/>
    <x v="0"/>
    <x v="2"/>
    <s v="FSD103"/>
    <x v="3"/>
    <n v="109990"/>
    <x v="16"/>
    <s v="Full stack development"/>
  </r>
  <r>
    <n v="21"/>
    <s v="402-2654075"/>
    <s v="26540"/>
    <x v="0"/>
    <n v="35"/>
    <x v="4"/>
    <x v="0"/>
    <x v="0"/>
    <x v="2"/>
    <s v="DM101"/>
    <x v="2"/>
    <n v="85499"/>
    <x v="17"/>
    <s v="Digial marketing"/>
  </r>
  <r>
    <n v="22"/>
    <s v="407-4687645"/>
    <s v="46876"/>
    <x v="0"/>
    <n v="35"/>
    <x v="4"/>
    <x v="0"/>
    <x v="0"/>
    <x v="0"/>
    <s v="DM101"/>
    <x v="2"/>
    <n v="85499"/>
    <x v="18"/>
    <s v="Digial marketing"/>
  </r>
  <r>
    <n v="23"/>
    <s v="406-5444930"/>
    <s v="54449"/>
    <x v="0"/>
    <n v="49"/>
    <x v="4"/>
    <x v="0"/>
    <x v="0"/>
    <x v="0"/>
    <s v="DM101"/>
    <x v="2"/>
    <n v="85499"/>
    <x v="3"/>
    <s v="Digial marketing"/>
  </r>
  <r>
    <n v="24"/>
    <s v="171-8124560"/>
    <s v="81245"/>
    <x v="0"/>
    <n v="37"/>
    <x v="4"/>
    <x v="0"/>
    <x v="0"/>
    <x v="1"/>
    <s v="DM101"/>
    <x v="2"/>
    <n v="85499"/>
    <x v="19"/>
    <s v="Digial marketing"/>
  </r>
  <r>
    <n v="25"/>
    <s v="406-4491845"/>
    <s v="44918"/>
    <x v="0"/>
    <n v="28"/>
    <x v="5"/>
    <x v="0"/>
    <x v="0"/>
    <x v="2"/>
    <s v="DA202"/>
    <x v="0"/>
    <n v="79999"/>
    <x v="20"/>
    <s v="Data analytics"/>
  </r>
  <r>
    <n v="26"/>
    <s v="407-4328172"/>
    <s v="43281"/>
    <x v="1"/>
    <n v="38"/>
    <x v="5"/>
    <x v="0"/>
    <x v="0"/>
    <x v="3"/>
    <s v="DA202"/>
    <x v="0"/>
    <n v="79999"/>
    <x v="21"/>
    <s v="Data analytics"/>
  </r>
  <r>
    <n v="27"/>
    <s v="408-1344010"/>
    <s v="13440"/>
    <x v="0"/>
    <n v="68"/>
    <x v="5"/>
    <x v="0"/>
    <x v="0"/>
    <x v="1"/>
    <s v="DA202"/>
    <x v="0"/>
    <n v="79999"/>
    <x v="22"/>
    <s v="Data analytics"/>
  </r>
  <r>
    <n v="28"/>
    <s v="403-6077399"/>
    <s v="60773"/>
    <x v="1"/>
    <n v="48"/>
    <x v="5"/>
    <x v="0"/>
    <x v="0"/>
    <x v="1"/>
    <s v="DM101"/>
    <x v="2"/>
    <n v="85499"/>
    <x v="23"/>
    <s v="Digial marketing"/>
  </r>
  <r>
    <n v="29"/>
    <s v="406-7463284"/>
    <s v="74632"/>
    <x v="0"/>
    <n v="34"/>
    <x v="5"/>
    <x v="0"/>
    <x v="2"/>
    <x v="1"/>
    <s v="DA202"/>
    <x v="0"/>
    <n v="79999"/>
    <x v="9"/>
    <s v="Data analytics"/>
  </r>
  <r>
    <n v="30"/>
    <s v="171-7476256"/>
    <s v="74762"/>
    <x v="1"/>
    <n v="46"/>
    <x v="5"/>
    <x v="0"/>
    <x v="2"/>
    <x v="4"/>
    <s v="UX401"/>
    <x v="4"/>
    <n v="67990"/>
    <x v="16"/>
    <s v="UI/UX Design"/>
  </r>
  <r>
    <n v="31"/>
    <s v="404-5275678"/>
    <s v="52756"/>
    <x v="0"/>
    <n v="35"/>
    <x v="5"/>
    <x v="0"/>
    <x v="0"/>
    <x v="0"/>
    <s v="DA202"/>
    <x v="0"/>
    <n v="79999"/>
    <x v="24"/>
    <s v="Data analytics"/>
  </r>
  <r>
    <n v="32"/>
    <s v="171-9275242"/>
    <s v="92752"/>
    <x v="0"/>
    <n v="30"/>
    <x v="5"/>
    <x v="0"/>
    <x v="0"/>
    <x v="0"/>
    <s v="UX401"/>
    <x v="4"/>
    <n v="67990"/>
    <x v="25"/>
    <s v="UI/UX Design"/>
  </r>
  <r>
    <n v="33"/>
    <s v="406-2445765"/>
    <s v="24457"/>
    <x v="1"/>
    <n v="37"/>
    <x v="5"/>
    <x v="0"/>
    <x v="0"/>
    <x v="2"/>
    <s v="FSD103"/>
    <x v="3"/>
    <n v="109990"/>
    <x v="26"/>
    <s v="Full stack development"/>
  </r>
  <r>
    <n v="34"/>
    <s v="407-7519727"/>
    <s v="75197"/>
    <x v="1"/>
    <n v="20"/>
    <x v="6"/>
    <x v="0"/>
    <x v="0"/>
    <x v="1"/>
    <s v="DM101"/>
    <x v="2"/>
    <n v="85499"/>
    <x v="3"/>
    <s v="Digial marketing"/>
  </r>
  <r>
    <n v="35"/>
    <s v="404-0464267"/>
    <s v="46426"/>
    <x v="0"/>
    <n v="38"/>
    <x v="6"/>
    <x v="0"/>
    <x v="0"/>
    <x v="0"/>
    <s v="DM101"/>
    <x v="2"/>
    <n v="85499"/>
    <x v="24"/>
    <s v="Digial marketing"/>
  </r>
  <r>
    <n v="36"/>
    <s v="404-0995297"/>
    <s v="99529"/>
    <x v="0"/>
    <n v="26"/>
    <x v="6"/>
    <x v="0"/>
    <x v="0"/>
    <x v="1"/>
    <s v="FSD103"/>
    <x v="3"/>
    <n v="109990"/>
    <x v="16"/>
    <s v="Full stack development"/>
  </r>
  <r>
    <n v="37"/>
    <s v="403-3020212"/>
    <s v="30202"/>
    <x v="1"/>
    <n v="47"/>
    <x v="6"/>
    <x v="0"/>
    <x v="0"/>
    <x v="1"/>
    <s v="DM101"/>
    <x v="2"/>
    <n v="85499"/>
    <x v="27"/>
    <s v="Digial marketing"/>
  </r>
  <r>
    <n v="38"/>
    <s v="171-0067174"/>
    <s v="67174"/>
    <x v="1"/>
    <n v="18"/>
    <x v="6"/>
    <x v="0"/>
    <x v="0"/>
    <x v="0"/>
    <s v="DM101"/>
    <x v="2"/>
    <n v="85499"/>
    <x v="9"/>
    <s v="Digial marketing"/>
  </r>
  <r>
    <n v="39"/>
    <s v="408-7598474"/>
    <s v="75984"/>
    <x v="1"/>
    <n v="32"/>
    <x v="6"/>
    <x v="0"/>
    <x v="0"/>
    <x v="0"/>
    <s v="DA202"/>
    <x v="0"/>
    <n v="79999"/>
    <x v="28"/>
    <s v="Data analytics"/>
  </r>
  <r>
    <n v="40"/>
    <s v="171-9626926"/>
    <s v="96269"/>
    <x v="0"/>
    <n v="40"/>
    <x v="6"/>
    <x v="0"/>
    <x v="0"/>
    <x v="0"/>
    <s v="DA202"/>
    <x v="0"/>
    <n v="79999"/>
    <x v="29"/>
    <s v="Data analytics"/>
  </r>
  <r>
    <n v="41"/>
    <s v="404-2801808"/>
    <s v="28018"/>
    <x v="0"/>
    <n v="66"/>
    <x v="6"/>
    <x v="0"/>
    <x v="0"/>
    <x v="2"/>
    <s v="DA202"/>
    <x v="0"/>
    <n v="79999"/>
    <x v="30"/>
    <s v="Data analytics"/>
  </r>
  <r>
    <n v="42"/>
    <s v="402-7873915"/>
    <s v="78739"/>
    <x v="0"/>
    <n v="25"/>
    <x v="6"/>
    <x v="0"/>
    <x v="0"/>
    <x v="0"/>
    <s v="BA301"/>
    <x v="1"/>
    <n v="59999"/>
    <x v="24"/>
    <s v="Business analytics"/>
  </r>
  <r>
    <n v="43"/>
    <s v="402-1749038"/>
    <s v="17490"/>
    <x v="1"/>
    <n v="27"/>
    <x v="7"/>
    <x v="0"/>
    <x v="0"/>
    <x v="0"/>
    <s v="DM101"/>
    <x v="2"/>
    <n v="85499"/>
    <x v="3"/>
    <s v="Digial marketing"/>
  </r>
  <r>
    <n v="44"/>
    <s v="402-4407885"/>
    <s v="44078"/>
    <x v="1"/>
    <n v="44"/>
    <x v="7"/>
    <x v="0"/>
    <x v="0"/>
    <x v="0"/>
    <s v="BA301"/>
    <x v="1"/>
    <n v="59999"/>
    <x v="31"/>
    <s v="Business analytics"/>
  </r>
  <r>
    <n v="45"/>
    <s v="171-3572061"/>
    <s v="35720"/>
    <x v="0"/>
    <n v="35"/>
    <x v="7"/>
    <x v="0"/>
    <x v="0"/>
    <x v="2"/>
    <s v="UX401"/>
    <x v="4"/>
    <n v="67990"/>
    <x v="9"/>
    <s v="UI/UX Design"/>
  </r>
  <r>
    <n v="46"/>
    <s v="404-1792872"/>
    <s v="17928"/>
    <x v="1"/>
    <n v="46"/>
    <x v="7"/>
    <x v="0"/>
    <x v="0"/>
    <x v="2"/>
    <s v="BA301"/>
    <x v="1"/>
    <n v="59999"/>
    <x v="32"/>
    <s v="Business analytics"/>
  </r>
  <r>
    <n v="47"/>
    <s v="403-5561058"/>
    <s v="55610"/>
    <x v="0"/>
    <n v="62"/>
    <x v="7"/>
    <x v="0"/>
    <x v="0"/>
    <x v="1"/>
    <s v="DM101"/>
    <x v="2"/>
    <n v="85499"/>
    <x v="33"/>
    <s v="Digial marketing"/>
  </r>
  <r>
    <n v="48"/>
    <s v="406-0513535"/>
    <s v="51353"/>
    <x v="1"/>
    <n v="39"/>
    <x v="7"/>
    <x v="0"/>
    <x v="0"/>
    <x v="2"/>
    <s v="DM101"/>
    <x v="2"/>
    <n v="85499"/>
    <x v="34"/>
    <s v="Digial marketing"/>
  </r>
  <r>
    <n v="49"/>
    <s v="171-4374145"/>
    <s v="43741"/>
    <x v="0"/>
    <n v="28"/>
    <x v="7"/>
    <x v="0"/>
    <x v="0"/>
    <x v="2"/>
    <s v="DA202"/>
    <x v="0"/>
    <n v="79999"/>
    <x v="35"/>
    <s v="Data analytics"/>
  </r>
  <r>
    <n v="50"/>
    <s v="404-6714225"/>
    <s v="67142"/>
    <x v="0"/>
    <n v="19"/>
    <x v="8"/>
    <x v="0"/>
    <x v="0"/>
    <x v="1"/>
    <s v="DA202"/>
    <x v="0"/>
    <n v="79999"/>
    <x v="36"/>
    <s v="Data analytics"/>
  </r>
  <r>
    <n v="51"/>
    <s v="408-4786933"/>
    <s v="47869"/>
    <x v="0"/>
    <n v="72"/>
    <x v="8"/>
    <x v="0"/>
    <x v="0"/>
    <x v="1"/>
    <s v="DA202"/>
    <x v="0"/>
    <n v="79999"/>
    <x v="24"/>
    <s v="Data analytics"/>
  </r>
  <r>
    <n v="52"/>
    <s v="408-6381754"/>
    <s v="63817"/>
    <x v="0"/>
    <n v="49"/>
    <x v="8"/>
    <x v="0"/>
    <x v="0"/>
    <x v="2"/>
    <s v="DA202"/>
    <x v="0"/>
    <n v="79999"/>
    <x v="37"/>
    <s v="Data analytics"/>
  </r>
  <r>
    <n v="53"/>
    <s v="405-8939267"/>
    <s v="89392"/>
    <x v="0"/>
    <n v="49"/>
    <x v="8"/>
    <x v="0"/>
    <x v="2"/>
    <x v="0"/>
    <s v="DM101"/>
    <x v="2"/>
    <n v="85499"/>
    <x v="38"/>
    <s v="Digial marketing"/>
  </r>
  <r>
    <n v="54"/>
    <s v="404-2956654"/>
    <s v="29566"/>
    <x v="1"/>
    <n v="70"/>
    <x v="8"/>
    <x v="0"/>
    <x v="0"/>
    <x v="1"/>
    <s v="DM101"/>
    <x v="2"/>
    <n v="85499"/>
    <x v="39"/>
    <s v="Digial marketing"/>
  </r>
  <r>
    <n v="55"/>
    <s v="403-7589054"/>
    <s v="75890"/>
    <x v="0"/>
    <n v="29"/>
    <x v="8"/>
    <x v="0"/>
    <x v="0"/>
    <x v="2"/>
    <s v="FSD103"/>
    <x v="3"/>
    <n v="109990"/>
    <x v="24"/>
    <s v="Full stack development"/>
  </r>
  <r>
    <n v="56"/>
    <s v="408-7680315"/>
    <s v="76803"/>
    <x v="0"/>
    <n v="39"/>
    <x v="8"/>
    <x v="0"/>
    <x v="0"/>
    <x v="0"/>
    <s v="DM101"/>
    <x v="2"/>
    <n v="85499"/>
    <x v="15"/>
    <s v="Digial marketing"/>
  </r>
  <r>
    <n v="57"/>
    <s v="404-5478577"/>
    <s v="54785"/>
    <x v="0"/>
    <n v="23"/>
    <x v="8"/>
    <x v="0"/>
    <x v="0"/>
    <x v="1"/>
    <s v="BA301"/>
    <x v="1"/>
    <n v="59999"/>
    <x v="3"/>
    <s v="Business analytics"/>
  </r>
  <r>
    <n v="58"/>
    <s v="171-9450626"/>
    <s v="94506"/>
    <x v="0"/>
    <n v="23"/>
    <x v="9"/>
    <x v="0"/>
    <x v="0"/>
    <x v="1"/>
    <s v="DA202"/>
    <x v="0"/>
    <n v="79999"/>
    <x v="40"/>
    <s v="Data analytics"/>
  </r>
  <r>
    <n v="59"/>
    <s v="406-3218335"/>
    <s v="32183"/>
    <x v="0"/>
    <n v="49"/>
    <x v="9"/>
    <x v="0"/>
    <x v="0"/>
    <x v="0"/>
    <s v="DM101"/>
    <x v="2"/>
    <n v="85499"/>
    <x v="15"/>
    <s v="Digial marketing"/>
  </r>
  <r>
    <n v="60"/>
    <s v="408-9724970"/>
    <s v="97249"/>
    <x v="0"/>
    <n v="57"/>
    <x v="9"/>
    <x v="0"/>
    <x v="0"/>
    <x v="0"/>
    <s v="DA202"/>
    <x v="0"/>
    <n v="79999"/>
    <x v="9"/>
    <s v="Data analytics"/>
  </r>
  <r>
    <n v="61"/>
    <s v="171-3249942"/>
    <s v="32499"/>
    <x v="1"/>
    <n v="26"/>
    <x v="9"/>
    <x v="0"/>
    <x v="0"/>
    <x v="1"/>
    <s v="DM101"/>
    <x v="2"/>
    <n v="85499"/>
    <x v="41"/>
    <s v="Digial marketing"/>
  </r>
  <r>
    <n v="62"/>
    <s v="408-6083085"/>
    <s v="60830"/>
    <x v="0"/>
    <n v="24"/>
    <x v="10"/>
    <x v="0"/>
    <x v="0"/>
    <x v="1"/>
    <s v="DA202"/>
    <x v="0"/>
    <n v="79999"/>
    <x v="42"/>
    <s v="Data analytics"/>
  </r>
  <r>
    <n v="63"/>
    <s v="406-0986048"/>
    <s v="98604"/>
    <x v="1"/>
    <n v="33"/>
    <x v="10"/>
    <x v="0"/>
    <x v="0"/>
    <x v="0"/>
    <s v="DA202"/>
    <x v="0"/>
    <n v="79999"/>
    <x v="25"/>
    <s v="Data analytics"/>
  </r>
  <r>
    <n v="64"/>
    <s v="171-3010880"/>
    <s v="30108"/>
    <x v="0"/>
    <n v="43"/>
    <x v="10"/>
    <x v="0"/>
    <x v="0"/>
    <x v="1"/>
    <s v="DM101"/>
    <x v="2"/>
    <n v="85499"/>
    <x v="43"/>
    <s v="Digial marketing"/>
  </r>
  <r>
    <n v="65"/>
    <s v="408-3187292"/>
    <s v="31872"/>
    <x v="0"/>
    <n v="47"/>
    <x v="10"/>
    <x v="0"/>
    <x v="0"/>
    <x v="1"/>
    <s v="DM101"/>
    <x v="2"/>
    <n v="85499"/>
    <x v="44"/>
    <s v="Digial marketing"/>
  </r>
  <r>
    <n v="66"/>
    <s v="402-9128670"/>
    <s v="91286"/>
    <x v="1"/>
    <n v="34"/>
    <x v="10"/>
    <x v="0"/>
    <x v="0"/>
    <x v="0"/>
    <s v="DA202"/>
    <x v="0"/>
    <n v="79999"/>
    <x v="45"/>
    <s v="Data analytics"/>
  </r>
  <r>
    <n v="67"/>
    <s v="407-5367493"/>
    <s v="53674"/>
    <x v="0"/>
    <n v="40"/>
    <x v="11"/>
    <x v="0"/>
    <x v="0"/>
    <x v="3"/>
    <s v="DA202"/>
    <x v="0"/>
    <n v="79999"/>
    <x v="15"/>
    <s v="Data analytics"/>
  </r>
  <r>
    <n v="68"/>
    <s v="406-3574462"/>
    <s v="35744"/>
    <x v="1"/>
    <n v="60"/>
    <x v="11"/>
    <x v="0"/>
    <x v="0"/>
    <x v="1"/>
    <s v="DM101"/>
    <x v="2"/>
    <n v="85499"/>
    <x v="29"/>
    <s v="Digial marketing"/>
  </r>
  <r>
    <n v="69"/>
    <s v="403-6589561"/>
    <s v="65895"/>
    <x v="0"/>
    <n v="20"/>
    <x v="11"/>
    <x v="0"/>
    <x v="0"/>
    <x v="4"/>
    <s v="DM101"/>
    <x v="2"/>
    <n v="85499"/>
    <x v="46"/>
    <s v="Digial marketing"/>
  </r>
  <r>
    <n v="70"/>
    <s v="402-2160240"/>
    <s v="21602"/>
    <x v="0"/>
    <n v="39"/>
    <x v="11"/>
    <x v="0"/>
    <x v="0"/>
    <x v="2"/>
    <s v="FSD103"/>
    <x v="3"/>
    <n v="109990"/>
    <x v="16"/>
    <s v="Full stack development"/>
  </r>
  <r>
    <n v="71"/>
    <s v="171-0494164"/>
    <s v="49416"/>
    <x v="1"/>
    <n v="38"/>
    <x v="11"/>
    <x v="0"/>
    <x v="0"/>
    <x v="2"/>
    <s v="DM101"/>
    <x v="2"/>
    <n v="85499"/>
    <x v="17"/>
    <s v="Digial marketing"/>
  </r>
  <r>
    <n v="72"/>
    <s v="408-0187548"/>
    <s v="18754"/>
    <x v="0"/>
    <n v="30"/>
    <x v="11"/>
    <x v="0"/>
    <x v="0"/>
    <x v="4"/>
    <s v="DM101"/>
    <x v="2"/>
    <n v="85499"/>
    <x v="3"/>
    <s v="Digial marketing"/>
  </r>
  <r>
    <n v="73"/>
    <s v="407-8154708"/>
    <s v="81547"/>
    <x v="0"/>
    <n v="48"/>
    <x v="11"/>
    <x v="0"/>
    <x v="0"/>
    <x v="6"/>
    <s v="DM101"/>
    <x v="2"/>
    <n v="85499"/>
    <x v="47"/>
    <s v="Digial marketing"/>
  </r>
  <r>
    <n v="74"/>
    <s v="406-9091525"/>
    <s v="90915"/>
    <x v="0"/>
    <n v="43"/>
    <x v="11"/>
    <x v="0"/>
    <x v="0"/>
    <x v="2"/>
    <s v="FSD103"/>
    <x v="3"/>
    <n v="109990"/>
    <x v="5"/>
    <s v="Full stack development"/>
  </r>
  <r>
    <n v="75"/>
    <s v="171-5888445"/>
    <s v="58884"/>
    <x v="0"/>
    <n v="23"/>
    <x v="11"/>
    <x v="0"/>
    <x v="0"/>
    <x v="0"/>
    <s v="BA301"/>
    <x v="1"/>
    <n v="59999"/>
    <x v="48"/>
    <s v="Business analytics"/>
  </r>
  <r>
    <n v="76"/>
    <s v="404-1680690"/>
    <s v="16806"/>
    <x v="1"/>
    <n v="38"/>
    <x v="11"/>
    <x v="0"/>
    <x v="0"/>
    <x v="2"/>
    <s v="FSD103"/>
    <x v="3"/>
    <n v="109990"/>
    <x v="49"/>
    <s v="Full stack development"/>
  </r>
  <r>
    <n v="77"/>
    <s v="171-5350184"/>
    <s v="53501"/>
    <x v="0"/>
    <n v="45"/>
    <x v="11"/>
    <x v="0"/>
    <x v="0"/>
    <x v="0"/>
    <s v="FSD103"/>
    <x v="3"/>
    <n v="109990"/>
    <x v="50"/>
    <s v="Full stack development"/>
  </r>
  <r>
    <n v="78"/>
    <s v="405-4684888"/>
    <s v="46848"/>
    <x v="0"/>
    <n v="67"/>
    <x v="12"/>
    <x v="0"/>
    <x v="0"/>
    <x v="1"/>
    <s v="DM101"/>
    <x v="2"/>
    <n v="85499"/>
    <x v="51"/>
    <s v="Digial marketing"/>
  </r>
  <r>
    <n v="79"/>
    <s v="405-0565297"/>
    <s v="56529"/>
    <x v="0"/>
    <n v="33"/>
    <x v="12"/>
    <x v="0"/>
    <x v="0"/>
    <x v="4"/>
    <s v="FSD103"/>
    <x v="3"/>
    <n v="109990"/>
    <x v="52"/>
    <s v="Full stack development"/>
  </r>
  <r>
    <n v="80"/>
    <s v="402-7379296"/>
    <s v="73792"/>
    <x v="1"/>
    <n v="37"/>
    <x v="12"/>
    <x v="0"/>
    <x v="0"/>
    <x v="1"/>
    <s v="DA202"/>
    <x v="0"/>
    <n v="79999"/>
    <x v="53"/>
    <s v="Data analytics"/>
  </r>
  <r>
    <n v="81"/>
    <s v="406-3268546"/>
    <s v="32685"/>
    <x v="0"/>
    <n v="36"/>
    <x v="12"/>
    <x v="0"/>
    <x v="0"/>
    <x v="0"/>
    <s v="DA202"/>
    <x v="0"/>
    <n v="79999"/>
    <x v="49"/>
    <s v="Data analytics"/>
  </r>
  <r>
    <n v="82"/>
    <s v="171-3349225"/>
    <s v="33492"/>
    <x v="0"/>
    <n v="24"/>
    <x v="12"/>
    <x v="0"/>
    <x v="0"/>
    <x v="0"/>
    <s v="DM101"/>
    <x v="2"/>
    <n v="85499"/>
    <x v="19"/>
    <s v="Digial marketing"/>
  </r>
  <r>
    <n v="83"/>
    <s v="405-4461910"/>
    <s v="44619"/>
    <x v="1"/>
    <n v="43"/>
    <x v="12"/>
    <x v="0"/>
    <x v="0"/>
    <x v="1"/>
    <s v="DA202"/>
    <x v="0"/>
    <n v="79999"/>
    <x v="54"/>
    <s v="Data analytics"/>
  </r>
  <r>
    <n v="84"/>
    <s v="171-1057220"/>
    <s v="10572"/>
    <x v="0"/>
    <n v="68"/>
    <x v="13"/>
    <x v="0"/>
    <x v="0"/>
    <x v="0"/>
    <s v="DA202"/>
    <x v="0"/>
    <n v="79999"/>
    <x v="9"/>
    <s v="Data analytics"/>
  </r>
  <r>
    <n v="85"/>
    <s v="171-1855488"/>
    <s v="18554"/>
    <x v="1"/>
    <n v="19"/>
    <x v="13"/>
    <x v="0"/>
    <x v="0"/>
    <x v="2"/>
    <s v="DA202"/>
    <x v="0"/>
    <n v="79999"/>
    <x v="32"/>
    <s v="Data analytics"/>
  </r>
  <r>
    <n v="86"/>
    <s v="406-6877950"/>
    <s v="68779"/>
    <x v="0"/>
    <n v="21"/>
    <x v="13"/>
    <x v="0"/>
    <x v="0"/>
    <x v="1"/>
    <s v="BA301"/>
    <x v="1"/>
    <n v="59999"/>
    <x v="49"/>
    <s v="Business analytics"/>
  </r>
  <r>
    <n v="87"/>
    <s v="403-3541554"/>
    <s v="35415"/>
    <x v="0"/>
    <n v="32"/>
    <x v="13"/>
    <x v="0"/>
    <x v="0"/>
    <x v="2"/>
    <s v="DM101"/>
    <x v="2"/>
    <n v="85499"/>
    <x v="55"/>
    <s v="Digial marketing"/>
  </r>
  <r>
    <n v="88"/>
    <s v="408-7235802"/>
    <s v="72358"/>
    <x v="0"/>
    <n v="38"/>
    <x v="13"/>
    <x v="0"/>
    <x v="0"/>
    <x v="1"/>
    <s v="UX401"/>
    <x v="4"/>
    <n v="67990"/>
    <x v="56"/>
    <s v="UI/UX Design"/>
  </r>
  <r>
    <n v="89"/>
    <s v="408-5208038"/>
    <s v="52080"/>
    <x v="1"/>
    <n v="27"/>
    <x v="13"/>
    <x v="0"/>
    <x v="0"/>
    <x v="1"/>
    <s v="FSD103"/>
    <x v="3"/>
    <n v="109990"/>
    <x v="25"/>
    <s v="Full stack development"/>
  </r>
  <r>
    <n v="90"/>
    <s v="407-0217008"/>
    <s v="21700"/>
    <x v="0"/>
    <n v="77"/>
    <x v="14"/>
    <x v="0"/>
    <x v="0"/>
    <x v="0"/>
    <s v="DA202"/>
    <x v="0"/>
    <n v="79999"/>
    <x v="57"/>
    <s v="Data analytics"/>
  </r>
  <r>
    <n v="91"/>
    <s v="408-4557323"/>
    <s v="45573"/>
    <x v="0"/>
    <n v="32"/>
    <x v="14"/>
    <x v="0"/>
    <x v="0"/>
    <x v="0"/>
    <s v="DM101"/>
    <x v="2"/>
    <n v="85499"/>
    <x v="58"/>
    <s v="Digial marketing"/>
  </r>
  <r>
    <n v="92"/>
    <s v="403-9557304"/>
    <s v="95573"/>
    <x v="0"/>
    <n v="68"/>
    <x v="14"/>
    <x v="0"/>
    <x v="0"/>
    <x v="0"/>
    <s v="DA202"/>
    <x v="0"/>
    <n v="79999"/>
    <x v="16"/>
    <s v="Data analytics"/>
  </r>
  <r>
    <n v="93"/>
    <s v="404-9462272"/>
    <s v="94622"/>
    <x v="0"/>
    <n v="52"/>
    <x v="14"/>
    <x v="0"/>
    <x v="0"/>
    <x v="1"/>
    <s v="DA202"/>
    <x v="0"/>
    <n v="79999"/>
    <x v="3"/>
    <s v="Data analytics"/>
  </r>
  <r>
    <n v="94"/>
    <s v="406-1576659"/>
    <s v="15766"/>
    <x v="0"/>
    <n v="24"/>
    <x v="14"/>
    <x v="0"/>
    <x v="2"/>
    <x v="1"/>
    <s v="DA202"/>
    <x v="0"/>
    <n v="79999"/>
    <x v="9"/>
    <s v="Data analytics"/>
  </r>
  <r>
    <n v="95"/>
    <s v="402-0060101"/>
    <s v="60101"/>
    <x v="0"/>
    <n v="34"/>
    <x v="14"/>
    <x v="0"/>
    <x v="0"/>
    <x v="0"/>
    <s v="DM101"/>
    <x v="2"/>
    <n v="85499"/>
    <x v="59"/>
    <s v="Digial marketing"/>
  </r>
  <r>
    <n v="96"/>
    <s v="402-7625906"/>
    <s v="76259"/>
    <x v="0"/>
    <n v="20"/>
    <x v="14"/>
    <x v="0"/>
    <x v="0"/>
    <x v="1"/>
    <s v="DA202"/>
    <x v="0"/>
    <n v="79999"/>
    <x v="49"/>
    <s v="Data analytics"/>
  </r>
  <r>
    <n v="97"/>
    <s v="171-3978597"/>
    <s v="39785"/>
    <x v="1"/>
    <n v="46"/>
    <x v="15"/>
    <x v="0"/>
    <x v="0"/>
    <x v="2"/>
    <s v="DM101"/>
    <x v="2"/>
    <n v="85499"/>
    <x v="3"/>
    <s v="Digial marketing"/>
  </r>
  <r>
    <n v="98"/>
    <s v="403-0345679"/>
    <s v="34567"/>
    <x v="1"/>
    <n v="27"/>
    <x v="15"/>
    <x v="0"/>
    <x v="0"/>
    <x v="0"/>
    <s v="DM101"/>
    <x v="2"/>
    <n v="85499"/>
    <x v="60"/>
    <s v="Digial marketing"/>
  </r>
  <r>
    <n v="99"/>
    <s v="404-2552340"/>
    <s v="25523"/>
    <x v="1"/>
    <n v="32"/>
    <x v="15"/>
    <x v="0"/>
    <x v="0"/>
    <x v="1"/>
    <s v="BA301"/>
    <x v="1"/>
    <n v="59999"/>
    <x v="3"/>
    <s v="Business analytics"/>
  </r>
  <r>
    <n v="100"/>
    <s v="404-7289147"/>
    <s v="72891"/>
    <x v="0"/>
    <n v="42"/>
    <x v="15"/>
    <x v="0"/>
    <x v="0"/>
    <x v="2"/>
    <s v="BA301"/>
    <x v="1"/>
    <n v="59999"/>
    <x v="3"/>
    <s v="Business analytics"/>
  </r>
  <r>
    <n v="101"/>
    <s v="402-5433381"/>
    <s v="54333"/>
    <x v="0"/>
    <n v="33"/>
    <x v="15"/>
    <x v="0"/>
    <x v="0"/>
    <x v="2"/>
    <s v="FSD103"/>
    <x v="3"/>
    <n v="109990"/>
    <x v="61"/>
    <s v="Full stack development"/>
  </r>
  <r>
    <n v="102"/>
    <s v="406-1101212"/>
    <s v="11012"/>
    <x v="0"/>
    <n v="50"/>
    <x v="15"/>
    <x v="0"/>
    <x v="0"/>
    <x v="0"/>
    <s v="DM101"/>
    <x v="2"/>
    <n v="85499"/>
    <x v="62"/>
    <s v="Digial marketing"/>
  </r>
  <r>
    <n v="103"/>
    <s v="402-2400371"/>
    <s v="24003"/>
    <x v="0"/>
    <n v="70"/>
    <x v="15"/>
    <x v="0"/>
    <x v="0"/>
    <x v="0"/>
    <s v="DA202"/>
    <x v="0"/>
    <n v="79999"/>
    <x v="28"/>
    <s v="Data analytics"/>
  </r>
  <r>
    <n v="104"/>
    <s v="402-0005919"/>
    <s v="5919"/>
    <x v="1"/>
    <n v="27"/>
    <x v="15"/>
    <x v="0"/>
    <x v="0"/>
    <x v="0"/>
    <s v="DM101"/>
    <x v="2"/>
    <n v="85499"/>
    <x v="24"/>
    <s v="Digial marketing"/>
  </r>
  <r>
    <n v="105"/>
    <s v="402-6021433"/>
    <s v="60214"/>
    <x v="0"/>
    <n v="61"/>
    <x v="16"/>
    <x v="0"/>
    <x v="1"/>
    <x v="1"/>
    <s v="DM101"/>
    <x v="2"/>
    <n v="85499"/>
    <x v="63"/>
    <s v="Digial marketing"/>
  </r>
  <r>
    <n v="106"/>
    <s v="402-3597023"/>
    <s v="35970"/>
    <x v="0"/>
    <n v="40"/>
    <x v="16"/>
    <x v="0"/>
    <x v="0"/>
    <x v="6"/>
    <s v="DA202"/>
    <x v="0"/>
    <n v="79999"/>
    <x v="64"/>
    <s v="Data analytics"/>
  </r>
  <r>
    <n v="107"/>
    <s v="402-1834306"/>
    <s v="18343"/>
    <x v="0"/>
    <n v="20"/>
    <x v="16"/>
    <x v="0"/>
    <x v="0"/>
    <x v="2"/>
    <s v="DM101"/>
    <x v="2"/>
    <n v="85499"/>
    <x v="65"/>
    <s v="Digial marketing"/>
  </r>
  <r>
    <n v="108"/>
    <s v="405-7903439"/>
    <s v="79034"/>
    <x v="0"/>
    <n v="77"/>
    <x v="16"/>
    <x v="0"/>
    <x v="0"/>
    <x v="2"/>
    <s v="DA202"/>
    <x v="0"/>
    <n v="79999"/>
    <x v="66"/>
    <s v="Data analytics"/>
  </r>
  <r>
    <n v="109"/>
    <s v="403-0141282"/>
    <s v="14128"/>
    <x v="0"/>
    <n v="41"/>
    <x v="16"/>
    <x v="0"/>
    <x v="0"/>
    <x v="2"/>
    <s v="DM101"/>
    <x v="2"/>
    <n v="85499"/>
    <x v="67"/>
    <s v="Digial marketing"/>
  </r>
  <r>
    <n v="110"/>
    <s v="171-5778060"/>
    <s v="57780"/>
    <x v="1"/>
    <n v="49"/>
    <x v="17"/>
    <x v="0"/>
    <x v="0"/>
    <x v="2"/>
    <s v="BA301"/>
    <x v="1"/>
    <n v="59999"/>
    <x v="68"/>
    <s v="Business analytics"/>
  </r>
  <r>
    <n v="111"/>
    <s v="405-3483619"/>
    <s v="34836"/>
    <x v="1"/>
    <n v="18"/>
    <x v="17"/>
    <x v="0"/>
    <x v="0"/>
    <x v="1"/>
    <s v="BA301"/>
    <x v="1"/>
    <n v="59999"/>
    <x v="69"/>
    <s v="Business analytics"/>
  </r>
  <r>
    <n v="112"/>
    <s v="406-2407496"/>
    <s v="24074"/>
    <x v="1"/>
    <n v="26"/>
    <x v="17"/>
    <x v="0"/>
    <x v="0"/>
    <x v="0"/>
    <s v="DM101"/>
    <x v="2"/>
    <n v="85499"/>
    <x v="19"/>
    <s v="Digial marketing"/>
  </r>
  <r>
    <n v="113"/>
    <s v="405-0077170"/>
    <s v="77170"/>
    <x v="0"/>
    <n v="23"/>
    <x v="17"/>
    <x v="0"/>
    <x v="0"/>
    <x v="4"/>
    <s v="DA202"/>
    <x v="0"/>
    <n v="79999"/>
    <x v="47"/>
    <s v="Data analytics"/>
  </r>
  <r>
    <n v="114"/>
    <s v="171-4771755"/>
    <s v="47717"/>
    <x v="0"/>
    <n v="56"/>
    <x v="18"/>
    <x v="0"/>
    <x v="0"/>
    <x v="2"/>
    <s v="DM101"/>
    <x v="2"/>
    <n v="85499"/>
    <x v="70"/>
    <s v="Digial marketing"/>
  </r>
  <r>
    <n v="115"/>
    <s v="405-7799902"/>
    <s v="77999"/>
    <x v="0"/>
    <n v="33"/>
    <x v="18"/>
    <x v="0"/>
    <x v="0"/>
    <x v="1"/>
    <s v="FSD103"/>
    <x v="3"/>
    <n v="109990"/>
    <x v="64"/>
    <s v="Full stack development"/>
  </r>
  <r>
    <n v="116"/>
    <s v="408-6176089"/>
    <s v="61760"/>
    <x v="0"/>
    <n v="30"/>
    <x v="18"/>
    <x v="0"/>
    <x v="0"/>
    <x v="1"/>
    <s v="DA202"/>
    <x v="0"/>
    <n v="79999"/>
    <x v="71"/>
    <s v="Data analytics"/>
  </r>
  <r>
    <n v="117"/>
    <s v="406-2983182"/>
    <s v="29831"/>
    <x v="0"/>
    <n v="46"/>
    <x v="18"/>
    <x v="0"/>
    <x v="0"/>
    <x v="5"/>
    <s v="DA202"/>
    <x v="0"/>
    <n v="79999"/>
    <x v="72"/>
    <s v="Data analytics"/>
  </r>
  <r>
    <n v="118"/>
    <s v="408-2098874"/>
    <s v="20988"/>
    <x v="1"/>
    <n v="49"/>
    <x v="18"/>
    <x v="0"/>
    <x v="0"/>
    <x v="3"/>
    <s v="DM101"/>
    <x v="2"/>
    <n v="85499"/>
    <x v="73"/>
    <s v="Digial marketing"/>
  </r>
  <r>
    <n v="119"/>
    <s v="402-1883348"/>
    <s v="18833"/>
    <x v="0"/>
    <n v="18"/>
    <x v="18"/>
    <x v="0"/>
    <x v="0"/>
    <x v="3"/>
    <s v="BA301"/>
    <x v="1"/>
    <n v="59999"/>
    <x v="74"/>
    <s v="Business analytics"/>
  </r>
  <r>
    <n v="120"/>
    <s v="408-4391316"/>
    <s v="43913"/>
    <x v="0"/>
    <n v="19"/>
    <x v="18"/>
    <x v="0"/>
    <x v="0"/>
    <x v="1"/>
    <s v="DM101"/>
    <x v="2"/>
    <n v="85499"/>
    <x v="16"/>
    <s v="Digial marketing"/>
  </r>
  <r>
    <n v="121"/>
    <s v="404-8589308"/>
    <s v="85893"/>
    <x v="0"/>
    <n v="44"/>
    <x v="18"/>
    <x v="0"/>
    <x v="0"/>
    <x v="0"/>
    <s v="DM101"/>
    <x v="2"/>
    <n v="85499"/>
    <x v="1"/>
    <s v="Digial marketing"/>
  </r>
  <r>
    <n v="122"/>
    <s v="408-8046186"/>
    <s v="80461"/>
    <x v="1"/>
    <n v="26"/>
    <x v="18"/>
    <x v="0"/>
    <x v="0"/>
    <x v="5"/>
    <s v="DM101"/>
    <x v="2"/>
    <n v="85499"/>
    <x v="75"/>
    <s v="Digial marketing"/>
  </r>
  <r>
    <n v="123"/>
    <s v="403-6483941"/>
    <s v="64839"/>
    <x v="1"/>
    <n v="64"/>
    <x v="18"/>
    <x v="0"/>
    <x v="0"/>
    <x v="0"/>
    <s v="DM101"/>
    <x v="2"/>
    <n v="85499"/>
    <x v="15"/>
    <s v="Digial marketing"/>
  </r>
  <r>
    <n v="124"/>
    <s v="408-2963056"/>
    <s v="29630"/>
    <x v="0"/>
    <n v="67"/>
    <x v="19"/>
    <x v="0"/>
    <x v="0"/>
    <x v="1"/>
    <s v="DM101"/>
    <x v="2"/>
    <n v="85499"/>
    <x v="49"/>
    <s v="Digial marketing"/>
  </r>
  <r>
    <n v="125"/>
    <s v="408-0161822"/>
    <s v="16182"/>
    <x v="0"/>
    <n v="42"/>
    <x v="19"/>
    <x v="0"/>
    <x v="0"/>
    <x v="2"/>
    <s v="DA202"/>
    <x v="0"/>
    <n v="79999"/>
    <x v="76"/>
    <s v="Data analytics"/>
  </r>
  <r>
    <n v="126"/>
    <s v="407-2183965"/>
    <s v="21839"/>
    <x v="0"/>
    <n v="48"/>
    <x v="19"/>
    <x v="0"/>
    <x v="0"/>
    <x v="2"/>
    <s v="DM101"/>
    <x v="2"/>
    <n v="85499"/>
    <x v="77"/>
    <s v="Digial marketing"/>
  </r>
  <r>
    <n v="127"/>
    <s v="403-3538386"/>
    <s v="35383"/>
    <x v="0"/>
    <n v="33"/>
    <x v="19"/>
    <x v="0"/>
    <x v="0"/>
    <x v="1"/>
    <s v="DM101"/>
    <x v="2"/>
    <n v="85499"/>
    <x v="76"/>
    <s v="Digial marketing"/>
  </r>
  <r>
    <n v="128"/>
    <s v="403-2735276"/>
    <s v="27352"/>
    <x v="0"/>
    <n v="26"/>
    <x v="19"/>
    <x v="0"/>
    <x v="0"/>
    <x v="2"/>
    <s v="DM101"/>
    <x v="2"/>
    <n v="85499"/>
    <x v="78"/>
    <s v="Digial marketing"/>
  </r>
  <r>
    <n v="129"/>
    <s v="404-1786782"/>
    <s v="17867"/>
    <x v="0"/>
    <n v="42"/>
    <x v="19"/>
    <x v="0"/>
    <x v="0"/>
    <x v="1"/>
    <s v="DM101"/>
    <x v="2"/>
    <n v="85499"/>
    <x v="17"/>
    <s v="Digial marketing"/>
  </r>
  <r>
    <n v="130"/>
    <s v="404-5891535"/>
    <s v="58915"/>
    <x v="1"/>
    <n v="58"/>
    <x v="19"/>
    <x v="0"/>
    <x v="0"/>
    <x v="0"/>
    <s v="DA202"/>
    <x v="0"/>
    <n v="79999"/>
    <x v="16"/>
    <s v="Data analytics"/>
  </r>
  <r>
    <n v="131"/>
    <s v="403-8759037"/>
    <s v="87590"/>
    <x v="0"/>
    <n v="48"/>
    <x v="19"/>
    <x v="0"/>
    <x v="0"/>
    <x v="1"/>
    <s v="DM101"/>
    <x v="2"/>
    <n v="85499"/>
    <x v="16"/>
    <s v="Digial marketing"/>
  </r>
  <r>
    <n v="132"/>
    <s v="402-3030423"/>
    <s v="30304"/>
    <x v="0"/>
    <n v="27"/>
    <x v="19"/>
    <x v="0"/>
    <x v="0"/>
    <x v="2"/>
    <s v="DM101"/>
    <x v="2"/>
    <n v="85499"/>
    <x v="29"/>
    <s v="Digial marketing"/>
  </r>
  <r>
    <n v="133"/>
    <s v="171-7672111"/>
    <s v="76721"/>
    <x v="1"/>
    <n v="19"/>
    <x v="19"/>
    <x v="0"/>
    <x v="0"/>
    <x v="2"/>
    <s v="BA301"/>
    <x v="1"/>
    <n v="59999"/>
    <x v="79"/>
    <s v="Business analytics"/>
  </r>
  <r>
    <n v="134"/>
    <s v="403-4326876"/>
    <s v="43268"/>
    <x v="0"/>
    <n v="23"/>
    <x v="20"/>
    <x v="0"/>
    <x v="0"/>
    <x v="2"/>
    <s v="FSD103"/>
    <x v="3"/>
    <n v="109990"/>
    <x v="7"/>
    <s v="Full stack development"/>
  </r>
  <r>
    <n v="135"/>
    <s v="407-5044673"/>
    <s v="50446"/>
    <x v="0"/>
    <n v="45"/>
    <x v="20"/>
    <x v="0"/>
    <x v="0"/>
    <x v="1"/>
    <s v="BA301"/>
    <x v="1"/>
    <n v="59999"/>
    <x v="62"/>
    <s v="Business analytics"/>
  </r>
  <r>
    <n v="136"/>
    <s v="402-6837550"/>
    <s v="68375"/>
    <x v="0"/>
    <n v="29"/>
    <x v="20"/>
    <x v="0"/>
    <x v="0"/>
    <x v="0"/>
    <s v="UX401"/>
    <x v="4"/>
    <n v="67990"/>
    <x v="16"/>
    <s v="UI/UX Design"/>
  </r>
  <r>
    <n v="137"/>
    <s v="406-7924642"/>
    <s v="79246"/>
    <x v="0"/>
    <n v="43"/>
    <x v="20"/>
    <x v="0"/>
    <x v="0"/>
    <x v="0"/>
    <s v="DA202"/>
    <x v="0"/>
    <n v="79999"/>
    <x v="16"/>
    <s v="Data analytics"/>
  </r>
  <r>
    <n v="138"/>
    <s v="408-8512749"/>
    <s v="85127"/>
    <x v="0"/>
    <n v="50"/>
    <x v="20"/>
    <x v="0"/>
    <x v="0"/>
    <x v="4"/>
    <s v="DM101"/>
    <x v="2"/>
    <n v="85499"/>
    <x v="16"/>
    <s v="Digial marketing"/>
  </r>
  <r>
    <n v="139"/>
    <s v="404-0573853"/>
    <s v="57385"/>
    <x v="0"/>
    <n v="33"/>
    <x v="20"/>
    <x v="0"/>
    <x v="0"/>
    <x v="1"/>
    <s v="BA301"/>
    <x v="1"/>
    <n v="59999"/>
    <x v="80"/>
    <s v="Business analytics"/>
  </r>
  <r>
    <n v="140"/>
    <s v="407-3476037"/>
    <s v="34760"/>
    <x v="0"/>
    <n v="28"/>
    <x v="20"/>
    <x v="0"/>
    <x v="0"/>
    <x v="1"/>
    <s v="DM101"/>
    <x v="2"/>
    <n v="85499"/>
    <x v="9"/>
    <s v="Digial marketing"/>
  </r>
  <r>
    <n v="141"/>
    <s v="403-8309301"/>
    <s v="83093"/>
    <x v="1"/>
    <n v="18"/>
    <x v="20"/>
    <x v="0"/>
    <x v="0"/>
    <x v="0"/>
    <s v="DA202"/>
    <x v="0"/>
    <n v="79999"/>
    <x v="81"/>
    <s v="Data analytics"/>
  </r>
  <r>
    <n v="142"/>
    <s v="403-6927528"/>
    <s v="69275"/>
    <x v="1"/>
    <n v="41"/>
    <x v="20"/>
    <x v="0"/>
    <x v="0"/>
    <x v="0"/>
    <s v="UX401"/>
    <x v="4"/>
    <n v="67990"/>
    <x v="1"/>
    <s v="UI/UX Design"/>
  </r>
  <r>
    <n v="143"/>
    <s v="404-1914408"/>
    <s v="19144"/>
    <x v="0"/>
    <n v="22"/>
    <x v="20"/>
    <x v="0"/>
    <x v="0"/>
    <x v="0"/>
    <s v="DA202"/>
    <x v="0"/>
    <n v="79999"/>
    <x v="82"/>
    <s v="Data analytics"/>
  </r>
  <r>
    <n v="144"/>
    <s v="408-4560209"/>
    <s v="45602"/>
    <x v="0"/>
    <n v="42"/>
    <x v="21"/>
    <x v="0"/>
    <x v="0"/>
    <x v="1"/>
    <s v="DA202"/>
    <x v="0"/>
    <n v="79999"/>
    <x v="15"/>
    <s v="Data analytics"/>
  </r>
  <r>
    <n v="145"/>
    <s v="408-3846081"/>
    <s v="38460"/>
    <x v="0"/>
    <n v="34"/>
    <x v="21"/>
    <x v="0"/>
    <x v="0"/>
    <x v="0"/>
    <s v="DA202"/>
    <x v="0"/>
    <n v="79999"/>
    <x v="15"/>
    <s v="Data analytics"/>
  </r>
  <r>
    <n v="146"/>
    <s v="171-4853638"/>
    <s v="48536"/>
    <x v="0"/>
    <n v="21"/>
    <x v="21"/>
    <x v="0"/>
    <x v="0"/>
    <x v="1"/>
    <s v="BA301"/>
    <x v="1"/>
    <n v="59999"/>
    <x v="83"/>
    <s v="Business analytics"/>
  </r>
  <r>
    <n v="147"/>
    <s v="403-1073898"/>
    <s v="10738"/>
    <x v="0"/>
    <n v="51"/>
    <x v="21"/>
    <x v="0"/>
    <x v="0"/>
    <x v="0"/>
    <s v="DA202"/>
    <x v="0"/>
    <n v="79999"/>
    <x v="29"/>
    <s v="Data analytics"/>
  </r>
  <r>
    <n v="148"/>
    <s v="408-3827989"/>
    <s v="38279"/>
    <x v="1"/>
    <n v="38"/>
    <x v="21"/>
    <x v="0"/>
    <x v="0"/>
    <x v="2"/>
    <s v="UX401"/>
    <x v="4"/>
    <n v="67990"/>
    <x v="29"/>
    <s v="UI/UX Design"/>
  </r>
  <r>
    <n v="149"/>
    <s v="408-0418269"/>
    <s v="41826"/>
    <x v="1"/>
    <n v="37"/>
    <x v="21"/>
    <x v="0"/>
    <x v="0"/>
    <x v="1"/>
    <s v="DM101"/>
    <x v="2"/>
    <n v="85499"/>
    <x v="84"/>
    <s v="Digial marketing"/>
  </r>
  <r>
    <n v="150"/>
    <s v="408-4300165"/>
    <s v="43001"/>
    <x v="0"/>
    <n v="38"/>
    <x v="21"/>
    <x v="0"/>
    <x v="0"/>
    <x v="3"/>
    <s v="AI001"/>
    <x v="5"/>
    <n v="119990"/>
    <x v="27"/>
    <s v="AI &amp; ML"/>
  </r>
  <r>
    <n v="151"/>
    <s v="405-9669600"/>
    <s v="96696"/>
    <x v="0"/>
    <n v="33"/>
    <x v="22"/>
    <x v="0"/>
    <x v="0"/>
    <x v="1"/>
    <s v="BA301"/>
    <x v="1"/>
    <n v="59999"/>
    <x v="2"/>
    <s v="Business analytics"/>
  </r>
  <r>
    <n v="152"/>
    <s v="402-4277265"/>
    <s v="42772"/>
    <x v="0"/>
    <n v="45"/>
    <x v="22"/>
    <x v="0"/>
    <x v="0"/>
    <x v="0"/>
    <s v="DA202"/>
    <x v="0"/>
    <n v="79999"/>
    <x v="23"/>
    <s v="Data analytics"/>
  </r>
  <r>
    <n v="153"/>
    <s v="404-2497796"/>
    <s v="24977"/>
    <x v="0"/>
    <n v="34"/>
    <x v="22"/>
    <x v="0"/>
    <x v="0"/>
    <x v="1"/>
    <s v="DA202"/>
    <x v="0"/>
    <n v="79999"/>
    <x v="85"/>
    <s v="Data analytics"/>
  </r>
  <r>
    <n v="154"/>
    <s v="405-5993988"/>
    <s v="59939"/>
    <x v="0"/>
    <n v="69"/>
    <x v="23"/>
    <x v="0"/>
    <x v="0"/>
    <x v="2"/>
    <s v="UX401"/>
    <x v="4"/>
    <n v="67990"/>
    <x v="15"/>
    <s v="UI/UX Design"/>
  </r>
  <r>
    <n v="155"/>
    <s v="408-7439271"/>
    <s v="74392"/>
    <x v="0"/>
    <n v="22"/>
    <x v="23"/>
    <x v="0"/>
    <x v="0"/>
    <x v="0"/>
    <s v="UX401"/>
    <x v="4"/>
    <n v="67990"/>
    <x v="78"/>
    <s v="UI/UX Design"/>
  </r>
  <r>
    <n v="156"/>
    <s v="403-6473208"/>
    <s v="64732"/>
    <x v="0"/>
    <n v="66"/>
    <x v="23"/>
    <x v="0"/>
    <x v="0"/>
    <x v="0"/>
    <s v="DA202"/>
    <x v="0"/>
    <n v="79999"/>
    <x v="32"/>
    <s v="Data analytics"/>
  </r>
  <r>
    <n v="157"/>
    <s v="406-4094320"/>
    <s v="40943"/>
    <x v="0"/>
    <n v="32"/>
    <x v="23"/>
    <x v="0"/>
    <x v="2"/>
    <x v="1"/>
    <s v="BA301"/>
    <x v="1"/>
    <n v="59999"/>
    <x v="9"/>
    <s v="Business analytics"/>
  </r>
  <r>
    <n v="158"/>
    <s v="407-0401419"/>
    <s v="40141"/>
    <x v="1"/>
    <n v="64"/>
    <x v="23"/>
    <x v="0"/>
    <x v="0"/>
    <x v="2"/>
    <s v="DM101"/>
    <x v="2"/>
    <n v="85499"/>
    <x v="25"/>
    <s v="Digial marketing"/>
  </r>
  <r>
    <n v="159"/>
    <s v="405-0422153"/>
    <s v="42215"/>
    <x v="1"/>
    <n v="28"/>
    <x v="23"/>
    <x v="0"/>
    <x v="0"/>
    <x v="1"/>
    <s v="DM101"/>
    <x v="2"/>
    <n v="85499"/>
    <x v="29"/>
    <s v="Digial marketing"/>
  </r>
  <r>
    <n v="160"/>
    <s v="402-3988691"/>
    <s v="39886"/>
    <x v="1"/>
    <n v="32"/>
    <x v="23"/>
    <x v="0"/>
    <x v="0"/>
    <x v="1"/>
    <s v="DA202"/>
    <x v="0"/>
    <n v="79999"/>
    <x v="15"/>
    <s v="Data analytics"/>
  </r>
  <r>
    <n v="161"/>
    <s v="404-0897414"/>
    <s v="89741"/>
    <x v="1"/>
    <n v="33"/>
    <x v="24"/>
    <x v="0"/>
    <x v="0"/>
    <x v="0"/>
    <s v="DA202"/>
    <x v="0"/>
    <n v="79999"/>
    <x v="16"/>
    <s v="Data analytics"/>
  </r>
  <r>
    <n v="162"/>
    <s v="408-7961634"/>
    <s v="79616"/>
    <x v="0"/>
    <n v="19"/>
    <x v="24"/>
    <x v="0"/>
    <x v="0"/>
    <x v="0"/>
    <s v="DM101"/>
    <x v="2"/>
    <n v="85499"/>
    <x v="86"/>
    <s v="Digial marketing"/>
  </r>
  <r>
    <n v="163"/>
    <s v="406-0510789"/>
    <s v="51078"/>
    <x v="0"/>
    <n v="29"/>
    <x v="24"/>
    <x v="0"/>
    <x v="0"/>
    <x v="1"/>
    <s v="DM101"/>
    <x v="2"/>
    <n v="85499"/>
    <x v="87"/>
    <s v="Digial marketing"/>
  </r>
  <r>
    <n v="164"/>
    <s v="403-0213203"/>
    <s v="21320"/>
    <x v="1"/>
    <n v="47"/>
    <x v="24"/>
    <x v="0"/>
    <x v="0"/>
    <x v="2"/>
    <s v="DA202"/>
    <x v="0"/>
    <n v="79999"/>
    <x v="88"/>
    <s v="Data analytics"/>
  </r>
  <r>
    <n v="165"/>
    <s v="407-5307602"/>
    <s v="53076"/>
    <x v="1"/>
    <n v="33"/>
    <x v="24"/>
    <x v="0"/>
    <x v="0"/>
    <x v="2"/>
    <s v="DA202"/>
    <x v="0"/>
    <n v="79999"/>
    <x v="54"/>
    <s v="Data analytics"/>
  </r>
  <r>
    <n v="166"/>
    <s v="405-6275318"/>
    <s v="62753"/>
    <x v="0"/>
    <n v="45"/>
    <x v="24"/>
    <x v="0"/>
    <x v="0"/>
    <x v="1"/>
    <s v="BA301"/>
    <x v="1"/>
    <n v="59999"/>
    <x v="75"/>
    <s v="Business analytics"/>
  </r>
  <r>
    <n v="167"/>
    <s v="402-4682733"/>
    <s v="46827"/>
    <x v="0"/>
    <n v="43"/>
    <x v="24"/>
    <x v="0"/>
    <x v="0"/>
    <x v="2"/>
    <s v="DM101"/>
    <x v="2"/>
    <n v="85499"/>
    <x v="15"/>
    <s v="Digial marketing"/>
  </r>
  <r>
    <n v="168"/>
    <s v="171-7980945"/>
    <s v="79809"/>
    <x v="0"/>
    <n v="44"/>
    <x v="24"/>
    <x v="0"/>
    <x v="0"/>
    <x v="2"/>
    <s v="DA202"/>
    <x v="0"/>
    <n v="79999"/>
    <x v="89"/>
    <s v="Data analytics"/>
  </r>
  <r>
    <n v="169"/>
    <s v="407-2339108"/>
    <s v="23391"/>
    <x v="0"/>
    <n v="41"/>
    <x v="24"/>
    <x v="0"/>
    <x v="0"/>
    <x v="1"/>
    <s v="DM101"/>
    <x v="2"/>
    <n v="85499"/>
    <x v="90"/>
    <s v="Digial marketing"/>
  </r>
  <r>
    <n v="170"/>
    <s v="171-3843849"/>
    <s v="38438"/>
    <x v="1"/>
    <n v="38"/>
    <x v="24"/>
    <x v="0"/>
    <x v="0"/>
    <x v="1"/>
    <s v="DM101"/>
    <x v="2"/>
    <n v="85499"/>
    <x v="91"/>
    <s v="Digial marketing"/>
  </r>
  <r>
    <n v="171"/>
    <s v="406-1521193"/>
    <s v="15211"/>
    <x v="0"/>
    <n v="46"/>
    <x v="25"/>
    <x v="0"/>
    <x v="0"/>
    <x v="6"/>
    <s v="BA301"/>
    <x v="1"/>
    <n v="59999"/>
    <x v="92"/>
    <s v="Business analytics"/>
  </r>
  <r>
    <n v="172"/>
    <s v="406-4648268"/>
    <s v="46482"/>
    <x v="1"/>
    <n v="38"/>
    <x v="25"/>
    <x v="0"/>
    <x v="0"/>
    <x v="4"/>
    <s v="DM101"/>
    <x v="2"/>
    <n v="85499"/>
    <x v="93"/>
    <s v="Digial marketing"/>
  </r>
  <r>
    <n v="173"/>
    <s v="408-8748616"/>
    <s v="87486"/>
    <x v="1"/>
    <n v="19"/>
    <x v="25"/>
    <x v="0"/>
    <x v="0"/>
    <x v="0"/>
    <s v="DM101"/>
    <x v="2"/>
    <n v="85499"/>
    <x v="24"/>
    <s v="Digial marketing"/>
  </r>
  <r>
    <n v="174"/>
    <s v="406-7246715"/>
    <s v="72467"/>
    <x v="0"/>
    <n v="20"/>
    <x v="25"/>
    <x v="0"/>
    <x v="0"/>
    <x v="1"/>
    <s v="BA301"/>
    <x v="1"/>
    <n v="59999"/>
    <x v="80"/>
    <s v="Business analytics"/>
  </r>
  <r>
    <n v="175"/>
    <s v="407-1564349"/>
    <s v="15643"/>
    <x v="0"/>
    <n v="20"/>
    <x v="25"/>
    <x v="0"/>
    <x v="0"/>
    <x v="2"/>
    <s v="BA301"/>
    <x v="1"/>
    <n v="59999"/>
    <x v="29"/>
    <s v="Business analytics"/>
  </r>
  <r>
    <n v="176"/>
    <s v="407-8641020"/>
    <s v="86410"/>
    <x v="0"/>
    <n v="26"/>
    <x v="25"/>
    <x v="0"/>
    <x v="0"/>
    <x v="0"/>
    <s v="BA301"/>
    <x v="1"/>
    <n v="59999"/>
    <x v="10"/>
    <s v="Business analytics"/>
  </r>
  <r>
    <n v="177"/>
    <s v="402-1389258"/>
    <s v="13892"/>
    <x v="0"/>
    <n v="67"/>
    <x v="25"/>
    <x v="0"/>
    <x v="0"/>
    <x v="0"/>
    <s v="DM101"/>
    <x v="2"/>
    <n v="85499"/>
    <x v="15"/>
    <s v="Digial marketing"/>
  </r>
  <r>
    <n v="178"/>
    <s v="406-6009210"/>
    <s v="60092"/>
    <x v="1"/>
    <n v="62"/>
    <x v="25"/>
    <x v="0"/>
    <x v="0"/>
    <x v="0"/>
    <s v="DA202"/>
    <x v="0"/>
    <n v="79999"/>
    <x v="94"/>
    <s v="Data analytics"/>
  </r>
  <r>
    <n v="179"/>
    <s v="407-1738341"/>
    <s v="17383"/>
    <x v="0"/>
    <n v="49"/>
    <x v="25"/>
    <x v="0"/>
    <x v="0"/>
    <x v="2"/>
    <s v="BA301"/>
    <x v="1"/>
    <n v="59999"/>
    <x v="16"/>
    <s v="Business analytics"/>
  </r>
  <r>
    <n v="180"/>
    <s v="404-4052594"/>
    <s v="40525"/>
    <x v="0"/>
    <n v="48"/>
    <x v="25"/>
    <x v="0"/>
    <x v="0"/>
    <x v="0"/>
    <s v="DA202"/>
    <x v="0"/>
    <n v="79999"/>
    <x v="17"/>
    <s v="Data analytics"/>
  </r>
  <r>
    <n v="181"/>
    <s v="407-6742401"/>
    <s v="67424"/>
    <x v="0"/>
    <n v="23"/>
    <x v="25"/>
    <x v="0"/>
    <x v="2"/>
    <x v="4"/>
    <s v="DA202"/>
    <x v="0"/>
    <n v="79999"/>
    <x v="95"/>
    <s v="Data analytics"/>
  </r>
  <r>
    <n v="182"/>
    <s v="404-4740904"/>
    <s v="47409"/>
    <x v="0"/>
    <n v="37"/>
    <x v="26"/>
    <x v="0"/>
    <x v="0"/>
    <x v="0"/>
    <s v="DA202"/>
    <x v="0"/>
    <n v="79999"/>
    <x v="96"/>
    <s v="Data analytics"/>
  </r>
  <r>
    <n v="183"/>
    <s v="404-3237647"/>
    <s v="32376"/>
    <x v="1"/>
    <n v="41"/>
    <x v="26"/>
    <x v="0"/>
    <x v="1"/>
    <x v="6"/>
    <s v="BA301"/>
    <x v="1"/>
    <n v="59999"/>
    <x v="97"/>
    <s v="Business analytics"/>
  </r>
  <r>
    <n v="184"/>
    <s v="405-8337682"/>
    <s v="83376"/>
    <x v="0"/>
    <n v="18"/>
    <x v="26"/>
    <x v="0"/>
    <x v="0"/>
    <x v="1"/>
    <s v="DA202"/>
    <x v="0"/>
    <n v="79999"/>
    <x v="98"/>
    <s v="Data analytics"/>
  </r>
  <r>
    <n v="185"/>
    <s v="171-6064282"/>
    <s v="60642"/>
    <x v="0"/>
    <n v="28"/>
    <x v="26"/>
    <x v="0"/>
    <x v="0"/>
    <x v="1"/>
    <s v="DA202"/>
    <x v="0"/>
    <n v="79999"/>
    <x v="99"/>
    <s v="Data analytics"/>
  </r>
  <r>
    <n v="186"/>
    <s v="406-7011928"/>
    <s v="70119"/>
    <x v="0"/>
    <n v="27"/>
    <x v="26"/>
    <x v="0"/>
    <x v="0"/>
    <x v="1"/>
    <s v="DM101"/>
    <x v="2"/>
    <n v="85499"/>
    <x v="100"/>
    <s v="Digial marketing"/>
  </r>
  <r>
    <n v="187"/>
    <s v="406-4689728"/>
    <s v="46897"/>
    <x v="0"/>
    <n v="19"/>
    <x v="26"/>
    <x v="0"/>
    <x v="0"/>
    <x v="1"/>
    <s v="DM101"/>
    <x v="2"/>
    <n v="85499"/>
    <x v="49"/>
    <s v="Digial marketing"/>
  </r>
  <r>
    <n v="188"/>
    <s v="408-2399717"/>
    <s v="23997"/>
    <x v="1"/>
    <n v="47"/>
    <x v="26"/>
    <x v="0"/>
    <x v="0"/>
    <x v="0"/>
    <s v="DM101"/>
    <x v="2"/>
    <n v="85499"/>
    <x v="57"/>
    <s v="Digial marketing"/>
  </r>
  <r>
    <n v="189"/>
    <s v="405-3011139"/>
    <s v="30111"/>
    <x v="0"/>
    <n v="37"/>
    <x v="26"/>
    <x v="0"/>
    <x v="0"/>
    <x v="6"/>
    <s v="DM101"/>
    <x v="2"/>
    <n v="85499"/>
    <x v="16"/>
    <s v="Digial marketing"/>
  </r>
  <r>
    <n v="190"/>
    <s v="403-5101426"/>
    <s v="51014"/>
    <x v="0"/>
    <n v="45"/>
    <x v="27"/>
    <x v="0"/>
    <x v="0"/>
    <x v="2"/>
    <s v="UX401"/>
    <x v="4"/>
    <n v="67990"/>
    <x v="101"/>
    <s v="UI/UX Design"/>
  </r>
  <r>
    <n v="191"/>
    <s v="404-3587103"/>
    <s v="35871"/>
    <x v="0"/>
    <n v="39"/>
    <x v="27"/>
    <x v="0"/>
    <x v="0"/>
    <x v="6"/>
    <s v="DM101"/>
    <x v="2"/>
    <n v="85499"/>
    <x v="24"/>
    <s v="Digial marketing"/>
  </r>
  <r>
    <n v="192"/>
    <s v="407-4163911"/>
    <s v="41639"/>
    <x v="0"/>
    <n v="37"/>
    <x v="27"/>
    <x v="0"/>
    <x v="0"/>
    <x v="1"/>
    <s v="DM101"/>
    <x v="2"/>
    <n v="85499"/>
    <x v="15"/>
    <s v="Digial marketing"/>
  </r>
  <r>
    <n v="193"/>
    <s v="408-7584240"/>
    <s v="75842"/>
    <x v="0"/>
    <n v="26"/>
    <x v="27"/>
    <x v="0"/>
    <x v="0"/>
    <x v="2"/>
    <s v="DM101"/>
    <x v="2"/>
    <n v="85499"/>
    <x v="12"/>
    <s v="Digial marketing"/>
  </r>
  <r>
    <n v="194"/>
    <s v="407-6288527"/>
    <s v="62885"/>
    <x v="0"/>
    <n v="69"/>
    <x v="28"/>
    <x v="0"/>
    <x v="0"/>
    <x v="1"/>
    <s v="DA202"/>
    <x v="0"/>
    <n v="79999"/>
    <x v="9"/>
    <s v="Data analytics"/>
  </r>
  <r>
    <n v="195"/>
    <s v="402-7374699"/>
    <s v="73746"/>
    <x v="1"/>
    <n v="68"/>
    <x v="28"/>
    <x v="0"/>
    <x v="0"/>
    <x v="1"/>
    <s v="DA202"/>
    <x v="0"/>
    <n v="79999"/>
    <x v="76"/>
    <s v="Data analytics"/>
  </r>
  <r>
    <n v="196"/>
    <s v="404-0324791"/>
    <s v="32479"/>
    <x v="0"/>
    <n v="22"/>
    <x v="28"/>
    <x v="0"/>
    <x v="0"/>
    <x v="1"/>
    <s v="BA301"/>
    <x v="1"/>
    <n v="59999"/>
    <x v="102"/>
    <s v="Business analytics"/>
  </r>
  <r>
    <n v="197"/>
    <s v="405-7911605"/>
    <s v="79116"/>
    <x v="0"/>
    <n v="49"/>
    <x v="28"/>
    <x v="0"/>
    <x v="0"/>
    <x v="5"/>
    <s v="DA202"/>
    <x v="0"/>
    <n v="79999"/>
    <x v="100"/>
    <s v="Data analytics"/>
  </r>
  <r>
    <n v="198"/>
    <s v="405-2341578"/>
    <s v="23415"/>
    <x v="0"/>
    <n v="42"/>
    <x v="28"/>
    <x v="0"/>
    <x v="0"/>
    <x v="1"/>
    <s v="BA301"/>
    <x v="1"/>
    <n v="59999"/>
    <x v="56"/>
    <s v="Business analytics"/>
  </r>
  <r>
    <n v="199"/>
    <s v="402-0934848"/>
    <s v="93484"/>
    <x v="1"/>
    <n v="18"/>
    <x v="29"/>
    <x v="0"/>
    <x v="0"/>
    <x v="1"/>
    <s v="BA301"/>
    <x v="1"/>
    <n v="59999"/>
    <x v="103"/>
    <s v="Business analytics"/>
  </r>
  <r>
    <n v="200"/>
    <s v="405-0273576"/>
    <s v="27357"/>
    <x v="0"/>
    <n v="33"/>
    <x v="29"/>
    <x v="0"/>
    <x v="0"/>
    <x v="5"/>
    <s v="DA202"/>
    <x v="0"/>
    <n v="79999"/>
    <x v="25"/>
    <s v="Data analytics"/>
  </r>
  <r>
    <n v="201"/>
    <s v="407-9155082"/>
    <s v="91550"/>
    <x v="0"/>
    <n v="40"/>
    <x v="29"/>
    <x v="0"/>
    <x v="0"/>
    <x v="1"/>
    <s v="DA202"/>
    <x v="0"/>
    <n v="79999"/>
    <x v="104"/>
    <s v="Data analytics"/>
  </r>
  <r>
    <n v="202"/>
    <s v="406-0631887"/>
    <s v="63188"/>
    <x v="1"/>
    <n v="45"/>
    <x v="29"/>
    <x v="0"/>
    <x v="0"/>
    <x v="2"/>
    <s v="DM101"/>
    <x v="2"/>
    <n v="85499"/>
    <x v="9"/>
    <s v="Digial marketing"/>
  </r>
  <r>
    <n v="203"/>
    <s v="403-3153367"/>
    <s v="31533"/>
    <x v="0"/>
    <n v="33"/>
    <x v="29"/>
    <x v="0"/>
    <x v="0"/>
    <x v="2"/>
    <s v="DA202"/>
    <x v="0"/>
    <n v="79999"/>
    <x v="3"/>
    <s v="Data analytics"/>
  </r>
  <r>
    <n v="204"/>
    <s v="402-7440350"/>
    <s v="74403"/>
    <x v="0"/>
    <n v="36"/>
    <x v="29"/>
    <x v="0"/>
    <x v="0"/>
    <x v="2"/>
    <s v="DA202"/>
    <x v="0"/>
    <n v="79999"/>
    <x v="15"/>
    <s v="Data analytics"/>
  </r>
  <r>
    <n v="205"/>
    <s v="405-2665944"/>
    <s v="26659"/>
    <x v="0"/>
    <n v="30"/>
    <x v="29"/>
    <x v="0"/>
    <x v="0"/>
    <x v="0"/>
    <s v="DA202"/>
    <x v="0"/>
    <n v="79999"/>
    <x v="105"/>
    <s v="Data analytics"/>
  </r>
  <r>
    <n v="206"/>
    <s v="171-1488809"/>
    <s v="14888"/>
    <x v="1"/>
    <n v="58"/>
    <x v="29"/>
    <x v="0"/>
    <x v="0"/>
    <x v="4"/>
    <s v="FSD103"/>
    <x v="3"/>
    <n v="109990"/>
    <x v="56"/>
    <s v="Full stack development"/>
  </r>
  <r>
    <n v="207"/>
    <s v="406-7470990"/>
    <s v="74709"/>
    <x v="0"/>
    <n v="35"/>
    <x v="29"/>
    <x v="0"/>
    <x v="0"/>
    <x v="0"/>
    <s v="DM101"/>
    <x v="2"/>
    <n v="85499"/>
    <x v="1"/>
    <s v="Digial marketing"/>
  </r>
  <r>
    <n v="208"/>
    <s v="406-3215482"/>
    <s v="32154"/>
    <x v="0"/>
    <n v="28"/>
    <x v="29"/>
    <x v="0"/>
    <x v="0"/>
    <x v="1"/>
    <s v="BA301"/>
    <x v="1"/>
    <n v="59999"/>
    <x v="106"/>
    <s v="Business analytics"/>
  </r>
  <r>
    <n v="209"/>
    <s v="403-4652140"/>
    <s v="46521"/>
    <x v="1"/>
    <n v="66"/>
    <x v="29"/>
    <x v="0"/>
    <x v="0"/>
    <x v="0"/>
    <s v="DM101"/>
    <x v="2"/>
    <n v="85499"/>
    <x v="5"/>
    <s v="Digial marketing"/>
  </r>
  <r>
    <n v="210"/>
    <s v="405-5376723"/>
    <s v="53767"/>
    <x v="0"/>
    <n v="34"/>
    <x v="30"/>
    <x v="0"/>
    <x v="0"/>
    <x v="1"/>
    <s v="BA301"/>
    <x v="1"/>
    <n v="59999"/>
    <x v="26"/>
    <s v="Business analytics"/>
  </r>
  <r>
    <n v="211"/>
    <s v="403-8208490"/>
    <s v="82084"/>
    <x v="1"/>
    <n v="49"/>
    <x v="30"/>
    <x v="0"/>
    <x v="0"/>
    <x v="1"/>
    <s v="BA301"/>
    <x v="1"/>
    <n v="59999"/>
    <x v="1"/>
    <s v="Business analytics"/>
  </r>
  <r>
    <n v="212"/>
    <s v="171-3745272"/>
    <s v="37452"/>
    <x v="0"/>
    <n v="41"/>
    <x v="30"/>
    <x v="0"/>
    <x v="0"/>
    <x v="0"/>
    <s v="DA202"/>
    <x v="0"/>
    <n v="79999"/>
    <x v="107"/>
    <s v="Data analytics"/>
  </r>
  <r>
    <n v="213"/>
    <s v="408-4296709"/>
    <s v="42967"/>
    <x v="0"/>
    <n v="60"/>
    <x v="30"/>
    <x v="0"/>
    <x v="0"/>
    <x v="2"/>
    <s v="DA202"/>
    <x v="0"/>
    <n v="79999"/>
    <x v="108"/>
    <s v="Data analytics"/>
  </r>
  <r>
    <n v="214"/>
    <s v="402-7179373"/>
    <s v="71793"/>
    <x v="1"/>
    <n v="33"/>
    <x v="30"/>
    <x v="0"/>
    <x v="0"/>
    <x v="1"/>
    <s v="DM101"/>
    <x v="2"/>
    <n v="85499"/>
    <x v="109"/>
    <s v="Digial marketing"/>
  </r>
  <r>
    <n v="215"/>
    <s v="407-6410724"/>
    <s v="64107"/>
    <x v="0"/>
    <n v="38"/>
    <x v="30"/>
    <x v="0"/>
    <x v="0"/>
    <x v="1"/>
    <s v="DM101"/>
    <x v="2"/>
    <n v="85499"/>
    <x v="15"/>
    <s v="Digial marketing"/>
  </r>
  <r>
    <n v="216"/>
    <s v="171-7497249"/>
    <s v="74972"/>
    <x v="1"/>
    <n v="24"/>
    <x v="30"/>
    <x v="0"/>
    <x v="0"/>
    <x v="4"/>
    <s v="BA301"/>
    <x v="1"/>
    <n v="59999"/>
    <x v="110"/>
    <s v="Business analytics"/>
  </r>
  <r>
    <n v="217"/>
    <s v="171-2759243"/>
    <s v="27592"/>
    <x v="0"/>
    <n v="57"/>
    <x v="30"/>
    <x v="0"/>
    <x v="0"/>
    <x v="0"/>
    <s v="DM101"/>
    <x v="2"/>
    <n v="85499"/>
    <x v="111"/>
    <s v="Digial marketing"/>
  </r>
  <r>
    <n v="218"/>
    <s v="405-4422803"/>
    <s v="44228"/>
    <x v="0"/>
    <n v="66"/>
    <x v="30"/>
    <x v="0"/>
    <x v="0"/>
    <x v="1"/>
    <s v="DM101"/>
    <x v="2"/>
    <n v="85499"/>
    <x v="112"/>
    <s v="Digial marketing"/>
  </r>
  <r>
    <n v="219"/>
    <s v="171-8867724"/>
    <s v="88677"/>
    <x v="1"/>
    <n v="74"/>
    <x v="31"/>
    <x v="1"/>
    <x v="0"/>
    <x v="3"/>
    <s v="DM101"/>
    <x v="2"/>
    <n v="85499"/>
    <x v="32"/>
    <s v="Digial marketing"/>
  </r>
  <r>
    <n v="220"/>
    <s v="407-1479662"/>
    <s v="14796"/>
    <x v="1"/>
    <n v="41"/>
    <x v="31"/>
    <x v="1"/>
    <x v="0"/>
    <x v="1"/>
    <s v="DM101"/>
    <x v="2"/>
    <n v="85499"/>
    <x v="16"/>
    <s v="Digial marketing"/>
  </r>
  <r>
    <n v="221"/>
    <s v="404-2311773"/>
    <s v="23117"/>
    <x v="0"/>
    <n v="23"/>
    <x v="31"/>
    <x v="1"/>
    <x v="0"/>
    <x v="1"/>
    <s v="DM101"/>
    <x v="2"/>
    <n v="85499"/>
    <x v="17"/>
    <s v="Digial marketing"/>
  </r>
  <r>
    <n v="222"/>
    <s v="406-5824991"/>
    <s v="58249"/>
    <x v="0"/>
    <n v="34"/>
    <x v="31"/>
    <x v="1"/>
    <x v="0"/>
    <x v="1"/>
    <s v="DA202"/>
    <x v="0"/>
    <n v="79999"/>
    <x v="49"/>
    <s v="Data analytics"/>
  </r>
  <r>
    <n v="223"/>
    <s v="405-2443746"/>
    <s v="24437"/>
    <x v="0"/>
    <n v="27"/>
    <x v="31"/>
    <x v="1"/>
    <x v="0"/>
    <x v="0"/>
    <s v="FSD103"/>
    <x v="3"/>
    <n v="109990"/>
    <x v="113"/>
    <s v="Full stack development"/>
  </r>
  <r>
    <n v="224"/>
    <s v="404-5478577"/>
    <s v="54785"/>
    <x v="1"/>
    <n v="75"/>
    <x v="31"/>
    <x v="1"/>
    <x v="0"/>
    <x v="0"/>
    <s v="BA301"/>
    <x v="1"/>
    <n v="59999"/>
    <x v="114"/>
    <s v="Business analytics"/>
  </r>
  <r>
    <n v="225"/>
    <s v="406-4594026"/>
    <s v="45940"/>
    <x v="0"/>
    <n v="69"/>
    <x v="31"/>
    <x v="1"/>
    <x v="0"/>
    <x v="1"/>
    <s v="BA301"/>
    <x v="1"/>
    <n v="59999"/>
    <x v="28"/>
    <s v="Business analytics"/>
  </r>
  <r>
    <n v="226"/>
    <s v="404-2627419"/>
    <s v="26274"/>
    <x v="0"/>
    <n v="41"/>
    <x v="32"/>
    <x v="1"/>
    <x v="0"/>
    <x v="1"/>
    <s v="DA202"/>
    <x v="0"/>
    <n v="79999"/>
    <x v="9"/>
    <s v="Data analytics"/>
  </r>
  <r>
    <n v="227"/>
    <s v="403-8630605"/>
    <s v="86306"/>
    <x v="1"/>
    <n v="47"/>
    <x v="32"/>
    <x v="1"/>
    <x v="0"/>
    <x v="0"/>
    <s v="AI001"/>
    <x v="5"/>
    <n v="119990"/>
    <x v="16"/>
    <s v="AI &amp; ML"/>
  </r>
  <r>
    <n v="228"/>
    <s v="408-7278156"/>
    <s v="72781"/>
    <x v="1"/>
    <n v="32"/>
    <x v="32"/>
    <x v="1"/>
    <x v="0"/>
    <x v="0"/>
    <s v="BA301"/>
    <x v="1"/>
    <n v="59999"/>
    <x v="3"/>
    <s v="Business analytics"/>
  </r>
  <r>
    <n v="229"/>
    <s v="171-2098581"/>
    <s v="20985"/>
    <x v="0"/>
    <n v="25"/>
    <x v="32"/>
    <x v="1"/>
    <x v="0"/>
    <x v="6"/>
    <s v="DM101"/>
    <x v="2"/>
    <n v="85499"/>
    <x v="15"/>
    <s v="Digial marketing"/>
  </r>
  <r>
    <n v="230"/>
    <s v="405-5005652"/>
    <s v="50056"/>
    <x v="0"/>
    <n v="63"/>
    <x v="32"/>
    <x v="1"/>
    <x v="0"/>
    <x v="1"/>
    <s v="BA301"/>
    <x v="1"/>
    <n v="59999"/>
    <x v="115"/>
    <s v="Business analytics"/>
  </r>
  <r>
    <n v="231"/>
    <s v="408-6943612"/>
    <s v="69436"/>
    <x v="0"/>
    <n v="28"/>
    <x v="33"/>
    <x v="1"/>
    <x v="0"/>
    <x v="5"/>
    <s v="BA301"/>
    <x v="1"/>
    <n v="59999"/>
    <x v="95"/>
    <s v="Business analytics"/>
  </r>
  <r>
    <n v="232"/>
    <s v="404-8709637"/>
    <s v="87096"/>
    <x v="0"/>
    <n v="37"/>
    <x v="33"/>
    <x v="1"/>
    <x v="2"/>
    <x v="0"/>
    <s v="UX401"/>
    <x v="4"/>
    <n v="67990"/>
    <x v="5"/>
    <s v="UI/UX Design"/>
  </r>
  <r>
    <n v="233"/>
    <s v="406-0847289"/>
    <s v="84728"/>
    <x v="0"/>
    <n v="73"/>
    <x v="33"/>
    <x v="1"/>
    <x v="0"/>
    <x v="1"/>
    <s v="DM101"/>
    <x v="2"/>
    <n v="85499"/>
    <x v="2"/>
    <s v="Digial marketing"/>
  </r>
  <r>
    <n v="234"/>
    <s v="408-2932267"/>
    <s v="29322"/>
    <x v="1"/>
    <n v="20"/>
    <x v="33"/>
    <x v="1"/>
    <x v="0"/>
    <x v="4"/>
    <s v="DA202"/>
    <x v="0"/>
    <n v="79999"/>
    <x v="35"/>
    <s v="Data analytics"/>
  </r>
  <r>
    <n v="235"/>
    <s v="403-3232717"/>
    <s v="32327"/>
    <x v="0"/>
    <n v="22"/>
    <x v="34"/>
    <x v="1"/>
    <x v="0"/>
    <x v="4"/>
    <s v="UX401"/>
    <x v="4"/>
    <n v="67990"/>
    <x v="116"/>
    <s v="UI/UX Design"/>
  </r>
  <r>
    <n v="236"/>
    <s v="402-0902939"/>
    <s v="90293"/>
    <x v="1"/>
    <n v="73"/>
    <x v="34"/>
    <x v="1"/>
    <x v="0"/>
    <x v="0"/>
    <s v="FSD103"/>
    <x v="3"/>
    <n v="109990"/>
    <x v="117"/>
    <s v="Full stack development"/>
  </r>
  <r>
    <n v="237"/>
    <s v="406-1441828"/>
    <s v="14418"/>
    <x v="1"/>
    <n v="19"/>
    <x v="34"/>
    <x v="1"/>
    <x v="0"/>
    <x v="2"/>
    <s v="DM101"/>
    <x v="2"/>
    <n v="85499"/>
    <x v="29"/>
    <s v="Digial marketing"/>
  </r>
  <r>
    <n v="238"/>
    <s v="406-3431656"/>
    <s v="34316"/>
    <x v="0"/>
    <n v="27"/>
    <x v="34"/>
    <x v="1"/>
    <x v="0"/>
    <x v="1"/>
    <s v="DM101"/>
    <x v="2"/>
    <n v="85499"/>
    <x v="80"/>
    <s v="Digial marketing"/>
  </r>
  <r>
    <n v="239"/>
    <s v="405-9190693"/>
    <s v="91906"/>
    <x v="0"/>
    <n v="19"/>
    <x v="34"/>
    <x v="1"/>
    <x v="0"/>
    <x v="6"/>
    <s v="DM101"/>
    <x v="2"/>
    <n v="85499"/>
    <x v="3"/>
    <s v="Digial marketing"/>
  </r>
  <r>
    <n v="240"/>
    <s v="403-8574000"/>
    <s v="85740"/>
    <x v="1"/>
    <n v="41"/>
    <x v="35"/>
    <x v="1"/>
    <x v="1"/>
    <x v="5"/>
    <s v="DA202"/>
    <x v="0"/>
    <n v="79999"/>
    <x v="118"/>
    <s v="Data analytics"/>
  </r>
  <r>
    <n v="241"/>
    <s v="407-1919298"/>
    <s v="19192"/>
    <x v="0"/>
    <n v="44"/>
    <x v="35"/>
    <x v="1"/>
    <x v="0"/>
    <x v="0"/>
    <s v="UX401"/>
    <x v="4"/>
    <n v="67990"/>
    <x v="3"/>
    <s v="UI/UX Design"/>
  </r>
  <r>
    <n v="242"/>
    <s v="403-4286035"/>
    <s v="42860"/>
    <x v="1"/>
    <n v="31"/>
    <x v="35"/>
    <x v="1"/>
    <x v="0"/>
    <x v="2"/>
    <s v="DM101"/>
    <x v="2"/>
    <n v="85499"/>
    <x v="15"/>
    <s v="Digial marketing"/>
  </r>
  <r>
    <n v="243"/>
    <s v="408-4154331"/>
    <s v="41543"/>
    <x v="0"/>
    <n v="28"/>
    <x v="35"/>
    <x v="1"/>
    <x v="0"/>
    <x v="1"/>
    <s v="DM101"/>
    <x v="2"/>
    <n v="85499"/>
    <x v="3"/>
    <s v="Digial marketing"/>
  </r>
  <r>
    <n v="244"/>
    <s v="402-0763753"/>
    <s v="76375"/>
    <x v="0"/>
    <n v="56"/>
    <x v="35"/>
    <x v="1"/>
    <x v="0"/>
    <x v="1"/>
    <s v="DM101"/>
    <x v="2"/>
    <n v="85499"/>
    <x v="17"/>
    <s v="Digial marketing"/>
  </r>
  <r>
    <n v="245"/>
    <s v="406-5718692"/>
    <s v="57186"/>
    <x v="0"/>
    <n v="27"/>
    <x v="35"/>
    <x v="1"/>
    <x v="0"/>
    <x v="5"/>
    <s v="DA202"/>
    <x v="0"/>
    <n v="79999"/>
    <x v="15"/>
    <s v="Data analytics"/>
  </r>
  <r>
    <n v="246"/>
    <s v="171-3339657"/>
    <s v="33396"/>
    <x v="0"/>
    <n v="35"/>
    <x v="35"/>
    <x v="1"/>
    <x v="2"/>
    <x v="2"/>
    <s v="UX401"/>
    <x v="4"/>
    <n v="67990"/>
    <x v="119"/>
    <s v="UI/UX Design"/>
  </r>
  <r>
    <n v="247"/>
    <s v="404-5056887"/>
    <s v="50568"/>
    <x v="1"/>
    <n v="29"/>
    <x v="35"/>
    <x v="1"/>
    <x v="2"/>
    <x v="2"/>
    <s v="DA202"/>
    <x v="0"/>
    <n v="79999"/>
    <x v="1"/>
    <s v="Data analytics"/>
  </r>
  <r>
    <n v="248"/>
    <s v="171-2943155"/>
    <s v="29431"/>
    <x v="0"/>
    <n v="25"/>
    <x v="35"/>
    <x v="1"/>
    <x v="0"/>
    <x v="2"/>
    <s v="DA202"/>
    <x v="0"/>
    <n v="79999"/>
    <x v="120"/>
    <s v="Data analytics"/>
  </r>
  <r>
    <n v="249"/>
    <s v="171-2505774"/>
    <s v="25057"/>
    <x v="0"/>
    <n v="39"/>
    <x v="35"/>
    <x v="1"/>
    <x v="0"/>
    <x v="2"/>
    <s v="DA202"/>
    <x v="0"/>
    <n v="79999"/>
    <x v="9"/>
    <s v="Data analytics"/>
  </r>
  <r>
    <n v="250"/>
    <s v="406-2373249"/>
    <s v="23732"/>
    <x v="0"/>
    <n v="73"/>
    <x v="36"/>
    <x v="1"/>
    <x v="0"/>
    <x v="1"/>
    <s v="BA301"/>
    <x v="1"/>
    <n v="59999"/>
    <x v="29"/>
    <s v="Business analytics"/>
  </r>
  <r>
    <n v="251"/>
    <s v="404-5331173"/>
    <s v="53311"/>
    <x v="1"/>
    <n v="44"/>
    <x v="36"/>
    <x v="1"/>
    <x v="1"/>
    <x v="0"/>
    <s v="DM101"/>
    <x v="2"/>
    <n v="85499"/>
    <x v="121"/>
    <s v="Digial marketing"/>
  </r>
  <r>
    <n v="252"/>
    <s v="404-3732889"/>
    <s v="37328"/>
    <x v="0"/>
    <n v="28"/>
    <x v="36"/>
    <x v="1"/>
    <x v="0"/>
    <x v="2"/>
    <s v="UX401"/>
    <x v="4"/>
    <n v="67990"/>
    <x v="122"/>
    <s v="UI/UX Design"/>
  </r>
  <r>
    <n v="253"/>
    <s v="408-0070111"/>
    <s v="70111"/>
    <x v="0"/>
    <n v="18"/>
    <x v="36"/>
    <x v="1"/>
    <x v="0"/>
    <x v="1"/>
    <s v="DA202"/>
    <x v="0"/>
    <n v="79999"/>
    <x v="29"/>
    <s v="Data analytics"/>
  </r>
  <r>
    <n v="254"/>
    <s v="404-0339873"/>
    <s v="33987"/>
    <x v="0"/>
    <n v="22"/>
    <x v="36"/>
    <x v="1"/>
    <x v="0"/>
    <x v="6"/>
    <s v="FSD103"/>
    <x v="3"/>
    <n v="109990"/>
    <x v="123"/>
    <s v="Full stack development"/>
  </r>
  <r>
    <n v="255"/>
    <s v="403-4921300"/>
    <s v="49213"/>
    <x v="1"/>
    <n v="39"/>
    <x v="36"/>
    <x v="1"/>
    <x v="0"/>
    <x v="2"/>
    <s v="DM101"/>
    <x v="2"/>
    <n v="85499"/>
    <x v="29"/>
    <s v="Digial marketing"/>
  </r>
  <r>
    <n v="256"/>
    <s v="408-3917436"/>
    <s v="39174"/>
    <x v="0"/>
    <n v="42"/>
    <x v="37"/>
    <x v="1"/>
    <x v="0"/>
    <x v="0"/>
    <s v="DA202"/>
    <x v="0"/>
    <n v="79999"/>
    <x v="102"/>
    <s v="Data analytics"/>
  </r>
  <r>
    <n v="257"/>
    <s v="405-2449654"/>
    <s v="24496"/>
    <x v="0"/>
    <n v="50"/>
    <x v="37"/>
    <x v="1"/>
    <x v="0"/>
    <x v="2"/>
    <s v="DM101"/>
    <x v="2"/>
    <n v="85499"/>
    <x v="25"/>
    <s v="Digial marketing"/>
  </r>
  <r>
    <n v="258"/>
    <s v="404-5897451"/>
    <s v="58974"/>
    <x v="1"/>
    <n v="27"/>
    <x v="37"/>
    <x v="1"/>
    <x v="0"/>
    <x v="3"/>
    <s v="DA202"/>
    <x v="0"/>
    <n v="79999"/>
    <x v="124"/>
    <s v="Data analytics"/>
  </r>
  <r>
    <n v="259"/>
    <s v="407-2574365"/>
    <s v="25743"/>
    <x v="0"/>
    <n v="22"/>
    <x v="37"/>
    <x v="1"/>
    <x v="0"/>
    <x v="0"/>
    <s v="DM101"/>
    <x v="2"/>
    <n v="85499"/>
    <x v="125"/>
    <s v="Digial marketing"/>
  </r>
  <r>
    <n v="260"/>
    <s v="171-9757288"/>
    <s v="97572"/>
    <x v="0"/>
    <n v="26"/>
    <x v="37"/>
    <x v="1"/>
    <x v="0"/>
    <x v="1"/>
    <s v="DA202"/>
    <x v="0"/>
    <n v="79999"/>
    <x v="80"/>
    <s v="Data analytics"/>
  </r>
  <r>
    <n v="261"/>
    <s v="404-3883617"/>
    <s v="38836"/>
    <x v="0"/>
    <n v="55"/>
    <x v="37"/>
    <x v="1"/>
    <x v="0"/>
    <x v="1"/>
    <s v="DM101"/>
    <x v="2"/>
    <n v="85499"/>
    <x v="110"/>
    <s v="Digial marketing"/>
  </r>
  <r>
    <n v="262"/>
    <s v="171-0423127"/>
    <s v="42312"/>
    <x v="1"/>
    <n v="34"/>
    <x v="38"/>
    <x v="1"/>
    <x v="0"/>
    <x v="0"/>
    <s v="UX401"/>
    <x v="4"/>
    <n v="67990"/>
    <x v="3"/>
    <s v="UI/UX Design"/>
  </r>
  <r>
    <n v="263"/>
    <s v="404-4878896"/>
    <s v="48788"/>
    <x v="1"/>
    <n v="46"/>
    <x v="38"/>
    <x v="1"/>
    <x v="0"/>
    <x v="1"/>
    <s v="BA301"/>
    <x v="1"/>
    <n v="59999"/>
    <x v="56"/>
    <s v="Business analytics"/>
  </r>
  <r>
    <n v="264"/>
    <s v="408-2837969"/>
    <s v="28379"/>
    <x v="1"/>
    <n v="76"/>
    <x v="38"/>
    <x v="1"/>
    <x v="0"/>
    <x v="0"/>
    <s v="BA301"/>
    <x v="1"/>
    <n v="59999"/>
    <x v="15"/>
    <s v="Business analytics"/>
  </r>
  <r>
    <n v="265"/>
    <s v="404-8396719"/>
    <s v="83967"/>
    <x v="0"/>
    <n v="68"/>
    <x v="38"/>
    <x v="1"/>
    <x v="0"/>
    <x v="2"/>
    <s v="DM101"/>
    <x v="2"/>
    <n v="85499"/>
    <x v="126"/>
    <s v="Digial marketing"/>
  </r>
  <r>
    <n v="266"/>
    <s v="404-6551529"/>
    <s v="65515"/>
    <x v="0"/>
    <n v="34"/>
    <x v="38"/>
    <x v="1"/>
    <x v="0"/>
    <x v="1"/>
    <s v="FSD103"/>
    <x v="3"/>
    <n v="109990"/>
    <x v="5"/>
    <s v="Full stack development"/>
  </r>
  <r>
    <n v="267"/>
    <s v="405-0363789"/>
    <s v="36378"/>
    <x v="0"/>
    <n v="73"/>
    <x v="38"/>
    <x v="1"/>
    <x v="0"/>
    <x v="4"/>
    <s v="DM101"/>
    <x v="2"/>
    <n v="85499"/>
    <x v="48"/>
    <s v="Digial marketing"/>
  </r>
  <r>
    <n v="268"/>
    <s v="408-1142382"/>
    <s v="11423"/>
    <x v="1"/>
    <n v="52"/>
    <x v="38"/>
    <x v="1"/>
    <x v="0"/>
    <x v="2"/>
    <s v="BA301"/>
    <x v="1"/>
    <n v="59999"/>
    <x v="74"/>
    <s v="Business analytics"/>
  </r>
  <r>
    <n v="269"/>
    <s v="408-2648800"/>
    <s v="26488"/>
    <x v="0"/>
    <n v="33"/>
    <x v="38"/>
    <x v="1"/>
    <x v="0"/>
    <x v="1"/>
    <s v="DA202"/>
    <x v="0"/>
    <n v="79999"/>
    <x v="39"/>
    <s v="Data analytics"/>
  </r>
  <r>
    <n v="270"/>
    <s v="406-5522981"/>
    <s v="55229"/>
    <x v="1"/>
    <n v="75"/>
    <x v="38"/>
    <x v="1"/>
    <x v="0"/>
    <x v="1"/>
    <s v="DM101"/>
    <x v="2"/>
    <n v="85499"/>
    <x v="127"/>
    <s v="Digial marketing"/>
  </r>
  <r>
    <n v="271"/>
    <s v="404-9833932"/>
    <s v="98339"/>
    <x v="0"/>
    <n v="27"/>
    <x v="38"/>
    <x v="1"/>
    <x v="0"/>
    <x v="1"/>
    <s v="DA202"/>
    <x v="0"/>
    <n v="79999"/>
    <x v="35"/>
    <s v="Data analytics"/>
  </r>
  <r>
    <n v="272"/>
    <s v="402-0509269"/>
    <s v="50926"/>
    <x v="0"/>
    <n v="61"/>
    <x v="38"/>
    <x v="1"/>
    <x v="0"/>
    <x v="5"/>
    <s v="DA202"/>
    <x v="0"/>
    <n v="79999"/>
    <x v="29"/>
    <s v="Data analytics"/>
  </r>
  <r>
    <n v="273"/>
    <s v="406-9495391"/>
    <s v="94953"/>
    <x v="0"/>
    <n v="43"/>
    <x v="38"/>
    <x v="1"/>
    <x v="1"/>
    <x v="0"/>
    <s v="DM101"/>
    <x v="2"/>
    <n v="85499"/>
    <x v="15"/>
    <s v="Digial marketing"/>
  </r>
  <r>
    <n v="274"/>
    <s v="405-0891462"/>
    <s v="89146"/>
    <x v="0"/>
    <n v="23"/>
    <x v="39"/>
    <x v="1"/>
    <x v="0"/>
    <x v="1"/>
    <s v="DA202"/>
    <x v="0"/>
    <n v="79999"/>
    <x v="80"/>
    <s v="Data analytics"/>
  </r>
  <r>
    <n v="275"/>
    <s v="171-7773738"/>
    <s v="77737"/>
    <x v="1"/>
    <n v="41"/>
    <x v="39"/>
    <x v="1"/>
    <x v="0"/>
    <x v="2"/>
    <s v="DA202"/>
    <x v="0"/>
    <n v="79999"/>
    <x v="128"/>
    <s v="Data analytics"/>
  </r>
  <r>
    <n v="276"/>
    <s v="407-8618660"/>
    <s v="86186"/>
    <x v="0"/>
    <n v="35"/>
    <x v="39"/>
    <x v="1"/>
    <x v="0"/>
    <x v="1"/>
    <s v="DM101"/>
    <x v="2"/>
    <n v="85499"/>
    <x v="129"/>
    <s v="Digial marketing"/>
  </r>
  <r>
    <n v="277"/>
    <s v="402-9048191"/>
    <s v="90481"/>
    <x v="0"/>
    <n v="49"/>
    <x v="39"/>
    <x v="1"/>
    <x v="0"/>
    <x v="3"/>
    <s v="DA202"/>
    <x v="0"/>
    <n v="79999"/>
    <x v="130"/>
    <s v="Data analytics"/>
  </r>
  <r>
    <n v="278"/>
    <s v="171-7763620"/>
    <s v="77636"/>
    <x v="0"/>
    <n v="67"/>
    <x v="39"/>
    <x v="1"/>
    <x v="0"/>
    <x v="2"/>
    <s v="DM101"/>
    <x v="2"/>
    <n v="85499"/>
    <x v="29"/>
    <s v="Digial marketing"/>
  </r>
  <r>
    <n v="279"/>
    <s v="402-4491188"/>
    <s v="44911"/>
    <x v="1"/>
    <n v="63"/>
    <x v="39"/>
    <x v="1"/>
    <x v="0"/>
    <x v="1"/>
    <s v="AI001"/>
    <x v="5"/>
    <n v="119990"/>
    <x v="131"/>
    <s v="AI &amp; ML"/>
  </r>
  <r>
    <n v="280"/>
    <s v="406-1438867"/>
    <s v="14388"/>
    <x v="0"/>
    <n v="18"/>
    <x v="39"/>
    <x v="1"/>
    <x v="0"/>
    <x v="5"/>
    <s v="BA301"/>
    <x v="1"/>
    <n v="59999"/>
    <x v="9"/>
    <s v="Business analytics"/>
  </r>
  <r>
    <n v="281"/>
    <s v="406-8838072"/>
    <s v="88380"/>
    <x v="0"/>
    <n v="34"/>
    <x v="39"/>
    <x v="1"/>
    <x v="0"/>
    <x v="3"/>
    <s v="DA202"/>
    <x v="0"/>
    <n v="79999"/>
    <x v="86"/>
    <s v="Data analytics"/>
  </r>
  <r>
    <n v="282"/>
    <s v="171-8624117"/>
    <s v="86241"/>
    <x v="1"/>
    <n v="48"/>
    <x v="40"/>
    <x v="1"/>
    <x v="0"/>
    <x v="0"/>
    <s v="DA202"/>
    <x v="0"/>
    <n v="79999"/>
    <x v="132"/>
    <s v="Data analytics"/>
  </r>
  <r>
    <n v="283"/>
    <s v="404-6038311"/>
    <s v="60383"/>
    <x v="0"/>
    <n v="43"/>
    <x v="40"/>
    <x v="1"/>
    <x v="0"/>
    <x v="2"/>
    <s v="DA202"/>
    <x v="0"/>
    <n v="79999"/>
    <x v="3"/>
    <s v="Data analytics"/>
  </r>
  <r>
    <n v="284"/>
    <s v="402-2302030"/>
    <s v="23020"/>
    <x v="1"/>
    <n v="22"/>
    <x v="40"/>
    <x v="1"/>
    <x v="0"/>
    <x v="1"/>
    <s v="BA301"/>
    <x v="1"/>
    <n v="59999"/>
    <x v="57"/>
    <s v="Business analytics"/>
  </r>
  <r>
    <n v="285"/>
    <s v="406-3701026"/>
    <s v="37010"/>
    <x v="0"/>
    <n v="64"/>
    <x v="41"/>
    <x v="1"/>
    <x v="0"/>
    <x v="1"/>
    <s v="DM101"/>
    <x v="2"/>
    <n v="85499"/>
    <x v="15"/>
    <s v="Digial marketing"/>
  </r>
  <r>
    <n v="286"/>
    <s v="402-8279267"/>
    <s v="82792"/>
    <x v="1"/>
    <n v="20"/>
    <x v="41"/>
    <x v="1"/>
    <x v="0"/>
    <x v="0"/>
    <s v="DA202"/>
    <x v="0"/>
    <n v="79999"/>
    <x v="29"/>
    <s v="Data analytics"/>
  </r>
  <r>
    <n v="287"/>
    <s v="402-9765450"/>
    <s v="97654"/>
    <x v="1"/>
    <n v="22"/>
    <x v="41"/>
    <x v="1"/>
    <x v="0"/>
    <x v="3"/>
    <s v="DM101"/>
    <x v="2"/>
    <n v="85499"/>
    <x v="133"/>
    <s v="Digial marketing"/>
  </r>
  <r>
    <n v="288"/>
    <s v="406-4309001"/>
    <s v="43090"/>
    <x v="0"/>
    <n v="34"/>
    <x v="41"/>
    <x v="1"/>
    <x v="0"/>
    <x v="0"/>
    <s v="DM101"/>
    <x v="2"/>
    <n v="85499"/>
    <x v="3"/>
    <s v="Digial marketing"/>
  </r>
  <r>
    <n v="289"/>
    <s v="408-5782349"/>
    <s v="57823"/>
    <x v="0"/>
    <n v="29"/>
    <x v="41"/>
    <x v="1"/>
    <x v="0"/>
    <x v="1"/>
    <s v="DA202"/>
    <x v="0"/>
    <n v="79999"/>
    <x v="29"/>
    <s v="Data analytics"/>
  </r>
  <r>
    <n v="290"/>
    <s v="403-4229592"/>
    <s v="42295"/>
    <x v="1"/>
    <n v="47"/>
    <x v="41"/>
    <x v="1"/>
    <x v="0"/>
    <x v="1"/>
    <s v="BA301"/>
    <x v="1"/>
    <n v="59999"/>
    <x v="134"/>
    <s v="Business analytics"/>
  </r>
  <r>
    <n v="291"/>
    <s v="402-5387159"/>
    <s v="53871"/>
    <x v="1"/>
    <n v="43"/>
    <x v="41"/>
    <x v="1"/>
    <x v="0"/>
    <x v="1"/>
    <s v="DM101"/>
    <x v="2"/>
    <n v="85499"/>
    <x v="135"/>
    <s v="Digial marketing"/>
  </r>
  <r>
    <n v="292"/>
    <s v="404-2491025"/>
    <s v="24910"/>
    <x v="0"/>
    <n v="25"/>
    <x v="41"/>
    <x v="1"/>
    <x v="0"/>
    <x v="0"/>
    <s v="DA202"/>
    <x v="0"/>
    <n v="79999"/>
    <x v="89"/>
    <s v="Data analytics"/>
  </r>
  <r>
    <n v="293"/>
    <s v="402-4325693"/>
    <s v="43256"/>
    <x v="0"/>
    <n v="33"/>
    <x v="42"/>
    <x v="1"/>
    <x v="0"/>
    <x v="1"/>
    <s v="DM101"/>
    <x v="2"/>
    <n v="85499"/>
    <x v="136"/>
    <s v="Digial marketing"/>
  </r>
  <r>
    <n v="294"/>
    <s v="402-3428562"/>
    <s v="34285"/>
    <x v="1"/>
    <n v="25"/>
    <x v="42"/>
    <x v="1"/>
    <x v="0"/>
    <x v="0"/>
    <s v="DA202"/>
    <x v="0"/>
    <n v="79999"/>
    <x v="17"/>
    <s v="Data analytics"/>
  </r>
  <r>
    <n v="295"/>
    <s v="171-7507431"/>
    <s v="75074"/>
    <x v="0"/>
    <n v="27"/>
    <x v="42"/>
    <x v="1"/>
    <x v="0"/>
    <x v="2"/>
    <s v="DM101"/>
    <x v="2"/>
    <n v="85499"/>
    <x v="3"/>
    <s v="Digial marketing"/>
  </r>
  <r>
    <n v="296"/>
    <s v="408-0344606"/>
    <s v="34460"/>
    <x v="1"/>
    <n v="28"/>
    <x v="42"/>
    <x v="1"/>
    <x v="0"/>
    <x v="6"/>
    <s v="DM101"/>
    <x v="2"/>
    <n v="85499"/>
    <x v="137"/>
    <s v="Digial marketing"/>
  </r>
  <r>
    <n v="297"/>
    <s v="405-6333681"/>
    <s v="63336"/>
    <x v="1"/>
    <n v="37"/>
    <x v="42"/>
    <x v="1"/>
    <x v="0"/>
    <x v="0"/>
    <s v="DM101"/>
    <x v="2"/>
    <n v="85499"/>
    <x v="138"/>
    <s v="Digial marketing"/>
  </r>
  <r>
    <n v="298"/>
    <s v="404-5014809"/>
    <s v="50148"/>
    <x v="0"/>
    <n v="19"/>
    <x v="42"/>
    <x v="1"/>
    <x v="0"/>
    <x v="2"/>
    <s v="BA301"/>
    <x v="1"/>
    <n v="59999"/>
    <x v="35"/>
    <s v="Business analytics"/>
  </r>
  <r>
    <n v="299"/>
    <s v="406-1532420"/>
    <s v="15324"/>
    <x v="0"/>
    <n v="32"/>
    <x v="43"/>
    <x v="1"/>
    <x v="0"/>
    <x v="0"/>
    <s v="DM101"/>
    <x v="2"/>
    <n v="85499"/>
    <x v="139"/>
    <s v="Digial marketing"/>
  </r>
  <r>
    <n v="300"/>
    <s v="408-9919865"/>
    <s v="99198"/>
    <x v="0"/>
    <n v="24"/>
    <x v="43"/>
    <x v="1"/>
    <x v="0"/>
    <x v="0"/>
    <s v="DA202"/>
    <x v="0"/>
    <n v="79999"/>
    <x v="16"/>
    <s v="Data analytics"/>
  </r>
  <r>
    <n v="301"/>
    <s v="405-5008404"/>
    <s v="50084"/>
    <x v="0"/>
    <n v="67"/>
    <x v="43"/>
    <x v="1"/>
    <x v="0"/>
    <x v="1"/>
    <s v="DM101"/>
    <x v="2"/>
    <n v="85499"/>
    <x v="140"/>
    <s v="Digial marketing"/>
  </r>
  <r>
    <n v="302"/>
    <s v="402-9572156"/>
    <s v="95721"/>
    <x v="0"/>
    <n v="46"/>
    <x v="43"/>
    <x v="1"/>
    <x v="0"/>
    <x v="0"/>
    <s v="DM101"/>
    <x v="2"/>
    <n v="85499"/>
    <x v="141"/>
    <s v="Digial marketing"/>
  </r>
  <r>
    <n v="303"/>
    <s v="407-0448685"/>
    <s v="44868"/>
    <x v="1"/>
    <n v="30"/>
    <x v="43"/>
    <x v="1"/>
    <x v="0"/>
    <x v="1"/>
    <s v="DA202"/>
    <x v="0"/>
    <n v="79999"/>
    <x v="54"/>
    <s v="Data analytics"/>
  </r>
  <r>
    <n v="304"/>
    <s v="402-4107681"/>
    <s v="41076"/>
    <x v="0"/>
    <n v="75"/>
    <x v="43"/>
    <x v="1"/>
    <x v="0"/>
    <x v="0"/>
    <s v="BA301"/>
    <x v="1"/>
    <n v="59999"/>
    <x v="29"/>
    <s v="Business analytics"/>
  </r>
  <r>
    <n v="305"/>
    <s v="407-9941828"/>
    <s v="99418"/>
    <x v="0"/>
    <n v="41"/>
    <x v="43"/>
    <x v="1"/>
    <x v="0"/>
    <x v="2"/>
    <s v="DA202"/>
    <x v="0"/>
    <n v="79999"/>
    <x v="32"/>
    <s v="Data analytics"/>
  </r>
  <r>
    <n v="306"/>
    <s v="402-3216798"/>
    <s v="32167"/>
    <x v="0"/>
    <n v="22"/>
    <x v="43"/>
    <x v="1"/>
    <x v="2"/>
    <x v="2"/>
    <s v="BA301"/>
    <x v="1"/>
    <n v="59999"/>
    <x v="39"/>
    <s v="Business analytics"/>
  </r>
  <r>
    <n v="307"/>
    <s v="171-5417795"/>
    <s v="54177"/>
    <x v="0"/>
    <n v="22"/>
    <x v="43"/>
    <x v="1"/>
    <x v="0"/>
    <x v="2"/>
    <s v="BA301"/>
    <x v="1"/>
    <n v="59999"/>
    <x v="142"/>
    <s v="Business analytics"/>
  </r>
  <r>
    <n v="308"/>
    <s v="403-5226413"/>
    <s v="52264"/>
    <x v="0"/>
    <n v="59"/>
    <x v="43"/>
    <x v="1"/>
    <x v="0"/>
    <x v="2"/>
    <s v="DM101"/>
    <x v="2"/>
    <n v="85499"/>
    <x v="17"/>
    <s v="Digial marketing"/>
  </r>
  <r>
    <n v="309"/>
    <s v="402-1127333"/>
    <s v="11273"/>
    <x v="0"/>
    <n v="56"/>
    <x v="43"/>
    <x v="1"/>
    <x v="0"/>
    <x v="4"/>
    <s v="DM101"/>
    <x v="2"/>
    <n v="85499"/>
    <x v="143"/>
    <s v="Digial marketing"/>
  </r>
  <r>
    <n v="310"/>
    <s v="404-9481718"/>
    <s v="94817"/>
    <x v="0"/>
    <n v="24"/>
    <x v="44"/>
    <x v="1"/>
    <x v="0"/>
    <x v="4"/>
    <s v="DM101"/>
    <x v="2"/>
    <n v="85499"/>
    <x v="17"/>
    <s v="Digial marketing"/>
  </r>
  <r>
    <n v="311"/>
    <s v="408-4346911"/>
    <s v="43469"/>
    <x v="1"/>
    <n v="48"/>
    <x v="44"/>
    <x v="1"/>
    <x v="0"/>
    <x v="1"/>
    <s v="BA301"/>
    <x v="1"/>
    <n v="59999"/>
    <x v="41"/>
    <s v="Business analytics"/>
  </r>
  <r>
    <n v="312"/>
    <s v="404-8485570"/>
    <s v="84855"/>
    <x v="0"/>
    <n v="40"/>
    <x v="44"/>
    <x v="1"/>
    <x v="0"/>
    <x v="1"/>
    <s v="DA202"/>
    <x v="0"/>
    <n v="79999"/>
    <x v="74"/>
    <s v="Data analytics"/>
  </r>
  <r>
    <n v="313"/>
    <s v="404-2689414"/>
    <s v="26894"/>
    <x v="1"/>
    <n v="30"/>
    <x v="44"/>
    <x v="1"/>
    <x v="0"/>
    <x v="1"/>
    <s v="DA202"/>
    <x v="0"/>
    <n v="79999"/>
    <x v="24"/>
    <s v="Data analytics"/>
  </r>
  <r>
    <n v="314"/>
    <s v="406-1342369"/>
    <s v="13423"/>
    <x v="1"/>
    <n v="20"/>
    <x v="44"/>
    <x v="1"/>
    <x v="0"/>
    <x v="0"/>
    <s v="BA301"/>
    <x v="1"/>
    <n v="59999"/>
    <x v="11"/>
    <s v="Business analytics"/>
  </r>
  <r>
    <n v="315"/>
    <s v="405-8512488"/>
    <s v="85124"/>
    <x v="0"/>
    <n v="29"/>
    <x v="44"/>
    <x v="1"/>
    <x v="0"/>
    <x v="1"/>
    <s v="DM101"/>
    <x v="2"/>
    <n v="85499"/>
    <x v="15"/>
    <s v="Digial marketing"/>
  </r>
  <r>
    <n v="316"/>
    <s v="406-8240401"/>
    <s v="82404"/>
    <x v="1"/>
    <n v="43"/>
    <x v="44"/>
    <x v="1"/>
    <x v="0"/>
    <x v="6"/>
    <s v="DM101"/>
    <x v="2"/>
    <n v="85499"/>
    <x v="144"/>
    <s v="Digial marketing"/>
  </r>
  <r>
    <n v="317"/>
    <s v="404-5339654"/>
    <s v="53396"/>
    <x v="0"/>
    <n v="45"/>
    <x v="44"/>
    <x v="1"/>
    <x v="0"/>
    <x v="0"/>
    <s v="DA202"/>
    <x v="0"/>
    <n v="79999"/>
    <x v="145"/>
    <s v="Data analytics"/>
  </r>
  <r>
    <n v="318"/>
    <s v="402-5092815"/>
    <s v="50928"/>
    <x v="1"/>
    <n v="24"/>
    <x v="45"/>
    <x v="1"/>
    <x v="0"/>
    <x v="1"/>
    <s v="DA202"/>
    <x v="0"/>
    <n v="79999"/>
    <x v="146"/>
    <s v="Data analytics"/>
  </r>
  <r>
    <n v="319"/>
    <s v="408-2418774"/>
    <s v="24187"/>
    <x v="0"/>
    <n v="32"/>
    <x v="45"/>
    <x v="1"/>
    <x v="0"/>
    <x v="1"/>
    <s v="UX401"/>
    <x v="4"/>
    <n v="67990"/>
    <x v="147"/>
    <s v="UI/UX Design"/>
  </r>
  <r>
    <n v="320"/>
    <s v="171-7179264"/>
    <s v="71792"/>
    <x v="1"/>
    <n v="47"/>
    <x v="45"/>
    <x v="1"/>
    <x v="0"/>
    <x v="0"/>
    <s v="DA202"/>
    <x v="0"/>
    <n v="79999"/>
    <x v="9"/>
    <s v="Data analytics"/>
  </r>
  <r>
    <n v="321"/>
    <s v="408-5960581"/>
    <s v="59605"/>
    <x v="0"/>
    <n v="21"/>
    <x v="45"/>
    <x v="1"/>
    <x v="0"/>
    <x v="2"/>
    <s v="BA301"/>
    <x v="1"/>
    <n v="59999"/>
    <x v="19"/>
    <s v="Business analytics"/>
  </r>
  <r>
    <n v="322"/>
    <s v="408-8896863"/>
    <s v="88968"/>
    <x v="0"/>
    <n v="22"/>
    <x v="45"/>
    <x v="1"/>
    <x v="0"/>
    <x v="1"/>
    <s v="DM101"/>
    <x v="2"/>
    <n v="85499"/>
    <x v="9"/>
    <s v="Digial marketing"/>
  </r>
  <r>
    <n v="323"/>
    <s v="407-1772430"/>
    <s v="17724"/>
    <x v="1"/>
    <n v="62"/>
    <x v="45"/>
    <x v="1"/>
    <x v="0"/>
    <x v="2"/>
    <s v="DA202"/>
    <x v="0"/>
    <n v="79999"/>
    <x v="148"/>
    <s v="Data analytics"/>
  </r>
  <r>
    <n v="324"/>
    <s v="402-2363023"/>
    <s v="23630"/>
    <x v="0"/>
    <n v="32"/>
    <x v="46"/>
    <x v="1"/>
    <x v="0"/>
    <x v="2"/>
    <s v="DM101"/>
    <x v="2"/>
    <n v="85499"/>
    <x v="109"/>
    <s v="Digial marketing"/>
  </r>
  <r>
    <n v="325"/>
    <s v="407-5383757"/>
    <s v="53837"/>
    <x v="0"/>
    <n v="72"/>
    <x v="46"/>
    <x v="1"/>
    <x v="0"/>
    <x v="0"/>
    <s v="BA301"/>
    <x v="1"/>
    <n v="59999"/>
    <x v="15"/>
    <s v="Business analytics"/>
  </r>
  <r>
    <n v="326"/>
    <s v="408-8998778"/>
    <s v="89987"/>
    <x v="0"/>
    <n v="28"/>
    <x v="46"/>
    <x v="1"/>
    <x v="0"/>
    <x v="2"/>
    <s v="DM101"/>
    <x v="2"/>
    <n v="85499"/>
    <x v="24"/>
    <s v="Digial marketing"/>
  </r>
  <r>
    <n v="327"/>
    <s v="406-7742746"/>
    <s v="77427"/>
    <x v="0"/>
    <n v="45"/>
    <x v="46"/>
    <x v="1"/>
    <x v="0"/>
    <x v="0"/>
    <s v="DM101"/>
    <x v="2"/>
    <n v="85499"/>
    <x v="149"/>
    <s v="Digial marketing"/>
  </r>
  <r>
    <n v="328"/>
    <s v="406-1784285"/>
    <s v="17842"/>
    <x v="1"/>
    <n v="22"/>
    <x v="46"/>
    <x v="1"/>
    <x v="0"/>
    <x v="5"/>
    <s v="DA202"/>
    <x v="0"/>
    <n v="79999"/>
    <x v="55"/>
    <s v="Data analytics"/>
  </r>
  <r>
    <n v="329"/>
    <s v="408-0047275"/>
    <s v="47275"/>
    <x v="1"/>
    <n v="39"/>
    <x v="46"/>
    <x v="1"/>
    <x v="0"/>
    <x v="0"/>
    <s v="BA301"/>
    <x v="1"/>
    <n v="59999"/>
    <x v="83"/>
    <s v="Business analytics"/>
  </r>
  <r>
    <n v="330"/>
    <s v="405-7962848"/>
    <s v="79628"/>
    <x v="0"/>
    <n v="22"/>
    <x v="46"/>
    <x v="1"/>
    <x v="0"/>
    <x v="0"/>
    <s v="DM101"/>
    <x v="2"/>
    <n v="85499"/>
    <x v="9"/>
    <s v="Digial marketing"/>
  </r>
  <r>
    <n v="331"/>
    <s v="402-0689431"/>
    <s v="68943"/>
    <x v="1"/>
    <n v="33"/>
    <x v="46"/>
    <x v="1"/>
    <x v="0"/>
    <x v="0"/>
    <s v="DM101"/>
    <x v="2"/>
    <n v="85499"/>
    <x v="150"/>
    <s v="Digial marketing"/>
  </r>
  <r>
    <n v="332"/>
    <s v="402-6240144"/>
    <s v="62401"/>
    <x v="0"/>
    <n v="43"/>
    <x v="47"/>
    <x v="1"/>
    <x v="0"/>
    <x v="2"/>
    <s v="DM101"/>
    <x v="2"/>
    <n v="85499"/>
    <x v="15"/>
    <s v="Digial marketing"/>
  </r>
  <r>
    <n v="333"/>
    <s v="407-8325966"/>
    <s v="83259"/>
    <x v="0"/>
    <n v="54"/>
    <x v="47"/>
    <x v="1"/>
    <x v="0"/>
    <x v="2"/>
    <s v="FSD103"/>
    <x v="3"/>
    <n v="109990"/>
    <x v="151"/>
    <s v="Full stack development"/>
  </r>
  <r>
    <n v="334"/>
    <s v="402-4280960"/>
    <s v="42809"/>
    <x v="0"/>
    <n v="28"/>
    <x v="47"/>
    <x v="1"/>
    <x v="0"/>
    <x v="1"/>
    <s v="DM101"/>
    <x v="2"/>
    <n v="85499"/>
    <x v="57"/>
    <s v="Digial marketing"/>
  </r>
  <r>
    <n v="335"/>
    <s v="171-5956235"/>
    <s v="59562"/>
    <x v="0"/>
    <n v="24"/>
    <x v="47"/>
    <x v="1"/>
    <x v="0"/>
    <x v="1"/>
    <s v="DM101"/>
    <x v="2"/>
    <n v="85499"/>
    <x v="152"/>
    <s v="Digial marketing"/>
  </r>
  <r>
    <n v="336"/>
    <s v="404-1298038"/>
    <s v="12980"/>
    <x v="0"/>
    <n v="24"/>
    <x v="47"/>
    <x v="1"/>
    <x v="0"/>
    <x v="2"/>
    <s v="FSD103"/>
    <x v="3"/>
    <n v="109990"/>
    <x v="3"/>
    <s v="Full stack development"/>
  </r>
  <r>
    <n v="337"/>
    <s v="403-4929544"/>
    <s v="49295"/>
    <x v="0"/>
    <n v="62"/>
    <x v="47"/>
    <x v="1"/>
    <x v="0"/>
    <x v="5"/>
    <s v="DA202"/>
    <x v="0"/>
    <n v="79999"/>
    <x v="15"/>
    <s v="Data analytics"/>
  </r>
  <r>
    <n v="338"/>
    <s v="408-3999612"/>
    <s v="39996"/>
    <x v="0"/>
    <n v="68"/>
    <x v="47"/>
    <x v="1"/>
    <x v="0"/>
    <x v="2"/>
    <s v="UX401"/>
    <x v="4"/>
    <n v="67990"/>
    <x v="153"/>
    <s v="UI/UX Design"/>
  </r>
  <r>
    <n v="339"/>
    <s v="408-5524510"/>
    <s v="55245"/>
    <x v="1"/>
    <n v="27"/>
    <x v="47"/>
    <x v="1"/>
    <x v="0"/>
    <x v="0"/>
    <s v="DM101"/>
    <x v="2"/>
    <n v="85499"/>
    <x v="94"/>
    <s v="Digial marketing"/>
  </r>
  <r>
    <n v="340"/>
    <s v="408-2294983"/>
    <s v="22949"/>
    <x v="0"/>
    <n v="65"/>
    <x v="48"/>
    <x v="1"/>
    <x v="0"/>
    <x v="1"/>
    <s v="DM101"/>
    <x v="2"/>
    <n v="85499"/>
    <x v="49"/>
    <s v="Digial marketing"/>
  </r>
  <r>
    <n v="341"/>
    <s v="405-3619973"/>
    <s v="36199"/>
    <x v="0"/>
    <n v="49"/>
    <x v="48"/>
    <x v="1"/>
    <x v="0"/>
    <x v="0"/>
    <s v="FSD103"/>
    <x v="3"/>
    <n v="109990"/>
    <x v="154"/>
    <s v="Full stack development"/>
  </r>
  <r>
    <n v="342"/>
    <s v="405-9380246"/>
    <s v="93802"/>
    <x v="0"/>
    <n v="45"/>
    <x v="48"/>
    <x v="1"/>
    <x v="0"/>
    <x v="2"/>
    <s v="DA202"/>
    <x v="0"/>
    <n v="79999"/>
    <x v="3"/>
    <s v="Data analytics"/>
  </r>
  <r>
    <n v="343"/>
    <s v="403-0983494"/>
    <s v="98349"/>
    <x v="1"/>
    <n v="34"/>
    <x v="48"/>
    <x v="1"/>
    <x v="0"/>
    <x v="5"/>
    <s v="DA202"/>
    <x v="0"/>
    <n v="79999"/>
    <x v="155"/>
    <s v="Data analytics"/>
  </r>
  <r>
    <n v="344"/>
    <s v="408-3595947"/>
    <s v="35959"/>
    <x v="0"/>
    <n v="37"/>
    <x v="48"/>
    <x v="1"/>
    <x v="0"/>
    <x v="6"/>
    <s v="DM101"/>
    <x v="2"/>
    <n v="85499"/>
    <x v="35"/>
    <s v="Digial marketing"/>
  </r>
  <r>
    <n v="345"/>
    <s v="406-1788844"/>
    <s v="17888"/>
    <x v="0"/>
    <n v="29"/>
    <x v="48"/>
    <x v="1"/>
    <x v="0"/>
    <x v="1"/>
    <s v="DA202"/>
    <x v="0"/>
    <n v="79999"/>
    <x v="31"/>
    <s v="Data analytics"/>
  </r>
  <r>
    <n v="346"/>
    <s v="408-4738330"/>
    <s v="47383"/>
    <x v="0"/>
    <n v="33"/>
    <x v="48"/>
    <x v="1"/>
    <x v="0"/>
    <x v="1"/>
    <s v="DM101"/>
    <x v="2"/>
    <n v="85499"/>
    <x v="156"/>
    <s v="Digial marketing"/>
  </r>
  <r>
    <n v="347"/>
    <s v="406-9762254"/>
    <s v="97622"/>
    <x v="0"/>
    <n v="26"/>
    <x v="49"/>
    <x v="1"/>
    <x v="0"/>
    <x v="2"/>
    <s v="DM101"/>
    <x v="2"/>
    <n v="85499"/>
    <x v="16"/>
    <s v="Digial marketing"/>
  </r>
  <r>
    <n v="348"/>
    <s v="406-2766485"/>
    <s v="27664"/>
    <x v="0"/>
    <n v="65"/>
    <x v="49"/>
    <x v="1"/>
    <x v="0"/>
    <x v="2"/>
    <s v="DM101"/>
    <x v="2"/>
    <n v="85499"/>
    <x v="157"/>
    <s v="Digial marketing"/>
  </r>
  <r>
    <n v="349"/>
    <s v="408-3299735"/>
    <s v="32997"/>
    <x v="1"/>
    <n v="38"/>
    <x v="49"/>
    <x v="1"/>
    <x v="0"/>
    <x v="2"/>
    <s v="DA202"/>
    <x v="0"/>
    <n v="79999"/>
    <x v="158"/>
    <s v="Data analytics"/>
  </r>
  <r>
    <n v="350"/>
    <s v="405-3180227"/>
    <s v="31802"/>
    <x v="1"/>
    <n v="55"/>
    <x v="49"/>
    <x v="1"/>
    <x v="0"/>
    <x v="0"/>
    <s v="DA202"/>
    <x v="0"/>
    <n v="79999"/>
    <x v="49"/>
    <s v="Data analytics"/>
  </r>
  <r>
    <n v="351"/>
    <s v="403-6056788"/>
    <s v="60567"/>
    <x v="1"/>
    <n v="27"/>
    <x v="49"/>
    <x v="1"/>
    <x v="0"/>
    <x v="1"/>
    <s v="DM101"/>
    <x v="2"/>
    <n v="85499"/>
    <x v="16"/>
    <s v="Digial marketing"/>
  </r>
  <r>
    <n v="352"/>
    <s v="405-5007854"/>
    <s v="50078"/>
    <x v="0"/>
    <n v="60"/>
    <x v="50"/>
    <x v="1"/>
    <x v="0"/>
    <x v="1"/>
    <s v="DM101"/>
    <x v="2"/>
    <n v="85499"/>
    <x v="3"/>
    <s v="Digial marketing"/>
  </r>
  <r>
    <n v="353"/>
    <s v="403-8631892"/>
    <s v="86318"/>
    <x v="0"/>
    <n v="35"/>
    <x v="50"/>
    <x v="1"/>
    <x v="0"/>
    <x v="0"/>
    <s v="DM101"/>
    <x v="2"/>
    <n v="85499"/>
    <x v="159"/>
    <s v="Digial marketing"/>
  </r>
  <r>
    <n v="354"/>
    <s v="404-2637115"/>
    <s v="26371"/>
    <x v="1"/>
    <n v="55"/>
    <x v="50"/>
    <x v="1"/>
    <x v="0"/>
    <x v="0"/>
    <s v="DM101"/>
    <x v="2"/>
    <n v="85499"/>
    <x v="9"/>
    <s v="Digial marketing"/>
  </r>
  <r>
    <n v="355"/>
    <s v="171-8009798"/>
    <s v="80097"/>
    <x v="0"/>
    <n v="35"/>
    <x v="50"/>
    <x v="1"/>
    <x v="0"/>
    <x v="1"/>
    <s v="DM101"/>
    <x v="2"/>
    <n v="85499"/>
    <x v="3"/>
    <s v="Digial marketing"/>
  </r>
  <r>
    <n v="356"/>
    <s v="404-4093815"/>
    <s v="40938"/>
    <x v="0"/>
    <n v="37"/>
    <x v="50"/>
    <x v="1"/>
    <x v="0"/>
    <x v="2"/>
    <s v="BA301"/>
    <x v="1"/>
    <n v="59999"/>
    <x v="160"/>
    <s v="Business analytics"/>
  </r>
  <r>
    <n v="357"/>
    <s v="405-3587667"/>
    <s v="35876"/>
    <x v="0"/>
    <n v="23"/>
    <x v="50"/>
    <x v="1"/>
    <x v="0"/>
    <x v="1"/>
    <s v="DM101"/>
    <x v="2"/>
    <n v="85499"/>
    <x v="49"/>
    <s v="Digial marketing"/>
  </r>
  <r>
    <n v="358"/>
    <s v="407-7721354"/>
    <s v="77213"/>
    <x v="1"/>
    <n v="32"/>
    <x v="50"/>
    <x v="1"/>
    <x v="0"/>
    <x v="2"/>
    <s v="DM101"/>
    <x v="2"/>
    <n v="85499"/>
    <x v="79"/>
    <s v="Digial marketing"/>
  </r>
  <r>
    <n v="359"/>
    <s v="406-5208395"/>
    <s v="52083"/>
    <x v="0"/>
    <n v="24"/>
    <x v="51"/>
    <x v="1"/>
    <x v="1"/>
    <x v="2"/>
    <s v="DM101"/>
    <x v="2"/>
    <n v="85499"/>
    <x v="32"/>
    <s v="Digial marketing"/>
  </r>
  <r>
    <n v="360"/>
    <s v="408-0290707"/>
    <s v="29070"/>
    <x v="0"/>
    <n v="47"/>
    <x v="51"/>
    <x v="1"/>
    <x v="0"/>
    <x v="1"/>
    <s v="DM101"/>
    <x v="2"/>
    <n v="85499"/>
    <x v="161"/>
    <s v="Digial marketing"/>
  </r>
  <r>
    <n v="361"/>
    <s v="404-7931262"/>
    <s v="79312"/>
    <x v="0"/>
    <n v="19"/>
    <x v="51"/>
    <x v="1"/>
    <x v="0"/>
    <x v="1"/>
    <s v="FSD103"/>
    <x v="3"/>
    <n v="109990"/>
    <x v="15"/>
    <s v="Full stack development"/>
  </r>
  <r>
    <n v="362"/>
    <s v="406-1400833"/>
    <s v="14008"/>
    <x v="1"/>
    <n v="39"/>
    <x v="51"/>
    <x v="1"/>
    <x v="0"/>
    <x v="2"/>
    <s v="DM101"/>
    <x v="2"/>
    <n v="85499"/>
    <x v="3"/>
    <s v="Digial marketing"/>
  </r>
  <r>
    <n v="363"/>
    <s v="404-2051832"/>
    <s v="20518"/>
    <x v="0"/>
    <n v="46"/>
    <x v="51"/>
    <x v="1"/>
    <x v="0"/>
    <x v="0"/>
    <s v="DA202"/>
    <x v="0"/>
    <n v="79999"/>
    <x v="162"/>
    <s v="Data analytics"/>
  </r>
  <r>
    <n v="364"/>
    <s v="404-4756595"/>
    <s v="47565"/>
    <x v="1"/>
    <n v="30"/>
    <x v="51"/>
    <x v="1"/>
    <x v="0"/>
    <x v="0"/>
    <s v="DA202"/>
    <x v="0"/>
    <n v="79999"/>
    <x v="56"/>
    <s v="Data analytics"/>
  </r>
  <r>
    <n v="365"/>
    <s v="408-6907847"/>
    <s v="69078"/>
    <x v="0"/>
    <n v="18"/>
    <x v="52"/>
    <x v="1"/>
    <x v="0"/>
    <x v="1"/>
    <s v="DM101"/>
    <x v="2"/>
    <n v="85499"/>
    <x v="163"/>
    <s v="Digial marketing"/>
  </r>
  <r>
    <n v="366"/>
    <s v="403-8786059"/>
    <s v="87860"/>
    <x v="0"/>
    <n v="48"/>
    <x v="52"/>
    <x v="1"/>
    <x v="0"/>
    <x v="1"/>
    <s v="BA301"/>
    <x v="1"/>
    <n v="59999"/>
    <x v="94"/>
    <s v="Business analytics"/>
  </r>
  <r>
    <n v="367"/>
    <s v="405-5028485"/>
    <s v="50284"/>
    <x v="0"/>
    <n v="23"/>
    <x v="52"/>
    <x v="1"/>
    <x v="0"/>
    <x v="5"/>
    <s v="DM101"/>
    <x v="2"/>
    <n v="85499"/>
    <x v="164"/>
    <s v="Digial marketing"/>
  </r>
  <r>
    <n v="368"/>
    <s v="406-6840625"/>
    <s v="68406"/>
    <x v="0"/>
    <n v="34"/>
    <x v="52"/>
    <x v="1"/>
    <x v="0"/>
    <x v="0"/>
    <s v="DM101"/>
    <x v="2"/>
    <n v="85499"/>
    <x v="35"/>
    <s v="Digial marketing"/>
  </r>
  <r>
    <n v="369"/>
    <s v="403-9147095"/>
    <s v="91470"/>
    <x v="1"/>
    <n v="21"/>
    <x v="52"/>
    <x v="1"/>
    <x v="0"/>
    <x v="1"/>
    <s v="BA301"/>
    <x v="1"/>
    <n v="59999"/>
    <x v="165"/>
    <s v="Business analytics"/>
  </r>
  <r>
    <n v="370"/>
    <s v="407-6342847"/>
    <s v="63428"/>
    <x v="0"/>
    <n v="39"/>
    <x v="52"/>
    <x v="1"/>
    <x v="0"/>
    <x v="5"/>
    <s v="DA202"/>
    <x v="0"/>
    <n v="79999"/>
    <x v="32"/>
    <s v="Data analytics"/>
  </r>
  <r>
    <n v="371"/>
    <s v="404-3951160"/>
    <s v="39511"/>
    <x v="0"/>
    <n v="49"/>
    <x v="52"/>
    <x v="1"/>
    <x v="0"/>
    <x v="2"/>
    <s v="DA202"/>
    <x v="0"/>
    <n v="79999"/>
    <x v="16"/>
    <s v="Data analytics"/>
  </r>
  <r>
    <n v="372"/>
    <s v="407-8730281"/>
    <s v="87302"/>
    <x v="0"/>
    <n v="35"/>
    <x v="53"/>
    <x v="1"/>
    <x v="0"/>
    <x v="3"/>
    <s v="DM101"/>
    <x v="2"/>
    <n v="85499"/>
    <x v="29"/>
    <s v="Digial marketing"/>
  </r>
  <r>
    <n v="373"/>
    <s v="171-0827797"/>
    <s v="82779"/>
    <x v="0"/>
    <n v="25"/>
    <x v="53"/>
    <x v="1"/>
    <x v="0"/>
    <x v="2"/>
    <s v="DM101"/>
    <x v="2"/>
    <n v="85499"/>
    <x v="48"/>
    <s v="Digial marketing"/>
  </r>
  <r>
    <n v="374"/>
    <s v="406-5133578"/>
    <s v="51335"/>
    <x v="0"/>
    <n v="49"/>
    <x v="54"/>
    <x v="1"/>
    <x v="0"/>
    <x v="2"/>
    <s v="BA301"/>
    <x v="1"/>
    <n v="59999"/>
    <x v="166"/>
    <s v="Business analytics"/>
  </r>
  <r>
    <n v="375"/>
    <s v="403-0998340"/>
    <s v="99834"/>
    <x v="0"/>
    <n v="33"/>
    <x v="54"/>
    <x v="1"/>
    <x v="0"/>
    <x v="1"/>
    <s v="DA202"/>
    <x v="0"/>
    <n v="79999"/>
    <x v="167"/>
    <s v="Data analytics"/>
  </r>
  <r>
    <n v="376"/>
    <s v="407-3781770"/>
    <s v="37817"/>
    <x v="1"/>
    <n v="32"/>
    <x v="54"/>
    <x v="1"/>
    <x v="0"/>
    <x v="0"/>
    <s v="UX401"/>
    <x v="4"/>
    <n v="67990"/>
    <x v="168"/>
    <s v="UI/UX Design"/>
  </r>
  <r>
    <n v="377"/>
    <s v="405-3940358"/>
    <s v="39403"/>
    <x v="0"/>
    <n v="73"/>
    <x v="54"/>
    <x v="1"/>
    <x v="0"/>
    <x v="2"/>
    <s v="DA202"/>
    <x v="0"/>
    <n v="79999"/>
    <x v="138"/>
    <s v="Data analytics"/>
  </r>
  <r>
    <n v="378"/>
    <s v="402-2364957"/>
    <s v="23649"/>
    <x v="0"/>
    <n v="37"/>
    <x v="54"/>
    <x v="1"/>
    <x v="0"/>
    <x v="0"/>
    <s v="DM101"/>
    <x v="2"/>
    <n v="85499"/>
    <x v="169"/>
    <s v="Digial marketing"/>
  </r>
  <r>
    <n v="379"/>
    <s v="408-0256574"/>
    <s v="25657"/>
    <x v="0"/>
    <n v="32"/>
    <x v="54"/>
    <x v="1"/>
    <x v="0"/>
    <x v="0"/>
    <s v="DM101"/>
    <x v="2"/>
    <n v="85499"/>
    <x v="41"/>
    <s v="Digial marketing"/>
  </r>
  <r>
    <n v="380"/>
    <s v="407-9821980"/>
    <s v="98219"/>
    <x v="1"/>
    <n v="36"/>
    <x v="54"/>
    <x v="1"/>
    <x v="0"/>
    <x v="4"/>
    <s v="BA301"/>
    <x v="1"/>
    <n v="59999"/>
    <x v="15"/>
    <s v="Business analytics"/>
  </r>
  <r>
    <n v="381"/>
    <s v="407-9346023"/>
    <s v="93460"/>
    <x v="0"/>
    <n v="38"/>
    <x v="54"/>
    <x v="1"/>
    <x v="0"/>
    <x v="1"/>
    <s v="BA301"/>
    <x v="1"/>
    <n v="59999"/>
    <x v="9"/>
    <s v="Business analytics"/>
  </r>
  <r>
    <n v="382"/>
    <s v="406-0474479"/>
    <s v="47447"/>
    <x v="1"/>
    <n v="38"/>
    <x v="54"/>
    <x v="1"/>
    <x v="0"/>
    <x v="1"/>
    <s v="DM101"/>
    <x v="2"/>
    <n v="85499"/>
    <x v="79"/>
    <s v="Digial marketing"/>
  </r>
  <r>
    <n v="383"/>
    <s v="171-7306978"/>
    <s v="73069"/>
    <x v="1"/>
    <n v="28"/>
    <x v="55"/>
    <x v="1"/>
    <x v="0"/>
    <x v="0"/>
    <s v="DA202"/>
    <x v="0"/>
    <n v="79999"/>
    <x v="86"/>
    <s v="Data analytics"/>
  </r>
  <r>
    <n v="384"/>
    <s v="403-1989224"/>
    <s v="19892"/>
    <x v="0"/>
    <n v="22"/>
    <x v="55"/>
    <x v="1"/>
    <x v="0"/>
    <x v="1"/>
    <s v="BA301"/>
    <x v="1"/>
    <n v="59999"/>
    <x v="170"/>
    <s v="Business analytics"/>
  </r>
  <r>
    <n v="385"/>
    <s v="405-4309953"/>
    <s v="43099"/>
    <x v="0"/>
    <n v="72"/>
    <x v="55"/>
    <x v="1"/>
    <x v="0"/>
    <x v="4"/>
    <s v="DM101"/>
    <x v="2"/>
    <n v="85499"/>
    <x v="171"/>
    <s v="Digial marketing"/>
  </r>
  <r>
    <n v="386"/>
    <s v="406-0312236"/>
    <s v="31223"/>
    <x v="0"/>
    <n v="37"/>
    <x v="55"/>
    <x v="1"/>
    <x v="0"/>
    <x v="3"/>
    <s v="DA202"/>
    <x v="0"/>
    <n v="79999"/>
    <x v="49"/>
    <s v="Data analytics"/>
  </r>
  <r>
    <n v="387"/>
    <s v="404-0418554"/>
    <s v="41855"/>
    <x v="0"/>
    <n v="33"/>
    <x v="56"/>
    <x v="1"/>
    <x v="0"/>
    <x v="1"/>
    <s v="DM101"/>
    <x v="2"/>
    <n v="85499"/>
    <x v="16"/>
    <s v="Digial marketing"/>
  </r>
  <r>
    <n v="388"/>
    <s v="403-6960188"/>
    <s v="69601"/>
    <x v="0"/>
    <n v="30"/>
    <x v="56"/>
    <x v="1"/>
    <x v="2"/>
    <x v="0"/>
    <s v="DA202"/>
    <x v="0"/>
    <n v="79999"/>
    <x v="172"/>
    <s v="Data analytics"/>
  </r>
  <r>
    <n v="389"/>
    <s v="407-4471106"/>
    <s v="44711"/>
    <x v="1"/>
    <n v="41"/>
    <x v="56"/>
    <x v="1"/>
    <x v="0"/>
    <x v="1"/>
    <s v="DA202"/>
    <x v="0"/>
    <n v="79999"/>
    <x v="173"/>
    <s v="Data analytics"/>
  </r>
  <r>
    <n v="390"/>
    <s v="405-6122366"/>
    <s v="61223"/>
    <x v="0"/>
    <n v="29"/>
    <x v="57"/>
    <x v="1"/>
    <x v="0"/>
    <x v="0"/>
    <s v="DA202"/>
    <x v="0"/>
    <n v="79999"/>
    <x v="174"/>
    <s v="Data analytics"/>
  </r>
  <r>
    <n v="391"/>
    <s v="404-1785041"/>
    <s v="17850"/>
    <x v="0"/>
    <n v="18"/>
    <x v="57"/>
    <x v="1"/>
    <x v="0"/>
    <x v="1"/>
    <s v="BA301"/>
    <x v="1"/>
    <n v="59999"/>
    <x v="175"/>
    <s v="Business analytics"/>
  </r>
  <r>
    <n v="392"/>
    <s v="402-4385583"/>
    <s v="43855"/>
    <x v="1"/>
    <n v="49"/>
    <x v="57"/>
    <x v="1"/>
    <x v="0"/>
    <x v="1"/>
    <s v="DM101"/>
    <x v="2"/>
    <n v="85499"/>
    <x v="76"/>
    <s v="Digial marketing"/>
  </r>
  <r>
    <n v="393"/>
    <s v="403-1074606"/>
    <s v="10746"/>
    <x v="0"/>
    <n v="48"/>
    <x v="57"/>
    <x v="1"/>
    <x v="0"/>
    <x v="0"/>
    <s v="BA301"/>
    <x v="1"/>
    <n v="59999"/>
    <x v="41"/>
    <s v="Business analytics"/>
  </r>
  <r>
    <n v="394"/>
    <s v="402-3017826"/>
    <s v="30178"/>
    <x v="0"/>
    <n v="28"/>
    <x v="57"/>
    <x v="1"/>
    <x v="0"/>
    <x v="1"/>
    <s v="DM101"/>
    <x v="2"/>
    <n v="85499"/>
    <x v="65"/>
    <s v="Digial marketing"/>
  </r>
  <r>
    <n v="395"/>
    <s v="404-4363469"/>
    <s v="43634"/>
    <x v="0"/>
    <n v="27"/>
    <x v="57"/>
    <x v="1"/>
    <x v="0"/>
    <x v="1"/>
    <s v="DM101"/>
    <x v="2"/>
    <n v="85499"/>
    <x v="176"/>
    <s v="Digial marketing"/>
  </r>
  <r>
    <n v="396"/>
    <s v="402-1437874"/>
    <s v="14378"/>
    <x v="0"/>
    <n v="72"/>
    <x v="57"/>
    <x v="1"/>
    <x v="0"/>
    <x v="2"/>
    <s v="DM101"/>
    <x v="2"/>
    <n v="85499"/>
    <x v="16"/>
    <s v="Digial marketing"/>
  </r>
  <r>
    <n v="397"/>
    <s v="403-0656042"/>
    <s v="65604"/>
    <x v="1"/>
    <n v="32"/>
    <x v="58"/>
    <x v="1"/>
    <x v="0"/>
    <x v="2"/>
    <s v="DM101"/>
    <x v="2"/>
    <n v="85499"/>
    <x v="57"/>
    <s v="Digial marketing"/>
  </r>
  <r>
    <n v="398"/>
    <s v="171-9882164"/>
    <s v="98821"/>
    <x v="0"/>
    <n v="40"/>
    <x v="58"/>
    <x v="1"/>
    <x v="0"/>
    <x v="2"/>
    <s v="BA301"/>
    <x v="1"/>
    <n v="59999"/>
    <x v="128"/>
    <s v="Business analytics"/>
  </r>
  <r>
    <n v="399"/>
    <s v="402-0985720"/>
    <s v="98572"/>
    <x v="0"/>
    <n v="48"/>
    <x v="58"/>
    <x v="1"/>
    <x v="0"/>
    <x v="0"/>
    <s v="DM101"/>
    <x v="2"/>
    <n v="85499"/>
    <x v="49"/>
    <s v="Digial marketing"/>
  </r>
  <r>
    <n v="400"/>
    <s v="408-1560141"/>
    <s v="15601"/>
    <x v="1"/>
    <n v="60"/>
    <x v="58"/>
    <x v="1"/>
    <x v="0"/>
    <x v="5"/>
    <s v="BA301"/>
    <x v="1"/>
    <n v="59999"/>
    <x v="9"/>
    <s v="Business analytics"/>
  </r>
  <r>
    <n v="401"/>
    <s v="407-5596434"/>
    <s v="55964"/>
    <x v="1"/>
    <n v="34"/>
    <x v="59"/>
    <x v="1"/>
    <x v="0"/>
    <x v="2"/>
    <s v="DA202"/>
    <x v="0"/>
    <n v="79999"/>
    <x v="108"/>
    <s v="Data analytics"/>
  </r>
  <r>
    <n v="402"/>
    <s v="404-5207661"/>
    <s v="52076"/>
    <x v="1"/>
    <n v="38"/>
    <x v="59"/>
    <x v="1"/>
    <x v="0"/>
    <x v="1"/>
    <s v="FSD103"/>
    <x v="3"/>
    <n v="109990"/>
    <x v="5"/>
    <s v="Full stack development"/>
  </r>
  <r>
    <n v="403"/>
    <s v="402-3533633"/>
    <s v="35336"/>
    <x v="0"/>
    <n v="27"/>
    <x v="59"/>
    <x v="1"/>
    <x v="0"/>
    <x v="0"/>
    <s v="BA301"/>
    <x v="1"/>
    <n v="59999"/>
    <x v="92"/>
    <s v="Business analytics"/>
  </r>
  <r>
    <n v="404"/>
    <s v="402-7500311"/>
    <s v="75003"/>
    <x v="1"/>
    <n v="49"/>
    <x v="59"/>
    <x v="1"/>
    <x v="0"/>
    <x v="1"/>
    <s v="FSD103"/>
    <x v="3"/>
    <n v="109990"/>
    <x v="16"/>
    <s v="Full stack development"/>
  </r>
  <r>
    <n v="405"/>
    <s v="408-8045355"/>
    <s v="80453"/>
    <x v="0"/>
    <n v="44"/>
    <x v="59"/>
    <x v="1"/>
    <x v="0"/>
    <x v="0"/>
    <s v="DM101"/>
    <x v="2"/>
    <n v="85499"/>
    <x v="14"/>
    <s v="Digial marketing"/>
  </r>
  <r>
    <n v="406"/>
    <s v="407-0620500"/>
    <s v="62050"/>
    <x v="0"/>
    <n v="32"/>
    <x v="59"/>
    <x v="1"/>
    <x v="0"/>
    <x v="0"/>
    <s v="DA202"/>
    <x v="0"/>
    <n v="79999"/>
    <x v="3"/>
    <s v="Data analytics"/>
  </r>
  <r>
    <n v="407"/>
    <s v="406-1848454"/>
    <s v="18484"/>
    <x v="0"/>
    <n v="23"/>
    <x v="59"/>
    <x v="1"/>
    <x v="0"/>
    <x v="0"/>
    <s v="DM101"/>
    <x v="2"/>
    <n v="85499"/>
    <x v="16"/>
    <s v="Digial marketing"/>
  </r>
  <r>
    <n v="408"/>
    <s v="405-2798368"/>
    <s v="27983"/>
    <x v="0"/>
    <n v="22"/>
    <x v="59"/>
    <x v="1"/>
    <x v="0"/>
    <x v="1"/>
    <s v="BA301"/>
    <x v="1"/>
    <n v="59999"/>
    <x v="41"/>
    <s v="Business analytics"/>
  </r>
  <r>
    <n v="409"/>
    <s v="405-3078440"/>
    <s v="30784"/>
    <x v="0"/>
    <n v="43"/>
    <x v="59"/>
    <x v="1"/>
    <x v="0"/>
    <x v="0"/>
    <s v="UX401"/>
    <x v="4"/>
    <n v="67990"/>
    <x v="49"/>
    <s v="UI/UX Design"/>
  </r>
  <r>
    <n v="410"/>
    <s v="407-2601251"/>
    <s v="26012"/>
    <x v="0"/>
    <n v="36"/>
    <x v="59"/>
    <x v="1"/>
    <x v="0"/>
    <x v="1"/>
    <s v="DM101"/>
    <x v="2"/>
    <n v="85499"/>
    <x v="87"/>
    <s v="Digial marketing"/>
  </r>
  <r>
    <n v="411"/>
    <s v="406-3709623"/>
    <s v="37096"/>
    <x v="1"/>
    <n v="76"/>
    <x v="60"/>
    <x v="2"/>
    <x v="0"/>
    <x v="3"/>
    <s v="DA202"/>
    <x v="0"/>
    <n v="79999"/>
    <x v="177"/>
    <s v="Data analytics"/>
  </r>
  <r>
    <n v="412"/>
    <s v="171-9993814"/>
    <s v="99938"/>
    <x v="0"/>
    <n v="42"/>
    <x v="60"/>
    <x v="2"/>
    <x v="2"/>
    <x v="0"/>
    <s v="DA202"/>
    <x v="0"/>
    <n v="79999"/>
    <x v="84"/>
    <s v="Data analytics"/>
  </r>
  <r>
    <n v="413"/>
    <s v="408-6650482"/>
    <s v="66504"/>
    <x v="0"/>
    <n v="25"/>
    <x v="60"/>
    <x v="2"/>
    <x v="0"/>
    <x v="1"/>
    <s v="DM101"/>
    <x v="2"/>
    <n v="85499"/>
    <x v="29"/>
    <s v="Digial marketing"/>
  </r>
  <r>
    <n v="414"/>
    <s v="406-1601098"/>
    <s v="16010"/>
    <x v="1"/>
    <n v="42"/>
    <x v="60"/>
    <x v="2"/>
    <x v="2"/>
    <x v="2"/>
    <s v="DA202"/>
    <x v="0"/>
    <n v="79999"/>
    <x v="74"/>
    <s v="Data analytics"/>
  </r>
  <r>
    <n v="415"/>
    <s v="406-7807711"/>
    <s v="78077"/>
    <x v="0"/>
    <n v="27"/>
    <x v="60"/>
    <x v="2"/>
    <x v="0"/>
    <x v="1"/>
    <s v="BA301"/>
    <x v="1"/>
    <n v="59999"/>
    <x v="3"/>
    <s v="Business analytics"/>
  </r>
  <r>
    <n v="416"/>
    <s v="407-7232347"/>
    <s v="72323"/>
    <x v="0"/>
    <n v="75"/>
    <x v="61"/>
    <x v="2"/>
    <x v="0"/>
    <x v="2"/>
    <s v="DM101"/>
    <x v="2"/>
    <n v="85499"/>
    <x v="28"/>
    <s v="Digial marketing"/>
  </r>
  <r>
    <n v="417"/>
    <s v="171-0959814"/>
    <s v="95981"/>
    <x v="1"/>
    <n v="31"/>
    <x v="61"/>
    <x v="2"/>
    <x v="0"/>
    <x v="4"/>
    <s v="DA202"/>
    <x v="0"/>
    <n v="79999"/>
    <x v="15"/>
    <s v="Data analytics"/>
  </r>
  <r>
    <n v="418"/>
    <s v="404-4366232"/>
    <s v="43662"/>
    <x v="0"/>
    <n v="23"/>
    <x v="61"/>
    <x v="2"/>
    <x v="0"/>
    <x v="2"/>
    <s v="FSD103"/>
    <x v="3"/>
    <n v="109990"/>
    <x v="24"/>
    <s v="Full stack development"/>
  </r>
  <r>
    <n v="419"/>
    <s v="406-4597589"/>
    <s v="45975"/>
    <x v="0"/>
    <n v="27"/>
    <x v="61"/>
    <x v="2"/>
    <x v="2"/>
    <x v="6"/>
    <s v="DA202"/>
    <x v="0"/>
    <n v="79999"/>
    <x v="178"/>
    <s v="Data analytics"/>
  </r>
  <r>
    <n v="420"/>
    <s v="408-6005534"/>
    <s v="60055"/>
    <x v="0"/>
    <n v="22"/>
    <x v="61"/>
    <x v="2"/>
    <x v="0"/>
    <x v="5"/>
    <s v="DM101"/>
    <x v="2"/>
    <n v="85499"/>
    <x v="17"/>
    <s v="Digial marketing"/>
  </r>
  <r>
    <n v="421"/>
    <s v="407-7967987"/>
    <s v="79679"/>
    <x v="0"/>
    <n v="55"/>
    <x v="61"/>
    <x v="2"/>
    <x v="0"/>
    <x v="4"/>
    <s v="BA301"/>
    <x v="1"/>
    <n v="59999"/>
    <x v="179"/>
    <s v="Business analytics"/>
  </r>
  <r>
    <n v="422"/>
    <s v="403-1072187"/>
    <s v="10721"/>
    <x v="1"/>
    <n v="32"/>
    <x v="61"/>
    <x v="2"/>
    <x v="0"/>
    <x v="0"/>
    <s v="DM101"/>
    <x v="2"/>
    <n v="85499"/>
    <x v="180"/>
    <s v="Digial marketing"/>
  </r>
  <r>
    <n v="423"/>
    <s v="407-9445286"/>
    <s v="94452"/>
    <x v="0"/>
    <n v="31"/>
    <x v="61"/>
    <x v="2"/>
    <x v="0"/>
    <x v="4"/>
    <s v="BA301"/>
    <x v="1"/>
    <n v="59999"/>
    <x v="181"/>
    <s v="Business analytics"/>
  </r>
  <r>
    <n v="424"/>
    <s v="405-9965566"/>
    <s v="99655"/>
    <x v="1"/>
    <n v="49"/>
    <x v="62"/>
    <x v="2"/>
    <x v="0"/>
    <x v="0"/>
    <s v="BA301"/>
    <x v="1"/>
    <n v="59999"/>
    <x v="182"/>
    <s v="Business analytics"/>
  </r>
  <r>
    <n v="425"/>
    <s v="408-3150157"/>
    <s v="31501"/>
    <x v="0"/>
    <n v="31"/>
    <x v="62"/>
    <x v="2"/>
    <x v="0"/>
    <x v="1"/>
    <s v="DA202"/>
    <x v="0"/>
    <n v="79999"/>
    <x v="17"/>
    <s v="Data analytics"/>
  </r>
  <r>
    <n v="426"/>
    <s v="404-0303558"/>
    <s v="30355"/>
    <x v="0"/>
    <n v="42"/>
    <x v="62"/>
    <x v="2"/>
    <x v="0"/>
    <x v="1"/>
    <s v="DA202"/>
    <x v="0"/>
    <n v="79999"/>
    <x v="15"/>
    <s v="Data analytics"/>
  </r>
  <r>
    <n v="427"/>
    <s v="402-5547944"/>
    <s v="55479"/>
    <x v="1"/>
    <n v="26"/>
    <x v="62"/>
    <x v="2"/>
    <x v="0"/>
    <x v="1"/>
    <s v="DA202"/>
    <x v="0"/>
    <n v="79999"/>
    <x v="28"/>
    <s v="Data analytics"/>
  </r>
  <r>
    <n v="428"/>
    <s v="404-4928780"/>
    <s v="49287"/>
    <x v="1"/>
    <n v="20"/>
    <x v="62"/>
    <x v="2"/>
    <x v="0"/>
    <x v="1"/>
    <s v="DM101"/>
    <x v="2"/>
    <n v="85499"/>
    <x v="183"/>
    <s v="Digial marketing"/>
  </r>
  <r>
    <n v="429"/>
    <s v="404-7919044"/>
    <s v="79190"/>
    <x v="0"/>
    <n v="40"/>
    <x v="62"/>
    <x v="2"/>
    <x v="0"/>
    <x v="2"/>
    <s v="BA301"/>
    <x v="1"/>
    <n v="59999"/>
    <x v="3"/>
    <s v="Business analytics"/>
  </r>
  <r>
    <n v="430"/>
    <s v="405-6240580"/>
    <s v="62405"/>
    <x v="0"/>
    <n v="68"/>
    <x v="62"/>
    <x v="2"/>
    <x v="0"/>
    <x v="1"/>
    <s v="DM101"/>
    <x v="2"/>
    <n v="85499"/>
    <x v="29"/>
    <s v="Digial marketing"/>
  </r>
  <r>
    <n v="431"/>
    <s v="402-4615786"/>
    <s v="46157"/>
    <x v="0"/>
    <n v="48"/>
    <x v="62"/>
    <x v="2"/>
    <x v="0"/>
    <x v="1"/>
    <s v="DA202"/>
    <x v="0"/>
    <n v="79999"/>
    <x v="184"/>
    <s v="Data analytics"/>
  </r>
  <r>
    <n v="432"/>
    <s v="407-8024667"/>
    <s v="80246"/>
    <x v="0"/>
    <n v="58"/>
    <x v="63"/>
    <x v="2"/>
    <x v="0"/>
    <x v="1"/>
    <s v="DM101"/>
    <x v="2"/>
    <n v="85499"/>
    <x v="185"/>
    <s v="Digial marketing"/>
  </r>
  <r>
    <n v="433"/>
    <s v="402-5765688"/>
    <s v="57656"/>
    <x v="1"/>
    <n v="45"/>
    <x v="63"/>
    <x v="2"/>
    <x v="0"/>
    <x v="0"/>
    <s v="DM101"/>
    <x v="2"/>
    <n v="85499"/>
    <x v="3"/>
    <s v="Digial marketing"/>
  </r>
  <r>
    <n v="434"/>
    <s v="403-8549356"/>
    <s v="85493"/>
    <x v="1"/>
    <n v="20"/>
    <x v="63"/>
    <x v="2"/>
    <x v="0"/>
    <x v="1"/>
    <s v="DM101"/>
    <x v="2"/>
    <n v="85499"/>
    <x v="3"/>
    <s v="Digial marketing"/>
  </r>
  <r>
    <n v="435"/>
    <s v="408-1785577"/>
    <s v="17855"/>
    <x v="1"/>
    <n v="48"/>
    <x v="63"/>
    <x v="2"/>
    <x v="0"/>
    <x v="2"/>
    <s v="UX401"/>
    <x v="4"/>
    <n v="67990"/>
    <x v="15"/>
    <s v="UI/UX Design"/>
  </r>
  <r>
    <n v="436"/>
    <s v="404-4368354"/>
    <s v="43683"/>
    <x v="0"/>
    <n v="20"/>
    <x v="63"/>
    <x v="2"/>
    <x v="0"/>
    <x v="0"/>
    <s v="DM101"/>
    <x v="2"/>
    <n v="85499"/>
    <x v="24"/>
    <s v="Digial marketing"/>
  </r>
  <r>
    <n v="437"/>
    <s v="407-9495778"/>
    <s v="94957"/>
    <x v="0"/>
    <n v="49"/>
    <x v="63"/>
    <x v="2"/>
    <x v="0"/>
    <x v="0"/>
    <s v="DM101"/>
    <x v="2"/>
    <n v="85499"/>
    <x v="5"/>
    <s v="Digial marketing"/>
  </r>
  <r>
    <n v="438"/>
    <s v="407-1010288"/>
    <s v="10102"/>
    <x v="0"/>
    <n v="30"/>
    <x v="63"/>
    <x v="2"/>
    <x v="0"/>
    <x v="1"/>
    <s v="FSD103"/>
    <x v="3"/>
    <n v="109990"/>
    <x v="186"/>
    <s v="Full stack development"/>
  </r>
  <r>
    <n v="439"/>
    <s v="402-3685712"/>
    <s v="36857"/>
    <x v="0"/>
    <n v="22"/>
    <x v="63"/>
    <x v="2"/>
    <x v="0"/>
    <x v="1"/>
    <s v="DM101"/>
    <x v="2"/>
    <n v="85499"/>
    <x v="15"/>
    <s v="Digial marketing"/>
  </r>
  <r>
    <n v="440"/>
    <s v="406-4436141"/>
    <s v="44361"/>
    <x v="0"/>
    <n v="73"/>
    <x v="64"/>
    <x v="2"/>
    <x v="0"/>
    <x v="0"/>
    <s v="BA301"/>
    <x v="1"/>
    <n v="59999"/>
    <x v="187"/>
    <s v="Business analytics"/>
  </r>
  <r>
    <n v="441"/>
    <s v="404-5928943"/>
    <s v="59289"/>
    <x v="0"/>
    <n v="34"/>
    <x v="64"/>
    <x v="2"/>
    <x v="0"/>
    <x v="1"/>
    <s v="DM101"/>
    <x v="2"/>
    <n v="85499"/>
    <x v="24"/>
    <s v="Digial marketing"/>
  </r>
  <r>
    <n v="442"/>
    <s v="402-4109103"/>
    <s v="41091"/>
    <x v="0"/>
    <n v="27"/>
    <x v="64"/>
    <x v="2"/>
    <x v="0"/>
    <x v="1"/>
    <s v="DA202"/>
    <x v="0"/>
    <n v="79999"/>
    <x v="3"/>
    <s v="Data analytics"/>
  </r>
  <r>
    <n v="443"/>
    <s v="404-7456352"/>
    <s v="74563"/>
    <x v="0"/>
    <n v="39"/>
    <x v="64"/>
    <x v="2"/>
    <x v="0"/>
    <x v="0"/>
    <s v="BA301"/>
    <x v="1"/>
    <n v="59999"/>
    <x v="35"/>
    <s v="Business analytics"/>
  </r>
  <r>
    <n v="444"/>
    <s v="406-3667953"/>
    <s v="36679"/>
    <x v="0"/>
    <n v="34"/>
    <x v="64"/>
    <x v="2"/>
    <x v="0"/>
    <x v="2"/>
    <s v="DA202"/>
    <x v="0"/>
    <n v="79999"/>
    <x v="188"/>
    <s v="Data analytics"/>
  </r>
  <r>
    <n v="445"/>
    <s v="402-3506010"/>
    <s v="35060"/>
    <x v="1"/>
    <n v="21"/>
    <x v="64"/>
    <x v="2"/>
    <x v="0"/>
    <x v="2"/>
    <s v="DA202"/>
    <x v="0"/>
    <n v="79999"/>
    <x v="188"/>
    <s v="Data analytics"/>
  </r>
  <r>
    <n v="446"/>
    <s v="408-9142380"/>
    <s v="91423"/>
    <x v="0"/>
    <n v="34"/>
    <x v="64"/>
    <x v="2"/>
    <x v="0"/>
    <x v="0"/>
    <s v="UX401"/>
    <x v="4"/>
    <n v="67990"/>
    <x v="94"/>
    <s v="UI/UX Design"/>
  </r>
  <r>
    <n v="447"/>
    <s v="405-5463526"/>
    <s v="54635"/>
    <x v="0"/>
    <n v="18"/>
    <x v="64"/>
    <x v="2"/>
    <x v="0"/>
    <x v="5"/>
    <s v="DM101"/>
    <x v="2"/>
    <n v="85499"/>
    <x v="29"/>
    <s v="Digial marketing"/>
  </r>
  <r>
    <n v="448"/>
    <s v="403-5852722"/>
    <s v="58527"/>
    <x v="1"/>
    <n v="46"/>
    <x v="65"/>
    <x v="2"/>
    <x v="0"/>
    <x v="1"/>
    <s v="DA202"/>
    <x v="0"/>
    <n v="79999"/>
    <x v="189"/>
    <s v="Data analytics"/>
  </r>
  <r>
    <n v="449"/>
    <s v="408-8291957"/>
    <s v="82919"/>
    <x v="1"/>
    <n v="42"/>
    <x v="65"/>
    <x v="2"/>
    <x v="0"/>
    <x v="1"/>
    <s v="DA202"/>
    <x v="0"/>
    <n v="79999"/>
    <x v="190"/>
    <s v="Data analytics"/>
  </r>
  <r>
    <n v="450"/>
    <s v="404-9355956"/>
    <s v="93559"/>
    <x v="0"/>
    <n v="29"/>
    <x v="65"/>
    <x v="2"/>
    <x v="0"/>
    <x v="2"/>
    <s v="BA301"/>
    <x v="1"/>
    <n v="59999"/>
    <x v="67"/>
    <s v="Business analytics"/>
  </r>
  <r>
    <n v="451"/>
    <s v="402-2954383"/>
    <s v="29543"/>
    <x v="0"/>
    <n v="24"/>
    <x v="65"/>
    <x v="2"/>
    <x v="0"/>
    <x v="2"/>
    <s v="DM101"/>
    <x v="2"/>
    <n v="85499"/>
    <x v="191"/>
    <s v="Digial marketing"/>
  </r>
  <r>
    <n v="452"/>
    <s v="171-4039731"/>
    <s v="40397"/>
    <x v="0"/>
    <n v="46"/>
    <x v="65"/>
    <x v="2"/>
    <x v="0"/>
    <x v="1"/>
    <s v="DA202"/>
    <x v="0"/>
    <n v="79999"/>
    <x v="192"/>
    <s v="Data analytics"/>
  </r>
  <r>
    <n v="453"/>
    <s v="402-0495254"/>
    <s v="49525"/>
    <x v="0"/>
    <n v="43"/>
    <x v="65"/>
    <x v="2"/>
    <x v="0"/>
    <x v="1"/>
    <s v="DM101"/>
    <x v="2"/>
    <n v="85499"/>
    <x v="193"/>
    <s v="Digial marketing"/>
  </r>
  <r>
    <n v="454"/>
    <s v="402-3187749"/>
    <s v="31877"/>
    <x v="0"/>
    <n v="49"/>
    <x v="65"/>
    <x v="2"/>
    <x v="0"/>
    <x v="2"/>
    <s v="DM101"/>
    <x v="2"/>
    <n v="85499"/>
    <x v="49"/>
    <s v="Digial marketing"/>
  </r>
  <r>
    <n v="455"/>
    <s v="408-7593599"/>
    <s v="75935"/>
    <x v="0"/>
    <n v="40"/>
    <x v="65"/>
    <x v="2"/>
    <x v="0"/>
    <x v="5"/>
    <s v="DM101"/>
    <x v="2"/>
    <n v="85499"/>
    <x v="29"/>
    <s v="Digial marketing"/>
  </r>
  <r>
    <n v="456"/>
    <s v="406-3221933"/>
    <s v="32219"/>
    <x v="0"/>
    <n v="29"/>
    <x v="65"/>
    <x v="2"/>
    <x v="0"/>
    <x v="1"/>
    <s v="BA301"/>
    <x v="1"/>
    <n v="59999"/>
    <x v="194"/>
    <s v="Business analytics"/>
  </r>
  <r>
    <n v="457"/>
    <s v="402-9633930"/>
    <s v="96339"/>
    <x v="0"/>
    <n v="41"/>
    <x v="65"/>
    <x v="2"/>
    <x v="0"/>
    <x v="2"/>
    <s v="BA301"/>
    <x v="1"/>
    <n v="59999"/>
    <x v="5"/>
    <s v="Business analytics"/>
  </r>
  <r>
    <n v="458"/>
    <s v="404-6847854"/>
    <s v="68478"/>
    <x v="0"/>
    <n v="48"/>
    <x v="65"/>
    <x v="2"/>
    <x v="0"/>
    <x v="1"/>
    <s v="DA202"/>
    <x v="0"/>
    <n v="79999"/>
    <x v="195"/>
    <s v="Data analytics"/>
  </r>
  <r>
    <n v="459"/>
    <s v="407-1554172"/>
    <s v="15541"/>
    <x v="0"/>
    <n v="46"/>
    <x v="66"/>
    <x v="2"/>
    <x v="0"/>
    <x v="1"/>
    <s v="DM101"/>
    <x v="2"/>
    <n v="85499"/>
    <x v="196"/>
    <s v="Digial marketing"/>
  </r>
  <r>
    <n v="460"/>
    <s v="171-5361932"/>
    <s v="53619"/>
    <x v="1"/>
    <n v="33"/>
    <x v="66"/>
    <x v="2"/>
    <x v="0"/>
    <x v="1"/>
    <s v="FSD103"/>
    <x v="3"/>
    <n v="109990"/>
    <x v="92"/>
    <s v="Full stack development"/>
  </r>
  <r>
    <n v="461"/>
    <s v="403-7975058"/>
    <s v="79750"/>
    <x v="1"/>
    <n v="45"/>
    <x v="66"/>
    <x v="2"/>
    <x v="0"/>
    <x v="3"/>
    <s v="DM101"/>
    <x v="2"/>
    <n v="85499"/>
    <x v="2"/>
    <s v="Digial marketing"/>
  </r>
  <r>
    <n v="462"/>
    <s v="406-1929227"/>
    <s v="19292"/>
    <x v="0"/>
    <n v="24"/>
    <x v="66"/>
    <x v="2"/>
    <x v="0"/>
    <x v="2"/>
    <s v="UX401"/>
    <x v="4"/>
    <n v="67990"/>
    <x v="9"/>
    <s v="UI/UX Design"/>
  </r>
  <r>
    <n v="463"/>
    <s v="405-1708971"/>
    <s v="17089"/>
    <x v="0"/>
    <n v="77"/>
    <x v="66"/>
    <x v="2"/>
    <x v="0"/>
    <x v="0"/>
    <s v="DM101"/>
    <x v="2"/>
    <n v="85499"/>
    <x v="29"/>
    <s v="Digial marketing"/>
  </r>
  <r>
    <n v="464"/>
    <s v="402-9728601"/>
    <s v="97286"/>
    <x v="0"/>
    <n v="69"/>
    <x v="66"/>
    <x v="2"/>
    <x v="0"/>
    <x v="2"/>
    <s v="DM101"/>
    <x v="2"/>
    <n v="85499"/>
    <x v="41"/>
    <s v="Digial marketing"/>
  </r>
  <r>
    <n v="465"/>
    <s v="406-0584503"/>
    <s v="58450"/>
    <x v="1"/>
    <n v="53"/>
    <x v="67"/>
    <x v="2"/>
    <x v="1"/>
    <x v="0"/>
    <s v="DM101"/>
    <x v="2"/>
    <n v="85499"/>
    <x v="3"/>
    <s v="Digial marketing"/>
  </r>
  <r>
    <n v="466"/>
    <s v="405-6911421"/>
    <s v="69114"/>
    <x v="1"/>
    <n v="24"/>
    <x v="67"/>
    <x v="2"/>
    <x v="0"/>
    <x v="2"/>
    <s v="UX401"/>
    <x v="4"/>
    <n v="67990"/>
    <x v="9"/>
    <s v="UI/UX Design"/>
  </r>
  <r>
    <n v="467"/>
    <s v="402-9892381"/>
    <s v="98923"/>
    <x v="0"/>
    <n v="28"/>
    <x v="67"/>
    <x v="2"/>
    <x v="0"/>
    <x v="0"/>
    <s v="DM101"/>
    <x v="2"/>
    <n v="85499"/>
    <x v="15"/>
    <s v="Digial marketing"/>
  </r>
  <r>
    <n v="468"/>
    <s v="408-3322330"/>
    <s v="33223"/>
    <x v="0"/>
    <n v="74"/>
    <x v="67"/>
    <x v="2"/>
    <x v="0"/>
    <x v="2"/>
    <s v="DM101"/>
    <x v="2"/>
    <n v="85499"/>
    <x v="49"/>
    <s v="Digial marketing"/>
  </r>
  <r>
    <n v="469"/>
    <s v="403-6355982"/>
    <s v="63559"/>
    <x v="0"/>
    <n v="47"/>
    <x v="68"/>
    <x v="2"/>
    <x v="0"/>
    <x v="0"/>
    <s v="DM101"/>
    <x v="2"/>
    <n v="85499"/>
    <x v="32"/>
    <s v="Digial marketing"/>
  </r>
  <r>
    <n v="470"/>
    <s v="405-5450280"/>
    <s v="54502"/>
    <x v="0"/>
    <n v="18"/>
    <x v="68"/>
    <x v="2"/>
    <x v="0"/>
    <x v="1"/>
    <s v="DM101"/>
    <x v="2"/>
    <n v="85499"/>
    <x v="197"/>
    <s v="Digial marketing"/>
  </r>
  <r>
    <n v="471"/>
    <s v="404-4788352"/>
    <s v="47883"/>
    <x v="0"/>
    <n v="46"/>
    <x v="68"/>
    <x v="2"/>
    <x v="0"/>
    <x v="1"/>
    <s v="DA202"/>
    <x v="0"/>
    <n v="79999"/>
    <x v="3"/>
    <s v="Data analytics"/>
  </r>
  <r>
    <n v="472"/>
    <s v="403-0137766"/>
    <s v="13776"/>
    <x v="0"/>
    <n v="28"/>
    <x v="68"/>
    <x v="2"/>
    <x v="0"/>
    <x v="1"/>
    <s v="DM101"/>
    <x v="2"/>
    <n v="85499"/>
    <x v="198"/>
    <s v="Digial marketing"/>
  </r>
  <r>
    <n v="473"/>
    <s v="408-7089031"/>
    <s v="70890"/>
    <x v="0"/>
    <n v="35"/>
    <x v="69"/>
    <x v="2"/>
    <x v="0"/>
    <x v="1"/>
    <s v="BA301"/>
    <x v="1"/>
    <n v="59999"/>
    <x v="109"/>
    <s v="Business analytics"/>
  </r>
  <r>
    <n v="474"/>
    <s v="408-3377351"/>
    <s v="33773"/>
    <x v="0"/>
    <n v="29"/>
    <x v="69"/>
    <x v="2"/>
    <x v="0"/>
    <x v="1"/>
    <s v="DM101"/>
    <x v="2"/>
    <n v="85499"/>
    <x v="199"/>
    <s v="Digial marketing"/>
  </r>
  <r>
    <n v="475"/>
    <s v="403-6360510"/>
    <s v="63605"/>
    <x v="1"/>
    <n v="40"/>
    <x v="69"/>
    <x v="2"/>
    <x v="0"/>
    <x v="0"/>
    <s v="DM101"/>
    <x v="2"/>
    <n v="85499"/>
    <x v="29"/>
    <s v="Digial marketing"/>
  </r>
  <r>
    <n v="476"/>
    <s v="407-7832865"/>
    <s v="78328"/>
    <x v="0"/>
    <n v="41"/>
    <x v="69"/>
    <x v="2"/>
    <x v="0"/>
    <x v="2"/>
    <s v="DA202"/>
    <x v="0"/>
    <n v="79999"/>
    <x v="29"/>
    <s v="Data analytics"/>
  </r>
  <r>
    <n v="477"/>
    <s v="407-7511068"/>
    <s v="75110"/>
    <x v="1"/>
    <n v="76"/>
    <x v="69"/>
    <x v="2"/>
    <x v="0"/>
    <x v="1"/>
    <s v="DA202"/>
    <x v="0"/>
    <n v="79999"/>
    <x v="15"/>
    <s v="Data analytics"/>
  </r>
  <r>
    <n v="478"/>
    <s v="405-6392510"/>
    <s v="63925"/>
    <x v="0"/>
    <n v="59"/>
    <x v="69"/>
    <x v="2"/>
    <x v="0"/>
    <x v="1"/>
    <s v="DM101"/>
    <x v="2"/>
    <n v="85499"/>
    <x v="200"/>
    <s v="Digial marketing"/>
  </r>
  <r>
    <n v="479"/>
    <s v="406-8810314"/>
    <s v="88103"/>
    <x v="0"/>
    <n v="70"/>
    <x v="70"/>
    <x v="2"/>
    <x v="0"/>
    <x v="2"/>
    <s v="UX401"/>
    <x v="4"/>
    <n v="67990"/>
    <x v="80"/>
    <s v="UI/UX Design"/>
  </r>
  <r>
    <n v="480"/>
    <s v="407-0661596"/>
    <s v="66159"/>
    <x v="1"/>
    <n v="44"/>
    <x v="70"/>
    <x v="2"/>
    <x v="0"/>
    <x v="2"/>
    <s v="DM101"/>
    <x v="2"/>
    <n v="85499"/>
    <x v="188"/>
    <s v="Digial marketing"/>
  </r>
  <r>
    <n v="481"/>
    <s v="406-6437607"/>
    <s v="64376"/>
    <x v="0"/>
    <n v="48"/>
    <x v="70"/>
    <x v="2"/>
    <x v="0"/>
    <x v="2"/>
    <s v="UX401"/>
    <x v="4"/>
    <n v="67990"/>
    <x v="3"/>
    <s v="UI/UX Design"/>
  </r>
  <r>
    <n v="482"/>
    <s v="403-0574212"/>
    <s v="57421"/>
    <x v="0"/>
    <n v="33"/>
    <x v="70"/>
    <x v="2"/>
    <x v="0"/>
    <x v="2"/>
    <s v="UX401"/>
    <x v="4"/>
    <n v="67990"/>
    <x v="9"/>
    <s v="UI/UX Design"/>
  </r>
  <r>
    <n v="483"/>
    <s v="406-9153877"/>
    <s v="91538"/>
    <x v="1"/>
    <n v="41"/>
    <x v="70"/>
    <x v="2"/>
    <x v="1"/>
    <x v="0"/>
    <s v="DA202"/>
    <x v="0"/>
    <n v="79999"/>
    <x v="28"/>
    <s v="Data analytics"/>
  </r>
  <r>
    <n v="484"/>
    <s v="403-8163430"/>
    <s v="81634"/>
    <x v="1"/>
    <n v="42"/>
    <x v="70"/>
    <x v="2"/>
    <x v="0"/>
    <x v="4"/>
    <s v="BA301"/>
    <x v="1"/>
    <n v="59999"/>
    <x v="16"/>
    <s v="Business analytics"/>
  </r>
  <r>
    <n v="485"/>
    <s v="404-6239947"/>
    <s v="62399"/>
    <x v="0"/>
    <n v="44"/>
    <x v="71"/>
    <x v="2"/>
    <x v="0"/>
    <x v="6"/>
    <s v="FSD103"/>
    <x v="3"/>
    <n v="109990"/>
    <x v="15"/>
    <s v="Full stack development"/>
  </r>
  <r>
    <n v="486"/>
    <s v="403-5116201"/>
    <s v="51162"/>
    <x v="0"/>
    <n v="59"/>
    <x v="71"/>
    <x v="2"/>
    <x v="0"/>
    <x v="3"/>
    <s v="DA202"/>
    <x v="0"/>
    <n v="79999"/>
    <x v="80"/>
    <s v="Data analytics"/>
  </r>
  <r>
    <n v="487"/>
    <s v="408-8927030"/>
    <s v="89270"/>
    <x v="0"/>
    <n v="31"/>
    <x v="71"/>
    <x v="2"/>
    <x v="0"/>
    <x v="0"/>
    <s v="DA202"/>
    <x v="0"/>
    <n v="79999"/>
    <x v="9"/>
    <s v="Data analytics"/>
  </r>
  <r>
    <n v="488"/>
    <s v="405-0358740"/>
    <s v="35874"/>
    <x v="1"/>
    <n v="22"/>
    <x v="71"/>
    <x v="2"/>
    <x v="0"/>
    <x v="2"/>
    <s v="BA301"/>
    <x v="1"/>
    <n v="59999"/>
    <x v="15"/>
    <s v="Business analytics"/>
  </r>
  <r>
    <n v="489"/>
    <s v="171-4350406"/>
    <s v="43504"/>
    <x v="0"/>
    <n v="39"/>
    <x v="71"/>
    <x v="2"/>
    <x v="0"/>
    <x v="2"/>
    <s v="DA202"/>
    <x v="0"/>
    <n v="79999"/>
    <x v="201"/>
    <s v="Data analytics"/>
  </r>
  <r>
    <n v="490"/>
    <s v="405-4282511"/>
    <s v="42825"/>
    <x v="1"/>
    <n v="72"/>
    <x v="71"/>
    <x v="2"/>
    <x v="0"/>
    <x v="1"/>
    <s v="DA202"/>
    <x v="0"/>
    <n v="79999"/>
    <x v="29"/>
    <s v="Data analytics"/>
  </r>
  <r>
    <n v="491"/>
    <s v="171-4801686"/>
    <s v="48016"/>
    <x v="0"/>
    <n v="68"/>
    <x v="71"/>
    <x v="2"/>
    <x v="0"/>
    <x v="2"/>
    <s v="DA202"/>
    <x v="0"/>
    <n v="79999"/>
    <x v="122"/>
    <s v="Data analytics"/>
  </r>
  <r>
    <n v="492"/>
    <s v="407-8850334"/>
    <s v="88503"/>
    <x v="0"/>
    <n v="45"/>
    <x v="71"/>
    <x v="2"/>
    <x v="0"/>
    <x v="0"/>
    <s v="DA202"/>
    <x v="0"/>
    <n v="79999"/>
    <x v="16"/>
    <s v="Data analytics"/>
  </r>
  <r>
    <n v="493"/>
    <s v="407-5473618"/>
    <s v="54736"/>
    <x v="0"/>
    <n v="43"/>
    <x v="71"/>
    <x v="2"/>
    <x v="0"/>
    <x v="1"/>
    <s v="BA301"/>
    <x v="1"/>
    <n v="59999"/>
    <x v="9"/>
    <s v="Business analytics"/>
  </r>
  <r>
    <n v="494"/>
    <s v="406-8731559"/>
    <s v="87315"/>
    <x v="0"/>
    <n v="37"/>
    <x v="71"/>
    <x v="2"/>
    <x v="0"/>
    <x v="0"/>
    <s v="BA301"/>
    <x v="1"/>
    <n v="59999"/>
    <x v="17"/>
    <s v="Business analytics"/>
  </r>
  <r>
    <n v="495"/>
    <s v="407-6775337"/>
    <s v="67753"/>
    <x v="0"/>
    <n v="66"/>
    <x v="72"/>
    <x v="2"/>
    <x v="0"/>
    <x v="3"/>
    <s v="UX401"/>
    <x v="4"/>
    <n v="67990"/>
    <x v="202"/>
    <s v="UI/UX Design"/>
  </r>
  <r>
    <n v="496"/>
    <s v="403-7710582"/>
    <s v="77105"/>
    <x v="0"/>
    <n v="44"/>
    <x v="72"/>
    <x v="2"/>
    <x v="0"/>
    <x v="0"/>
    <s v="DM101"/>
    <x v="2"/>
    <n v="85499"/>
    <x v="203"/>
    <s v="Digial marketing"/>
  </r>
  <r>
    <n v="497"/>
    <s v="406-8900367"/>
    <s v="89003"/>
    <x v="0"/>
    <n v="43"/>
    <x v="72"/>
    <x v="2"/>
    <x v="0"/>
    <x v="4"/>
    <s v="BA301"/>
    <x v="1"/>
    <n v="59999"/>
    <x v="29"/>
    <s v="Business analytics"/>
  </r>
  <r>
    <n v="498"/>
    <s v="404-1529307"/>
    <s v="15293"/>
    <x v="0"/>
    <n v="49"/>
    <x v="72"/>
    <x v="2"/>
    <x v="0"/>
    <x v="0"/>
    <s v="BA301"/>
    <x v="1"/>
    <n v="59999"/>
    <x v="204"/>
    <s v="Business analytics"/>
  </r>
  <r>
    <n v="499"/>
    <s v="405-3130311"/>
    <s v="31303"/>
    <x v="0"/>
    <n v="30"/>
    <x v="72"/>
    <x v="2"/>
    <x v="0"/>
    <x v="5"/>
    <s v="DM101"/>
    <x v="2"/>
    <n v="85499"/>
    <x v="205"/>
    <s v="Digial marketing"/>
  </r>
  <r>
    <n v="500"/>
    <s v="407-2687802"/>
    <s v="26878"/>
    <x v="0"/>
    <n v="36"/>
    <x v="72"/>
    <x v="2"/>
    <x v="0"/>
    <x v="0"/>
    <s v="DM101"/>
    <x v="2"/>
    <n v="85499"/>
    <x v="94"/>
    <s v="Digial marketing"/>
  </r>
  <r>
    <n v="501"/>
    <s v="171-4515790"/>
    <s v="45157"/>
    <x v="1"/>
    <n v="22"/>
    <x v="72"/>
    <x v="2"/>
    <x v="0"/>
    <x v="2"/>
    <s v="DA202"/>
    <x v="0"/>
    <n v="79999"/>
    <x v="15"/>
    <s v="Data analytics"/>
  </r>
  <r>
    <n v="502"/>
    <s v="406-9983257"/>
    <s v="99832"/>
    <x v="0"/>
    <n v="33"/>
    <x v="73"/>
    <x v="2"/>
    <x v="0"/>
    <x v="0"/>
    <s v="BA301"/>
    <x v="1"/>
    <n v="59999"/>
    <x v="100"/>
    <s v="Business analytics"/>
  </r>
  <r>
    <n v="503"/>
    <s v="403-0302103"/>
    <s v="30210"/>
    <x v="1"/>
    <n v="40"/>
    <x v="73"/>
    <x v="2"/>
    <x v="0"/>
    <x v="5"/>
    <s v="DA202"/>
    <x v="0"/>
    <n v="79999"/>
    <x v="135"/>
    <s v="Data analytics"/>
  </r>
  <r>
    <n v="504"/>
    <s v="408-6896255"/>
    <s v="68962"/>
    <x v="0"/>
    <n v="33"/>
    <x v="74"/>
    <x v="2"/>
    <x v="0"/>
    <x v="4"/>
    <s v="DM101"/>
    <x v="2"/>
    <n v="85499"/>
    <x v="57"/>
    <s v="Digial marketing"/>
  </r>
  <r>
    <n v="505"/>
    <s v="171-6600175"/>
    <s v="66001"/>
    <x v="1"/>
    <n v="38"/>
    <x v="74"/>
    <x v="2"/>
    <x v="0"/>
    <x v="1"/>
    <s v="UX401"/>
    <x v="4"/>
    <n v="67990"/>
    <x v="128"/>
    <s v="UI/UX Design"/>
  </r>
  <r>
    <n v="506"/>
    <s v="407-0083248"/>
    <s v="83248"/>
    <x v="1"/>
    <n v="28"/>
    <x v="74"/>
    <x v="2"/>
    <x v="0"/>
    <x v="5"/>
    <s v="DA202"/>
    <x v="0"/>
    <n v="79999"/>
    <x v="155"/>
    <s v="Data analytics"/>
  </r>
  <r>
    <n v="507"/>
    <s v="403-9673536"/>
    <s v="96735"/>
    <x v="1"/>
    <n v="49"/>
    <x v="74"/>
    <x v="2"/>
    <x v="0"/>
    <x v="2"/>
    <s v="FSD103"/>
    <x v="3"/>
    <n v="109990"/>
    <x v="206"/>
    <s v="Full stack development"/>
  </r>
  <r>
    <n v="508"/>
    <s v="403-7226008"/>
    <s v="72260"/>
    <x v="0"/>
    <n v="30"/>
    <x v="74"/>
    <x v="2"/>
    <x v="0"/>
    <x v="4"/>
    <s v="DA202"/>
    <x v="0"/>
    <n v="79999"/>
    <x v="207"/>
    <s v="Data analytics"/>
  </r>
  <r>
    <n v="509"/>
    <s v="406-0502002"/>
    <s v="50200"/>
    <x v="0"/>
    <n v="26"/>
    <x v="74"/>
    <x v="2"/>
    <x v="0"/>
    <x v="1"/>
    <s v="DM101"/>
    <x v="2"/>
    <n v="85499"/>
    <x v="57"/>
    <s v="Digial marketing"/>
  </r>
  <r>
    <n v="510"/>
    <s v="404-3400583"/>
    <s v="34005"/>
    <x v="0"/>
    <n v="48"/>
    <x v="74"/>
    <x v="2"/>
    <x v="0"/>
    <x v="1"/>
    <s v="DM101"/>
    <x v="2"/>
    <n v="85499"/>
    <x v="3"/>
    <s v="Digial marketing"/>
  </r>
  <r>
    <n v="511"/>
    <s v="171-5676186"/>
    <s v="56761"/>
    <x v="0"/>
    <n v="25"/>
    <x v="75"/>
    <x v="2"/>
    <x v="0"/>
    <x v="2"/>
    <s v="DM101"/>
    <x v="2"/>
    <n v="85499"/>
    <x v="205"/>
    <s v="Digial marketing"/>
  </r>
  <r>
    <n v="512"/>
    <s v="405-6061275"/>
    <s v="60612"/>
    <x v="1"/>
    <n v="45"/>
    <x v="75"/>
    <x v="2"/>
    <x v="0"/>
    <x v="1"/>
    <s v="DM101"/>
    <x v="2"/>
    <n v="85499"/>
    <x v="29"/>
    <s v="Digial marketing"/>
  </r>
  <r>
    <n v="513"/>
    <s v="405-4723418"/>
    <s v="47234"/>
    <x v="0"/>
    <n v="50"/>
    <x v="75"/>
    <x v="2"/>
    <x v="0"/>
    <x v="0"/>
    <s v="BA301"/>
    <x v="1"/>
    <n v="59999"/>
    <x v="208"/>
    <s v="Business analytics"/>
  </r>
  <r>
    <n v="514"/>
    <s v="403-6837618"/>
    <s v="68376"/>
    <x v="0"/>
    <n v="28"/>
    <x v="75"/>
    <x v="2"/>
    <x v="0"/>
    <x v="5"/>
    <s v="DM101"/>
    <x v="2"/>
    <n v="85499"/>
    <x v="16"/>
    <s v="Digial marketing"/>
  </r>
  <r>
    <n v="515"/>
    <s v="171-0450652"/>
    <s v="45065"/>
    <x v="0"/>
    <n v="77"/>
    <x v="75"/>
    <x v="2"/>
    <x v="0"/>
    <x v="3"/>
    <s v="BA301"/>
    <x v="1"/>
    <n v="59999"/>
    <x v="9"/>
    <s v="Business analytics"/>
  </r>
  <r>
    <n v="516"/>
    <s v="408-8299284"/>
    <s v="82992"/>
    <x v="0"/>
    <n v="67"/>
    <x v="75"/>
    <x v="2"/>
    <x v="0"/>
    <x v="3"/>
    <s v="DM101"/>
    <x v="2"/>
    <n v="85499"/>
    <x v="209"/>
    <s v="Digial marketing"/>
  </r>
  <r>
    <n v="517"/>
    <s v="171-4685139"/>
    <s v="46851"/>
    <x v="0"/>
    <n v="47"/>
    <x v="75"/>
    <x v="2"/>
    <x v="0"/>
    <x v="1"/>
    <s v="DM101"/>
    <x v="2"/>
    <n v="85499"/>
    <x v="11"/>
    <s v="Digial marketing"/>
  </r>
  <r>
    <n v="518"/>
    <s v="405-3999893"/>
    <s v="39998"/>
    <x v="1"/>
    <n v="46"/>
    <x v="75"/>
    <x v="2"/>
    <x v="0"/>
    <x v="1"/>
    <s v="DM101"/>
    <x v="2"/>
    <n v="85499"/>
    <x v="15"/>
    <s v="Digial marketing"/>
  </r>
  <r>
    <n v="519"/>
    <s v="406-3501804"/>
    <s v="35018"/>
    <x v="0"/>
    <n v="47"/>
    <x v="76"/>
    <x v="2"/>
    <x v="0"/>
    <x v="2"/>
    <s v="DM101"/>
    <x v="2"/>
    <n v="85499"/>
    <x v="128"/>
    <s v="Digial marketing"/>
  </r>
  <r>
    <n v="520"/>
    <s v="171-5826292"/>
    <s v="58262"/>
    <x v="0"/>
    <n v="36"/>
    <x v="76"/>
    <x v="2"/>
    <x v="0"/>
    <x v="4"/>
    <s v="DA202"/>
    <x v="0"/>
    <n v="79999"/>
    <x v="94"/>
    <s v="Data analytics"/>
  </r>
  <r>
    <n v="521"/>
    <s v="404-2900346"/>
    <s v="29003"/>
    <x v="1"/>
    <n v="69"/>
    <x v="76"/>
    <x v="2"/>
    <x v="0"/>
    <x v="1"/>
    <s v="FSD103"/>
    <x v="3"/>
    <n v="109990"/>
    <x v="150"/>
    <s v="Full stack development"/>
  </r>
  <r>
    <n v="522"/>
    <s v="405-0796228"/>
    <s v="79622"/>
    <x v="0"/>
    <n v="21"/>
    <x v="76"/>
    <x v="2"/>
    <x v="0"/>
    <x v="1"/>
    <s v="DM101"/>
    <x v="2"/>
    <n v="85499"/>
    <x v="24"/>
    <s v="Digial marketing"/>
  </r>
  <r>
    <n v="523"/>
    <s v="408-9721284"/>
    <s v="97212"/>
    <x v="0"/>
    <n v="34"/>
    <x v="76"/>
    <x v="2"/>
    <x v="0"/>
    <x v="2"/>
    <s v="DM101"/>
    <x v="2"/>
    <n v="85499"/>
    <x v="11"/>
    <s v="Digial marketing"/>
  </r>
  <r>
    <n v="524"/>
    <s v="171-8100454"/>
    <s v="81004"/>
    <x v="0"/>
    <n v="38"/>
    <x v="76"/>
    <x v="2"/>
    <x v="0"/>
    <x v="0"/>
    <s v="DM101"/>
    <x v="2"/>
    <n v="85499"/>
    <x v="123"/>
    <s v="Digial marketing"/>
  </r>
  <r>
    <n v="525"/>
    <s v="402-9819217"/>
    <s v="98192"/>
    <x v="0"/>
    <n v="28"/>
    <x v="76"/>
    <x v="2"/>
    <x v="0"/>
    <x v="1"/>
    <s v="DA202"/>
    <x v="0"/>
    <n v="79999"/>
    <x v="210"/>
    <s v="Data analytics"/>
  </r>
  <r>
    <n v="526"/>
    <s v="171-0870107"/>
    <s v="87010"/>
    <x v="0"/>
    <n v="27"/>
    <x v="77"/>
    <x v="2"/>
    <x v="0"/>
    <x v="2"/>
    <s v="UX401"/>
    <x v="4"/>
    <n v="67990"/>
    <x v="211"/>
    <s v="UI/UX Design"/>
  </r>
  <r>
    <n v="527"/>
    <s v="403-4830389"/>
    <s v="48303"/>
    <x v="0"/>
    <n v="76"/>
    <x v="77"/>
    <x v="2"/>
    <x v="0"/>
    <x v="2"/>
    <s v="BA301"/>
    <x v="1"/>
    <n v="59999"/>
    <x v="212"/>
    <s v="Business analytics"/>
  </r>
  <r>
    <n v="528"/>
    <s v="402-6247615"/>
    <s v="62476"/>
    <x v="0"/>
    <n v="69"/>
    <x v="77"/>
    <x v="2"/>
    <x v="0"/>
    <x v="1"/>
    <s v="UX401"/>
    <x v="4"/>
    <n v="67990"/>
    <x v="17"/>
    <s v="UI/UX Design"/>
  </r>
  <r>
    <n v="529"/>
    <s v="402-4447218"/>
    <s v="44472"/>
    <x v="0"/>
    <n v="43"/>
    <x v="77"/>
    <x v="2"/>
    <x v="0"/>
    <x v="1"/>
    <s v="DA202"/>
    <x v="0"/>
    <n v="79999"/>
    <x v="9"/>
    <s v="Data analytics"/>
  </r>
  <r>
    <n v="530"/>
    <s v="406-6658643"/>
    <s v="66586"/>
    <x v="1"/>
    <n v="35"/>
    <x v="77"/>
    <x v="2"/>
    <x v="0"/>
    <x v="1"/>
    <s v="DA202"/>
    <x v="0"/>
    <n v="79999"/>
    <x v="15"/>
    <s v="Data analytics"/>
  </r>
  <r>
    <n v="531"/>
    <s v="408-6908529"/>
    <s v="69085"/>
    <x v="0"/>
    <n v="28"/>
    <x v="77"/>
    <x v="2"/>
    <x v="0"/>
    <x v="0"/>
    <s v="DA202"/>
    <x v="0"/>
    <n v="79999"/>
    <x v="41"/>
    <s v="Data analytics"/>
  </r>
  <r>
    <n v="532"/>
    <s v="408-1023253"/>
    <s v="10232"/>
    <x v="0"/>
    <n v="34"/>
    <x v="78"/>
    <x v="2"/>
    <x v="0"/>
    <x v="5"/>
    <s v="DA202"/>
    <x v="0"/>
    <n v="79999"/>
    <x v="213"/>
    <s v="Data analytics"/>
  </r>
  <r>
    <n v="533"/>
    <s v="171-5236829"/>
    <s v="52368"/>
    <x v="0"/>
    <n v="49"/>
    <x v="78"/>
    <x v="2"/>
    <x v="0"/>
    <x v="0"/>
    <s v="DA202"/>
    <x v="0"/>
    <n v="79999"/>
    <x v="3"/>
    <s v="Data analytics"/>
  </r>
  <r>
    <n v="534"/>
    <s v="403-5175060"/>
    <s v="51750"/>
    <x v="1"/>
    <n v="46"/>
    <x v="78"/>
    <x v="2"/>
    <x v="0"/>
    <x v="4"/>
    <s v="BA301"/>
    <x v="1"/>
    <n v="59999"/>
    <x v="86"/>
    <s v="Business analytics"/>
  </r>
  <r>
    <n v="535"/>
    <s v="171-3885094"/>
    <s v="38850"/>
    <x v="0"/>
    <n v="49"/>
    <x v="78"/>
    <x v="2"/>
    <x v="0"/>
    <x v="0"/>
    <s v="DM101"/>
    <x v="2"/>
    <n v="85499"/>
    <x v="102"/>
    <s v="Digial marketing"/>
  </r>
  <r>
    <n v="536"/>
    <s v="408-6352387"/>
    <s v="63523"/>
    <x v="1"/>
    <n v="61"/>
    <x v="78"/>
    <x v="2"/>
    <x v="0"/>
    <x v="1"/>
    <s v="DA202"/>
    <x v="0"/>
    <n v="79999"/>
    <x v="3"/>
    <s v="Data analytics"/>
  </r>
  <r>
    <n v="537"/>
    <s v="407-2422175"/>
    <s v="24221"/>
    <x v="0"/>
    <n v="46"/>
    <x v="78"/>
    <x v="2"/>
    <x v="0"/>
    <x v="1"/>
    <s v="FSD103"/>
    <x v="3"/>
    <n v="109990"/>
    <x v="41"/>
    <s v="Full stack development"/>
  </r>
  <r>
    <n v="538"/>
    <s v="402-2280396"/>
    <s v="22803"/>
    <x v="0"/>
    <n v="66"/>
    <x v="78"/>
    <x v="2"/>
    <x v="0"/>
    <x v="0"/>
    <s v="DM101"/>
    <x v="2"/>
    <n v="85499"/>
    <x v="16"/>
    <s v="Digial marketing"/>
  </r>
  <r>
    <n v="539"/>
    <s v="408-0259618"/>
    <s v="25961"/>
    <x v="0"/>
    <n v="51"/>
    <x v="79"/>
    <x v="2"/>
    <x v="0"/>
    <x v="1"/>
    <s v="DM101"/>
    <x v="2"/>
    <n v="85499"/>
    <x v="80"/>
    <s v="Digial marketing"/>
  </r>
  <r>
    <n v="540"/>
    <s v="407-7816060"/>
    <s v="78160"/>
    <x v="0"/>
    <n v="40"/>
    <x v="79"/>
    <x v="2"/>
    <x v="0"/>
    <x v="2"/>
    <s v="DA202"/>
    <x v="0"/>
    <n v="79999"/>
    <x v="15"/>
    <s v="Data analytics"/>
  </r>
  <r>
    <n v="541"/>
    <s v="402-4213534"/>
    <s v="42135"/>
    <x v="1"/>
    <n v="20"/>
    <x v="79"/>
    <x v="2"/>
    <x v="0"/>
    <x v="1"/>
    <s v="DM101"/>
    <x v="2"/>
    <n v="85499"/>
    <x v="214"/>
    <s v="Digial marketing"/>
  </r>
  <r>
    <n v="542"/>
    <s v="408-2008379"/>
    <s v="20083"/>
    <x v="0"/>
    <n v="41"/>
    <x v="79"/>
    <x v="2"/>
    <x v="0"/>
    <x v="1"/>
    <s v="DA202"/>
    <x v="0"/>
    <n v="79999"/>
    <x v="3"/>
    <s v="Data analytics"/>
  </r>
  <r>
    <n v="543"/>
    <s v="404-4179950"/>
    <s v="41799"/>
    <x v="0"/>
    <n v="26"/>
    <x v="79"/>
    <x v="2"/>
    <x v="1"/>
    <x v="0"/>
    <s v="DM101"/>
    <x v="2"/>
    <n v="85499"/>
    <x v="14"/>
    <s v="Digial marketing"/>
  </r>
  <r>
    <n v="544"/>
    <s v="403-4352411"/>
    <s v="43524"/>
    <x v="1"/>
    <n v="71"/>
    <x v="79"/>
    <x v="2"/>
    <x v="0"/>
    <x v="5"/>
    <s v="BA301"/>
    <x v="1"/>
    <n v="59999"/>
    <x v="86"/>
    <s v="Business analytics"/>
  </r>
  <r>
    <n v="545"/>
    <s v="405-8150725"/>
    <s v="81507"/>
    <x v="0"/>
    <n v="42"/>
    <x v="79"/>
    <x v="2"/>
    <x v="0"/>
    <x v="0"/>
    <s v="DA202"/>
    <x v="0"/>
    <n v="79999"/>
    <x v="29"/>
    <s v="Data analytics"/>
  </r>
  <r>
    <n v="546"/>
    <s v="402-1271568"/>
    <s v="12715"/>
    <x v="0"/>
    <n v="29"/>
    <x v="80"/>
    <x v="2"/>
    <x v="0"/>
    <x v="1"/>
    <s v="UX401"/>
    <x v="4"/>
    <n v="67990"/>
    <x v="215"/>
    <s v="UI/UX Design"/>
  </r>
  <r>
    <n v="547"/>
    <s v="404-1554862"/>
    <s v="15548"/>
    <x v="1"/>
    <n v="48"/>
    <x v="80"/>
    <x v="2"/>
    <x v="0"/>
    <x v="5"/>
    <s v="DA202"/>
    <x v="0"/>
    <n v="79999"/>
    <x v="216"/>
    <s v="Data analytics"/>
  </r>
  <r>
    <n v="548"/>
    <s v="171-7981625"/>
    <s v="79816"/>
    <x v="0"/>
    <n v="46"/>
    <x v="80"/>
    <x v="2"/>
    <x v="0"/>
    <x v="5"/>
    <s v="DA202"/>
    <x v="0"/>
    <n v="79999"/>
    <x v="9"/>
    <s v="Data analytics"/>
  </r>
  <r>
    <n v="549"/>
    <s v="403-4083806"/>
    <s v="40838"/>
    <x v="1"/>
    <n v="31"/>
    <x v="80"/>
    <x v="2"/>
    <x v="0"/>
    <x v="0"/>
    <s v="DA202"/>
    <x v="0"/>
    <n v="79999"/>
    <x v="217"/>
    <s v="Data analytics"/>
  </r>
  <r>
    <n v="550"/>
    <s v="403-2911639"/>
    <s v="29116"/>
    <x v="0"/>
    <n v="43"/>
    <x v="80"/>
    <x v="2"/>
    <x v="0"/>
    <x v="1"/>
    <s v="DM101"/>
    <x v="2"/>
    <n v="85499"/>
    <x v="39"/>
    <s v="Digial marketing"/>
  </r>
  <r>
    <n v="551"/>
    <s v="408-6958100"/>
    <s v="69581"/>
    <x v="0"/>
    <n v="18"/>
    <x v="80"/>
    <x v="2"/>
    <x v="0"/>
    <x v="0"/>
    <s v="DM101"/>
    <x v="2"/>
    <n v="85499"/>
    <x v="94"/>
    <s v="Digial marketing"/>
  </r>
  <r>
    <n v="552"/>
    <s v="402-3425231"/>
    <s v="34252"/>
    <x v="0"/>
    <n v="35"/>
    <x v="80"/>
    <x v="2"/>
    <x v="0"/>
    <x v="2"/>
    <s v="DM101"/>
    <x v="2"/>
    <n v="85499"/>
    <x v="218"/>
    <s v="Digial marketing"/>
  </r>
  <r>
    <n v="553"/>
    <s v="406-8998454"/>
    <s v="89984"/>
    <x v="0"/>
    <n v="34"/>
    <x v="81"/>
    <x v="2"/>
    <x v="0"/>
    <x v="0"/>
    <s v="DA202"/>
    <x v="0"/>
    <n v="79999"/>
    <x v="219"/>
    <s v="Data analytics"/>
  </r>
  <r>
    <n v="554"/>
    <s v="406-5950918"/>
    <s v="59509"/>
    <x v="1"/>
    <n v="36"/>
    <x v="81"/>
    <x v="2"/>
    <x v="0"/>
    <x v="1"/>
    <s v="DM101"/>
    <x v="2"/>
    <n v="85499"/>
    <x v="220"/>
    <s v="Digial marketing"/>
  </r>
  <r>
    <n v="555"/>
    <s v="403-2334145"/>
    <s v="23341"/>
    <x v="0"/>
    <n v="58"/>
    <x v="81"/>
    <x v="2"/>
    <x v="0"/>
    <x v="2"/>
    <s v="DA202"/>
    <x v="0"/>
    <n v="79999"/>
    <x v="221"/>
    <s v="Data analytics"/>
  </r>
  <r>
    <n v="556"/>
    <s v="405-5545794"/>
    <s v="55457"/>
    <x v="0"/>
    <n v="75"/>
    <x v="82"/>
    <x v="2"/>
    <x v="0"/>
    <x v="3"/>
    <s v="DA202"/>
    <x v="0"/>
    <n v="79999"/>
    <x v="128"/>
    <s v="Data analytics"/>
  </r>
  <r>
    <n v="557"/>
    <s v="171-1478316"/>
    <s v="14783"/>
    <x v="0"/>
    <n v="22"/>
    <x v="82"/>
    <x v="2"/>
    <x v="0"/>
    <x v="1"/>
    <s v="DM101"/>
    <x v="2"/>
    <n v="85499"/>
    <x v="29"/>
    <s v="Digial marketing"/>
  </r>
  <r>
    <n v="558"/>
    <s v="404-1292643"/>
    <s v="12926"/>
    <x v="0"/>
    <n v="37"/>
    <x v="82"/>
    <x v="2"/>
    <x v="0"/>
    <x v="1"/>
    <s v="DA202"/>
    <x v="0"/>
    <n v="79999"/>
    <x v="222"/>
    <s v="Data analytics"/>
  </r>
  <r>
    <n v="559"/>
    <s v="171-4675409"/>
    <s v="46754"/>
    <x v="0"/>
    <n v="55"/>
    <x v="82"/>
    <x v="2"/>
    <x v="0"/>
    <x v="2"/>
    <s v="DM101"/>
    <x v="2"/>
    <n v="85499"/>
    <x v="9"/>
    <s v="Digial marketing"/>
  </r>
  <r>
    <n v="560"/>
    <s v="405-0296098"/>
    <s v="29609"/>
    <x v="0"/>
    <n v="70"/>
    <x v="82"/>
    <x v="2"/>
    <x v="2"/>
    <x v="0"/>
    <s v="BA301"/>
    <x v="1"/>
    <n v="59999"/>
    <x v="3"/>
    <s v="Business analytics"/>
  </r>
  <r>
    <n v="561"/>
    <s v="407-1281199"/>
    <s v="12811"/>
    <x v="0"/>
    <n v="24"/>
    <x v="82"/>
    <x v="2"/>
    <x v="0"/>
    <x v="0"/>
    <s v="DM101"/>
    <x v="2"/>
    <n v="85499"/>
    <x v="17"/>
    <s v="Digial marketing"/>
  </r>
  <r>
    <n v="562"/>
    <s v="171-9860629"/>
    <s v="98606"/>
    <x v="0"/>
    <n v="54"/>
    <x v="83"/>
    <x v="2"/>
    <x v="0"/>
    <x v="0"/>
    <s v="DM101"/>
    <x v="2"/>
    <n v="85499"/>
    <x v="223"/>
    <s v="Digial marketing"/>
  </r>
  <r>
    <n v="563"/>
    <s v="171-6901952"/>
    <s v="69019"/>
    <x v="0"/>
    <n v="78"/>
    <x v="83"/>
    <x v="2"/>
    <x v="0"/>
    <x v="1"/>
    <s v="DA202"/>
    <x v="0"/>
    <n v="79999"/>
    <x v="224"/>
    <s v="Data analytics"/>
  </r>
  <r>
    <n v="564"/>
    <s v="407-4971466"/>
    <s v="49714"/>
    <x v="0"/>
    <n v="77"/>
    <x v="83"/>
    <x v="2"/>
    <x v="0"/>
    <x v="2"/>
    <s v="DM101"/>
    <x v="2"/>
    <n v="85499"/>
    <x v="3"/>
    <s v="Digial marketing"/>
  </r>
  <r>
    <n v="565"/>
    <s v="405-8029379"/>
    <s v="80293"/>
    <x v="0"/>
    <n v="51"/>
    <x v="83"/>
    <x v="2"/>
    <x v="0"/>
    <x v="0"/>
    <s v="DM101"/>
    <x v="2"/>
    <n v="85499"/>
    <x v="225"/>
    <s v="Digial marketing"/>
  </r>
  <r>
    <n v="566"/>
    <s v="407-7584216"/>
    <s v="75842"/>
    <x v="0"/>
    <n v="73"/>
    <x v="83"/>
    <x v="2"/>
    <x v="0"/>
    <x v="2"/>
    <s v="DM101"/>
    <x v="2"/>
    <n v="85499"/>
    <x v="3"/>
    <s v="Digial marketing"/>
  </r>
  <r>
    <n v="567"/>
    <s v="408-3633126"/>
    <s v="36331"/>
    <x v="0"/>
    <n v="23"/>
    <x v="83"/>
    <x v="2"/>
    <x v="1"/>
    <x v="2"/>
    <s v="DA202"/>
    <x v="0"/>
    <n v="79999"/>
    <x v="9"/>
    <s v="Data analytics"/>
  </r>
  <r>
    <n v="568"/>
    <s v="406-7108075"/>
    <s v="71080"/>
    <x v="1"/>
    <n v="30"/>
    <x v="84"/>
    <x v="2"/>
    <x v="0"/>
    <x v="3"/>
    <s v="UX401"/>
    <x v="4"/>
    <n v="67990"/>
    <x v="15"/>
    <s v="UI/UX Design"/>
  </r>
  <r>
    <n v="569"/>
    <s v="403-9330396"/>
    <s v="93303"/>
    <x v="0"/>
    <n v="63"/>
    <x v="84"/>
    <x v="2"/>
    <x v="0"/>
    <x v="2"/>
    <s v="BA301"/>
    <x v="1"/>
    <n v="59999"/>
    <x v="226"/>
    <s v="Business analytics"/>
  </r>
  <r>
    <n v="570"/>
    <s v="408-7663447"/>
    <s v="76634"/>
    <x v="0"/>
    <n v="33"/>
    <x v="84"/>
    <x v="2"/>
    <x v="0"/>
    <x v="2"/>
    <s v="DA202"/>
    <x v="0"/>
    <n v="79999"/>
    <x v="51"/>
    <s v="Data analytics"/>
  </r>
  <r>
    <n v="571"/>
    <s v="406-2643593"/>
    <s v="26435"/>
    <x v="1"/>
    <n v="45"/>
    <x v="84"/>
    <x v="2"/>
    <x v="0"/>
    <x v="2"/>
    <s v="BA301"/>
    <x v="1"/>
    <n v="59999"/>
    <x v="227"/>
    <s v="Business analytics"/>
  </r>
  <r>
    <n v="572"/>
    <s v="403-3532449"/>
    <s v="35324"/>
    <x v="0"/>
    <n v="36"/>
    <x v="84"/>
    <x v="2"/>
    <x v="0"/>
    <x v="1"/>
    <s v="DA202"/>
    <x v="0"/>
    <n v="79999"/>
    <x v="223"/>
    <s v="Data analytics"/>
  </r>
  <r>
    <n v="573"/>
    <s v="403-3061540"/>
    <s v="30615"/>
    <x v="1"/>
    <n v="39"/>
    <x v="84"/>
    <x v="2"/>
    <x v="0"/>
    <x v="1"/>
    <s v="BA301"/>
    <x v="1"/>
    <n v="59999"/>
    <x v="228"/>
    <s v="Business analytics"/>
  </r>
  <r>
    <n v="574"/>
    <s v="406-7723022"/>
    <s v="77230"/>
    <x v="1"/>
    <n v="30"/>
    <x v="84"/>
    <x v="2"/>
    <x v="0"/>
    <x v="1"/>
    <s v="DA202"/>
    <x v="0"/>
    <n v="79999"/>
    <x v="56"/>
    <s v="Data analytics"/>
  </r>
  <r>
    <n v="575"/>
    <s v="407-9519017"/>
    <s v="95190"/>
    <x v="0"/>
    <n v="52"/>
    <x v="84"/>
    <x v="2"/>
    <x v="0"/>
    <x v="1"/>
    <s v="DA202"/>
    <x v="0"/>
    <n v="79999"/>
    <x v="29"/>
    <s v="Data analytics"/>
  </r>
  <r>
    <n v="576"/>
    <s v="402-8363899"/>
    <s v="83638"/>
    <x v="0"/>
    <n v="49"/>
    <x v="84"/>
    <x v="2"/>
    <x v="0"/>
    <x v="1"/>
    <s v="DM101"/>
    <x v="2"/>
    <n v="85499"/>
    <x v="15"/>
    <s v="Digial marketing"/>
  </r>
  <r>
    <n v="577"/>
    <s v="407-6515286"/>
    <s v="65152"/>
    <x v="0"/>
    <n v="23"/>
    <x v="84"/>
    <x v="2"/>
    <x v="0"/>
    <x v="0"/>
    <s v="DM101"/>
    <x v="2"/>
    <n v="85499"/>
    <x v="3"/>
    <s v="Digial marketing"/>
  </r>
  <r>
    <n v="578"/>
    <s v="402-4462244"/>
    <s v="44622"/>
    <x v="0"/>
    <n v="72"/>
    <x v="84"/>
    <x v="2"/>
    <x v="0"/>
    <x v="5"/>
    <s v="BA301"/>
    <x v="1"/>
    <n v="59999"/>
    <x v="49"/>
    <s v="Business analytics"/>
  </r>
  <r>
    <n v="579"/>
    <s v="403-0762444"/>
    <s v="76244"/>
    <x v="1"/>
    <n v="35"/>
    <x v="85"/>
    <x v="2"/>
    <x v="0"/>
    <x v="1"/>
    <s v="DM101"/>
    <x v="2"/>
    <n v="85499"/>
    <x v="86"/>
    <s v="Digial marketing"/>
  </r>
  <r>
    <n v="580"/>
    <s v="408-9832980"/>
    <s v="98329"/>
    <x v="1"/>
    <n v="77"/>
    <x v="85"/>
    <x v="2"/>
    <x v="0"/>
    <x v="6"/>
    <s v="DM101"/>
    <x v="2"/>
    <n v="85499"/>
    <x v="136"/>
    <s v="Digial marketing"/>
  </r>
  <r>
    <n v="581"/>
    <s v="171-6857176"/>
    <s v="68571"/>
    <x v="1"/>
    <n v="22"/>
    <x v="85"/>
    <x v="2"/>
    <x v="0"/>
    <x v="5"/>
    <s v="DM101"/>
    <x v="2"/>
    <n v="85499"/>
    <x v="3"/>
    <s v="Digial marketing"/>
  </r>
  <r>
    <n v="582"/>
    <s v="407-7205117"/>
    <s v="72051"/>
    <x v="0"/>
    <n v="26"/>
    <x v="85"/>
    <x v="2"/>
    <x v="2"/>
    <x v="1"/>
    <s v="DA202"/>
    <x v="0"/>
    <n v="79999"/>
    <x v="167"/>
    <s v="Data analytics"/>
  </r>
  <r>
    <n v="583"/>
    <s v="405-6152834"/>
    <s v="61528"/>
    <x v="0"/>
    <n v="45"/>
    <x v="85"/>
    <x v="2"/>
    <x v="0"/>
    <x v="1"/>
    <s v="BA301"/>
    <x v="1"/>
    <n v="59999"/>
    <x v="229"/>
    <s v="Business analytics"/>
  </r>
  <r>
    <n v="584"/>
    <s v="406-4033518"/>
    <s v="40335"/>
    <x v="0"/>
    <n v="31"/>
    <x v="85"/>
    <x v="2"/>
    <x v="0"/>
    <x v="1"/>
    <s v="DM101"/>
    <x v="2"/>
    <n v="85499"/>
    <x v="49"/>
    <s v="Digial marketing"/>
  </r>
  <r>
    <n v="585"/>
    <s v="407-4766783"/>
    <s v="47667"/>
    <x v="0"/>
    <n v="21"/>
    <x v="85"/>
    <x v="2"/>
    <x v="0"/>
    <x v="1"/>
    <s v="DM101"/>
    <x v="2"/>
    <n v="85499"/>
    <x v="106"/>
    <s v="Digial marketing"/>
  </r>
  <r>
    <n v="586"/>
    <s v="405-7751481"/>
    <s v="77514"/>
    <x v="0"/>
    <n v="24"/>
    <x v="85"/>
    <x v="2"/>
    <x v="0"/>
    <x v="6"/>
    <s v="DM101"/>
    <x v="2"/>
    <n v="85499"/>
    <x v="9"/>
    <s v="Digial marketing"/>
  </r>
  <r>
    <n v="587"/>
    <s v="402-6932218"/>
    <s v="69322"/>
    <x v="0"/>
    <n v="41"/>
    <x v="85"/>
    <x v="2"/>
    <x v="0"/>
    <x v="0"/>
    <s v="HR201"/>
    <x v="6"/>
    <n v="41999"/>
    <x v="84"/>
    <s v="HR Analytics"/>
  </r>
  <r>
    <n v="588"/>
    <s v="403-7805034"/>
    <s v="78050"/>
    <x v="0"/>
    <n v="29"/>
    <x v="85"/>
    <x v="2"/>
    <x v="0"/>
    <x v="5"/>
    <s v="DM101"/>
    <x v="2"/>
    <n v="85499"/>
    <x v="94"/>
    <s v="Digial marketing"/>
  </r>
  <r>
    <n v="589"/>
    <s v="408-1934734"/>
    <s v="19347"/>
    <x v="0"/>
    <n v="71"/>
    <x v="86"/>
    <x v="2"/>
    <x v="0"/>
    <x v="6"/>
    <s v="DA202"/>
    <x v="0"/>
    <n v="79999"/>
    <x v="3"/>
    <s v="Data analytics"/>
  </r>
  <r>
    <n v="590"/>
    <s v="402-5461217"/>
    <s v="54612"/>
    <x v="0"/>
    <n v="21"/>
    <x v="86"/>
    <x v="2"/>
    <x v="1"/>
    <x v="1"/>
    <s v="BA301"/>
    <x v="1"/>
    <n v="59999"/>
    <x v="24"/>
    <s v="Business analytics"/>
  </r>
  <r>
    <n v="591"/>
    <s v="405-4166182"/>
    <s v="41661"/>
    <x v="1"/>
    <n v="27"/>
    <x v="86"/>
    <x v="2"/>
    <x v="0"/>
    <x v="2"/>
    <s v="DA202"/>
    <x v="0"/>
    <n v="79999"/>
    <x v="9"/>
    <s v="Data analytics"/>
  </r>
  <r>
    <n v="592"/>
    <s v="408-0508319"/>
    <s v="50831"/>
    <x v="1"/>
    <n v="43"/>
    <x v="86"/>
    <x v="2"/>
    <x v="0"/>
    <x v="2"/>
    <s v="FSD103"/>
    <x v="3"/>
    <n v="109990"/>
    <x v="100"/>
    <s v="Full stack development"/>
  </r>
  <r>
    <n v="593"/>
    <s v="402-3024374"/>
    <s v="30243"/>
    <x v="0"/>
    <n v="43"/>
    <x v="86"/>
    <x v="2"/>
    <x v="0"/>
    <x v="1"/>
    <s v="DM101"/>
    <x v="2"/>
    <n v="85499"/>
    <x v="16"/>
    <s v="Digial marketing"/>
  </r>
  <r>
    <n v="594"/>
    <s v="403-5350681"/>
    <s v="53506"/>
    <x v="0"/>
    <n v="37"/>
    <x v="86"/>
    <x v="2"/>
    <x v="2"/>
    <x v="2"/>
    <s v="BA301"/>
    <x v="1"/>
    <n v="59999"/>
    <x v="92"/>
    <s v="Business analytics"/>
  </r>
  <r>
    <n v="595"/>
    <s v="407-7034195"/>
    <s v="70341"/>
    <x v="0"/>
    <n v="37"/>
    <x v="86"/>
    <x v="2"/>
    <x v="0"/>
    <x v="2"/>
    <s v="FSD103"/>
    <x v="3"/>
    <n v="109990"/>
    <x v="29"/>
    <s v="Full stack development"/>
  </r>
  <r>
    <n v="596"/>
    <s v="404-5326241"/>
    <s v="53262"/>
    <x v="1"/>
    <n v="27"/>
    <x v="86"/>
    <x v="2"/>
    <x v="0"/>
    <x v="1"/>
    <s v="DM101"/>
    <x v="2"/>
    <n v="85499"/>
    <x v="15"/>
    <s v="Digial marketing"/>
  </r>
  <r>
    <n v="597"/>
    <s v="404-7602761"/>
    <s v="76027"/>
    <x v="0"/>
    <n v="37"/>
    <x v="87"/>
    <x v="2"/>
    <x v="0"/>
    <x v="0"/>
    <s v="DA202"/>
    <x v="0"/>
    <n v="79999"/>
    <x v="105"/>
    <s v="Data analytics"/>
  </r>
  <r>
    <n v="598"/>
    <s v="404-9865663"/>
    <s v="98656"/>
    <x v="0"/>
    <n v="36"/>
    <x v="87"/>
    <x v="2"/>
    <x v="0"/>
    <x v="0"/>
    <s v="FSD103"/>
    <x v="3"/>
    <n v="109990"/>
    <x v="218"/>
    <s v="Full stack development"/>
  </r>
  <r>
    <n v="599"/>
    <s v="407-5889501"/>
    <s v="58895"/>
    <x v="1"/>
    <n v="30"/>
    <x v="87"/>
    <x v="2"/>
    <x v="0"/>
    <x v="0"/>
    <s v="BA301"/>
    <x v="1"/>
    <n v="59999"/>
    <x v="24"/>
    <s v="Business analytics"/>
  </r>
  <r>
    <n v="600"/>
    <s v="402-8579817"/>
    <s v="85798"/>
    <x v="0"/>
    <n v="35"/>
    <x v="87"/>
    <x v="2"/>
    <x v="1"/>
    <x v="0"/>
    <s v="DM101"/>
    <x v="2"/>
    <n v="85499"/>
    <x v="16"/>
    <s v="Digial marketing"/>
  </r>
  <r>
    <n v="601"/>
    <s v="407-8087429"/>
    <s v="80874"/>
    <x v="0"/>
    <n v="53"/>
    <x v="87"/>
    <x v="2"/>
    <x v="0"/>
    <x v="2"/>
    <s v="FSD103"/>
    <x v="3"/>
    <n v="109990"/>
    <x v="181"/>
    <s v="Full stack development"/>
  </r>
  <r>
    <n v="602"/>
    <s v="405-8083324"/>
    <s v="80833"/>
    <x v="0"/>
    <n v="52"/>
    <x v="87"/>
    <x v="2"/>
    <x v="0"/>
    <x v="2"/>
    <s v="DM101"/>
    <x v="2"/>
    <n v="85499"/>
    <x v="230"/>
    <s v="Digial marketing"/>
  </r>
  <r>
    <n v="603"/>
    <s v="403-3172535"/>
    <s v="31725"/>
    <x v="0"/>
    <n v="49"/>
    <x v="87"/>
    <x v="2"/>
    <x v="0"/>
    <x v="6"/>
    <s v="DM101"/>
    <x v="2"/>
    <n v="85499"/>
    <x v="15"/>
    <s v="Digial marketing"/>
  </r>
  <r>
    <n v="604"/>
    <s v="407-9303072"/>
    <s v="93030"/>
    <x v="1"/>
    <n v="41"/>
    <x v="87"/>
    <x v="2"/>
    <x v="2"/>
    <x v="0"/>
    <s v="DA202"/>
    <x v="0"/>
    <n v="79999"/>
    <x v="3"/>
    <s v="Data analytics"/>
  </r>
  <r>
    <n v="605"/>
    <s v="407-4365611"/>
    <s v="43656"/>
    <x v="0"/>
    <n v="47"/>
    <x v="87"/>
    <x v="2"/>
    <x v="2"/>
    <x v="0"/>
    <s v="DA202"/>
    <x v="0"/>
    <n v="79999"/>
    <x v="16"/>
    <s v="Data analytics"/>
  </r>
  <r>
    <n v="606"/>
    <s v="406-0394104"/>
    <s v="39410"/>
    <x v="1"/>
    <n v="31"/>
    <x v="87"/>
    <x v="2"/>
    <x v="0"/>
    <x v="2"/>
    <s v="DM101"/>
    <x v="2"/>
    <n v="85499"/>
    <x v="17"/>
    <s v="Digial marketing"/>
  </r>
  <r>
    <n v="607"/>
    <s v="405-6417824"/>
    <s v="64178"/>
    <x v="0"/>
    <n v="45"/>
    <x v="88"/>
    <x v="2"/>
    <x v="0"/>
    <x v="2"/>
    <s v="DA202"/>
    <x v="0"/>
    <n v="79999"/>
    <x v="17"/>
    <s v="Data analytics"/>
  </r>
  <r>
    <n v="608"/>
    <s v="407-5521974"/>
    <s v="55219"/>
    <x v="0"/>
    <n v="22"/>
    <x v="88"/>
    <x v="2"/>
    <x v="0"/>
    <x v="1"/>
    <s v="DM101"/>
    <x v="2"/>
    <n v="85499"/>
    <x v="167"/>
    <s v="Digial marketing"/>
  </r>
  <r>
    <n v="609"/>
    <s v="408-0034930"/>
    <s v="34930"/>
    <x v="0"/>
    <n v="38"/>
    <x v="88"/>
    <x v="2"/>
    <x v="0"/>
    <x v="2"/>
    <s v="DA202"/>
    <x v="0"/>
    <n v="79999"/>
    <x v="15"/>
    <s v="Data analytics"/>
  </r>
  <r>
    <n v="610"/>
    <s v="402-6454993"/>
    <s v="64549"/>
    <x v="0"/>
    <n v="35"/>
    <x v="88"/>
    <x v="2"/>
    <x v="1"/>
    <x v="1"/>
    <s v="DM101"/>
    <x v="2"/>
    <n v="85499"/>
    <x v="231"/>
    <s v="Digial marketing"/>
  </r>
  <r>
    <n v="611"/>
    <s v="404-5126332"/>
    <s v="51263"/>
    <x v="0"/>
    <n v="38"/>
    <x v="88"/>
    <x v="2"/>
    <x v="0"/>
    <x v="2"/>
    <s v="UX401"/>
    <x v="4"/>
    <n v="67990"/>
    <x v="232"/>
    <s v="UI/UX Design"/>
  </r>
  <r>
    <n v="612"/>
    <s v="171-0937371"/>
    <s v="93737"/>
    <x v="0"/>
    <n v="46"/>
    <x v="88"/>
    <x v="2"/>
    <x v="0"/>
    <x v="0"/>
    <s v="DA202"/>
    <x v="0"/>
    <n v="79999"/>
    <x v="3"/>
    <s v="Data analytics"/>
  </r>
  <r>
    <n v="613"/>
    <s v="405-4650316"/>
    <s v="46503"/>
    <x v="0"/>
    <n v="62"/>
    <x v="88"/>
    <x v="2"/>
    <x v="0"/>
    <x v="0"/>
    <s v="DM101"/>
    <x v="2"/>
    <n v="85499"/>
    <x v="233"/>
    <s v="Digial marketing"/>
  </r>
  <r>
    <n v="614"/>
    <s v="404-4512098"/>
    <s v="45120"/>
    <x v="1"/>
    <n v="24"/>
    <x v="88"/>
    <x v="2"/>
    <x v="0"/>
    <x v="0"/>
    <s v="DM101"/>
    <x v="2"/>
    <n v="85499"/>
    <x v="29"/>
    <s v="Digial marketing"/>
  </r>
  <r>
    <n v="615"/>
    <s v="404-4818370"/>
    <s v="48183"/>
    <x v="0"/>
    <n v="47"/>
    <x v="88"/>
    <x v="2"/>
    <x v="0"/>
    <x v="1"/>
    <s v="DA202"/>
    <x v="0"/>
    <n v="79999"/>
    <x v="118"/>
    <s v="Data analytics"/>
  </r>
  <r>
    <n v="616"/>
    <s v="405-3712257"/>
    <s v="37122"/>
    <x v="0"/>
    <n v="62"/>
    <x v="88"/>
    <x v="2"/>
    <x v="0"/>
    <x v="4"/>
    <s v="BA301"/>
    <x v="1"/>
    <n v="59999"/>
    <x v="5"/>
    <s v="Business analytics"/>
  </r>
  <r>
    <n v="617"/>
    <s v="405-9242606"/>
    <s v="92426"/>
    <x v="1"/>
    <n v="46"/>
    <x v="88"/>
    <x v="2"/>
    <x v="1"/>
    <x v="0"/>
    <s v="DA202"/>
    <x v="0"/>
    <n v="79999"/>
    <x v="234"/>
    <s v="Data analytics"/>
  </r>
  <r>
    <n v="618"/>
    <s v="406-7528695"/>
    <s v="75286"/>
    <x v="0"/>
    <n v="72"/>
    <x v="88"/>
    <x v="2"/>
    <x v="0"/>
    <x v="1"/>
    <s v="DM101"/>
    <x v="2"/>
    <n v="85499"/>
    <x v="29"/>
    <s v="Digial marketing"/>
  </r>
  <r>
    <n v="619"/>
    <s v="408-3874340"/>
    <s v="38743"/>
    <x v="1"/>
    <n v="68"/>
    <x v="89"/>
    <x v="2"/>
    <x v="0"/>
    <x v="1"/>
    <s v="DM101"/>
    <x v="2"/>
    <n v="85499"/>
    <x v="29"/>
    <s v="Digial marketing"/>
  </r>
  <r>
    <n v="620"/>
    <s v="407-0501602"/>
    <s v="50160"/>
    <x v="1"/>
    <n v="39"/>
    <x v="89"/>
    <x v="2"/>
    <x v="0"/>
    <x v="0"/>
    <s v="DA202"/>
    <x v="0"/>
    <n v="79999"/>
    <x v="35"/>
    <s v="Data analytics"/>
  </r>
  <r>
    <n v="621"/>
    <s v="405-2754660"/>
    <s v="27546"/>
    <x v="0"/>
    <n v="40"/>
    <x v="89"/>
    <x v="2"/>
    <x v="0"/>
    <x v="6"/>
    <s v="DM101"/>
    <x v="2"/>
    <n v="85499"/>
    <x v="9"/>
    <s v="Digial marketing"/>
  </r>
  <r>
    <n v="622"/>
    <s v="408-8557276"/>
    <s v="85572"/>
    <x v="1"/>
    <n v="28"/>
    <x v="89"/>
    <x v="2"/>
    <x v="0"/>
    <x v="1"/>
    <s v="DM101"/>
    <x v="2"/>
    <n v="85499"/>
    <x v="235"/>
    <s v="Digial marketing"/>
  </r>
  <r>
    <n v="623"/>
    <s v="404-6833642"/>
    <s v="68336"/>
    <x v="0"/>
    <n v="26"/>
    <x v="89"/>
    <x v="2"/>
    <x v="0"/>
    <x v="1"/>
    <s v="DM101"/>
    <x v="2"/>
    <n v="85499"/>
    <x v="188"/>
    <s v="Digial marketing"/>
  </r>
  <r>
    <n v="624"/>
    <s v="405-0146041"/>
    <s v="14604"/>
    <x v="0"/>
    <n v="40"/>
    <x v="89"/>
    <x v="2"/>
    <x v="0"/>
    <x v="0"/>
    <s v="FSD103"/>
    <x v="3"/>
    <n v="109990"/>
    <x v="236"/>
    <s v="Full stack development"/>
  </r>
  <r>
    <n v="625"/>
    <s v="171-2044117"/>
    <s v="20441"/>
    <x v="0"/>
    <n v="46"/>
    <x v="89"/>
    <x v="2"/>
    <x v="0"/>
    <x v="1"/>
    <s v="DA202"/>
    <x v="0"/>
    <n v="79999"/>
    <x v="100"/>
    <s v="Data analytics"/>
  </r>
  <r>
    <n v="626"/>
    <s v="407-2818011"/>
    <s v="28180"/>
    <x v="0"/>
    <n v="18"/>
    <x v="89"/>
    <x v="2"/>
    <x v="0"/>
    <x v="1"/>
    <s v="FSD103"/>
    <x v="3"/>
    <n v="109990"/>
    <x v="237"/>
    <s v="Full stack development"/>
  </r>
  <r>
    <n v="627"/>
    <s v="404-3721061"/>
    <s v="37210"/>
    <x v="1"/>
    <n v="59"/>
    <x v="89"/>
    <x v="2"/>
    <x v="0"/>
    <x v="1"/>
    <s v="BA301"/>
    <x v="1"/>
    <n v="59999"/>
    <x v="238"/>
    <s v="Business analytics"/>
  </r>
  <r>
    <n v="628"/>
    <s v="405-0597888"/>
    <s v="59788"/>
    <x v="0"/>
    <n v="49"/>
    <x v="89"/>
    <x v="2"/>
    <x v="0"/>
    <x v="6"/>
    <s v="FSD103"/>
    <x v="3"/>
    <n v="109990"/>
    <x v="239"/>
    <s v="Full stack development"/>
  </r>
  <r>
    <n v="629"/>
    <s v="406-3177867"/>
    <s v="31778"/>
    <x v="1"/>
    <n v="67"/>
    <x v="89"/>
    <x v="2"/>
    <x v="0"/>
    <x v="2"/>
    <s v="DA202"/>
    <x v="0"/>
    <n v="79999"/>
    <x v="28"/>
    <s v="Data analytics"/>
  </r>
  <r>
    <n v="630"/>
    <s v="405-9669353"/>
    <s v="96693"/>
    <x v="1"/>
    <n v="51"/>
    <x v="90"/>
    <x v="2"/>
    <x v="0"/>
    <x v="1"/>
    <s v="DA202"/>
    <x v="0"/>
    <n v="79999"/>
    <x v="240"/>
    <s v="Data analytics"/>
  </r>
  <r>
    <n v="631"/>
    <s v="408-3101894"/>
    <s v="31018"/>
    <x v="0"/>
    <n v="40"/>
    <x v="90"/>
    <x v="2"/>
    <x v="0"/>
    <x v="4"/>
    <s v="FSD103"/>
    <x v="3"/>
    <n v="109990"/>
    <x v="29"/>
    <s v="Full stack development"/>
  </r>
  <r>
    <n v="632"/>
    <s v="402-5768714"/>
    <s v="57687"/>
    <x v="0"/>
    <n v="25"/>
    <x v="90"/>
    <x v="2"/>
    <x v="0"/>
    <x v="1"/>
    <s v="DM101"/>
    <x v="2"/>
    <n v="85499"/>
    <x v="241"/>
    <s v="Digial marketing"/>
  </r>
  <r>
    <n v="633"/>
    <s v="406-2541011"/>
    <s v="25410"/>
    <x v="0"/>
    <n v="43"/>
    <x v="90"/>
    <x v="2"/>
    <x v="0"/>
    <x v="1"/>
    <s v="DM101"/>
    <x v="2"/>
    <n v="85499"/>
    <x v="24"/>
    <s v="Digial marketing"/>
  </r>
  <r>
    <n v="634"/>
    <s v="408-9681232"/>
    <s v="96812"/>
    <x v="0"/>
    <n v="45"/>
    <x v="90"/>
    <x v="2"/>
    <x v="0"/>
    <x v="5"/>
    <s v="DA202"/>
    <x v="0"/>
    <n v="79999"/>
    <x v="242"/>
    <s v="Data analytics"/>
  </r>
  <r>
    <n v="635"/>
    <s v="171-6547053"/>
    <s v="65470"/>
    <x v="0"/>
    <n v="44"/>
    <x v="90"/>
    <x v="2"/>
    <x v="2"/>
    <x v="1"/>
    <s v="DM101"/>
    <x v="2"/>
    <n v="85499"/>
    <x v="11"/>
    <s v="Digial marketing"/>
  </r>
  <r>
    <n v="636"/>
    <s v="406-4516846"/>
    <s v="45168"/>
    <x v="0"/>
    <n v="59"/>
    <x v="90"/>
    <x v="2"/>
    <x v="0"/>
    <x v="1"/>
    <s v="FSD103"/>
    <x v="3"/>
    <n v="109990"/>
    <x v="29"/>
    <s v="Full stack development"/>
  </r>
  <r>
    <n v="637"/>
    <s v="171-2651296"/>
    <s v="26512"/>
    <x v="0"/>
    <n v="25"/>
    <x v="90"/>
    <x v="2"/>
    <x v="0"/>
    <x v="4"/>
    <s v="FSD103"/>
    <x v="3"/>
    <n v="109990"/>
    <x v="15"/>
    <s v="Full stack development"/>
  </r>
  <r>
    <n v="638"/>
    <s v="402-4191802"/>
    <s v="41918"/>
    <x v="0"/>
    <n v="51"/>
    <x v="91"/>
    <x v="3"/>
    <x v="0"/>
    <x v="0"/>
    <s v="BA301"/>
    <x v="1"/>
    <n v="59999"/>
    <x v="15"/>
    <s v="Business analytics"/>
  </r>
  <r>
    <n v="639"/>
    <s v="407-9039742"/>
    <s v="90397"/>
    <x v="0"/>
    <n v="59"/>
    <x v="91"/>
    <x v="3"/>
    <x v="0"/>
    <x v="2"/>
    <s v="BA301"/>
    <x v="1"/>
    <n v="59999"/>
    <x v="141"/>
    <s v="Business analytics"/>
  </r>
  <r>
    <n v="640"/>
    <s v="405-6847315"/>
    <s v="68473"/>
    <x v="0"/>
    <n v="36"/>
    <x v="91"/>
    <x v="3"/>
    <x v="0"/>
    <x v="1"/>
    <s v="DA202"/>
    <x v="0"/>
    <n v="79999"/>
    <x v="0"/>
    <s v="Data analytics"/>
  </r>
  <r>
    <n v="641"/>
    <s v="402-0428176"/>
    <s v="42817"/>
    <x v="1"/>
    <n v="27"/>
    <x v="91"/>
    <x v="3"/>
    <x v="0"/>
    <x v="1"/>
    <s v="DM101"/>
    <x v="2"/>
    <n v="85499"/>
    <x v="3"/>
    <s v="Digial marketing"/>
  </r>
  <r>
    <n v="642"/>
    <s v="408-6025042"/>
    <s v="60250"/>
    <x v="0"/>
    <n v="32"/>
    <x v="91"/>
    <x v="3"/>
    <x v="0"/>
    <x v="0"/>
    <s v="DM101"/>
    <x v="2"/>
    <n v="85499"/>
    <x v="9"/>
    <s v="Digial marketing"/>
  </r>
  <r>
    <n v="643"/>
    <s v="171-8468924"/>
    <s v="84689"/>
    <x v="1"/>
    <n v="46"/>
    <x v="91"/>
    <x v="3"/>
    <x v="0"/>
    <x v="1"/>
    <s v="DA202"/>
    <x v="0"/>
    <n v="79999"/>
    <x v="243"/>
    <s v="Data analytics"/>
  </r>
  <r>
    <n v="644"/>
    <s v="405-0975544"/>
    <s v="97554"/>
    <x v="1"/>
    <n v="55"/>
    <x v="91"/>
    <x v="3"/>
    <x v="2"/>
    <x v="0"/>
    <s v="DA202"/>
    <x v="0"/>
    <n v="79999"/>
    <x v="62"/>
    <s v="Data analytics"/>
  </r>
  <r>
    <n v="645"/>
    <s v="403-2921633"/>
    <s v="29216"/>
    <x v="0"/>
    <n v="22"/>
    <x v="91"/>
    <x v="3"/>
    <x v="0"/>
    <x v="2"/>
    <s v="CC002"/>
    <x v="7"/>
    <n v="99990"/>
    <x v="244"/>
    <s v="Cloud Computing"/>
  </r>
  <r>
    <n v="646"/>
    <s v="408-7291624"/>
    <s v="72916"/>
    <x v="0"/>
    <n v="40"/>
    <x v="92"/>
    <x v="3"/>
    <x v="0"/>
    <x v="1"/>
    <s v="FSD103"/>
    <x v="3"/>
    <n v="109990"/>
    <x v="9"/>
    <s v="Full stack development"/>
  </r>
  <r>
    <n v="647"/>
    <s v="405-7208649"/>
    <s v="72086"/>
    <x v="0"/>
    <n v="28"/>
    <x v="92"/>
    <x v="3"/>
    <x v="2"/>
    <x v="0"/>
    <s v="FSD103"/>
    <x v="3"/>
    <n v="109990"/>
    <x v="24"/>
    <s v="Full stack development"/>
  </r>
  <r>
    <n v="648"/>
    <s v="403-6749920"/>
    <s v="67499"/>
    <x v="0"/>
    <n v="78"/>
    <x v="92"/>
    <x v="3"/>
    <x v="0"/>
    <x v="1"/>
    <s v="DA202"/>
    <x v="0"/>
    <n v="79999"/>
    <x v="245"/>
    <s v="Data analytics"/>
  </r>
  <r>
    <n v="649"/>
    <s v="403-9795558"/>
    <s v="97955"/>
    <x v="0"/>
    <n v="37"/>
    <x v="92"/>
    <x v="3"/>
    <x v="0"/>
    <x v="0"/>
    <s v="DA202"/>
    <x v="0"/>
    <n v="79999"/>
    <x v="100"/>
    <s v="Data analytics"/>
  </r>
  <r>
    <n v="650"/>
    <s v="404-8549475"/>
    <s v="85494"/>
    <x v="0"/>
    <n v="21"/>
    <x v="93"/>
    <x v="3"/>
    <x v="0"/>
    <x v="5"/>
    <s v="BA301"/>
    <x v="1"/>
    <n v="59999"/>
    <x v="1"/>
    <s v="Business analytics"/>
  </r>
  <r>
    <n v="651"/>
    <s v="403-0125119"/>
    <s v="12511"/>
    <x v="1"/>
    <n v="38"/>
    <x v="93"/>
    <x v="3"/>
    <x v="0"/>
    <x v="2"/>
    <s v="DM101"/>
    <x v="2"/>
    <n v="85499"/>
    <x v="246"/>
    <s v="Digial marketing"/>
  </r>
  <r>
    <n v="652"/>
    <s v="403-9013888"/>
    <s v="90138"/>
    <x v="0"/>
    <n v="30"/>
    <x v="93"/>
    <x v="3"/>
    <x v="0"/>
    <x v="2"/>
    <s v="BA301"/>
    <x v="1"/>
    <n v="59999"/>
    <x v="29"/>
    <s v="Business analytics"/>
  </r>
  <r>
    <n v="653"/>
    <s v="171-1035452"/>
    <s v="10354"/>
    <x v="1"/>
    <n v="44"/>
    <x v="93"/>
    <x v="3"/>
    <x v="0"/>
    <x v="1"/>
    <s v="DM101"/>
    <x v="2"/>
    <n v="85499"/>
    <x v="247"/>
    <s v="Digial marketing"/>
  </r>
  <r>
    <n v="654"/>
    <s v="405-8956207"/>
    <s v="89562"/>
    <x v="0"/>
    <n v="43"/>
    <x v="93"/>
    <x v="3"/>
    <x v="0"/>
    <x v="1"/>
    <s v="DM101"/>
    <x v="2"/>
    <n v="85499"/>
    <x v="248"/>
    <s v="Digial marketing"/>
  </r>
  <r>
    <n v="655"/>
    <s v="406-2547373"/>
    <s v="25473"/>
    <x v="0"/>
    <n v="20"/>
    <x v="93"/>
    <x v="3"/>
    <x v="0"/>
    <x v="5"/>
    <s v="DM101"/>
    <x v="2"/>
    <n v="85499"/>
    <x v="14"/>
    <s v="Digial marketing"/>
  </r>
  <r>
    <n v="656"/>
    <s v="403-3810669"/>
    <s v="38106"/>
    <x v="1"/>
    <n v="72"/>
    <x v="94"/>
    <x v="3"/>
    <x v="0"/>
    <x v="0"/>
    <s v="DM101"/>
    <x v="2"/>
    <n v="85499"/>
    <x v="5"/>
    <s v="Digial marketing"/>
  </r>
  <r>
    <n v="657"/>
    <s v="402-5232622"/>
    <s v="52326"/>
    <x v="0"/>
    <n v="24"/>
    <x v="94"/>
    <x v="3"/>
    <x v="0"/>
    <x v="1"/>
    <s v="DA202"/>
    <x v="0"/>
    <n v="79999"/>
    <x v="249"/>
    <s v="Data analytics"/>
  </r>
  <r>
    <n v="658"/>
    <s v="405-0332121"/>
    <s v="33212"/>
    <x v="1"/>
    <n v="20"/>
    <x v="94"/>
    <x v="3"/>
    <x v="0"/>
    <x v="1"/>
    <s v="DA202"/>
    <x v="0"/>
    <n v="79999"/>
    <x v="108"/>
    <s v="Data analytics"/>
  </r>
  <r>
    <n v="659"/>
    <s v="402-4474004"/>
    <s v="44740"/>
    <x v="1"/>
    <n v="70"/>
    <x v="94"/>
    <x v="3"/>
    <x v="0"/>
    <x v="0"/>
    <s v="DA202"/>
    <x v="0"/>
    <n v="79999"/>
    <x v="15"/>
    <s v="Data analytics"/>
  </r>
  <r>
    <n v="660"/>
    <s v="171-7606398"/>
    <s v="76063"/>
    <x v="1"/>
    <n v="26"/>
    <x v="94"/>
    <x v="3"/>
    <x v="0"/>
    <x v="2"/>
    <s v="DM101"/>
    <x v="2"/>
    <n v="85499"/>
    <x v="3"/>
    <s v="Digial marketing"/>
  </r>
  <r>
    <n v="661"/>
    <s v="405-8942298"/>
    <s v="89422"/>
    <x v="0"/>
    <n v="24"/>
    <x v="94"/>
    <x v="3"/>
    <x v="0"/>
    <x v="1"/>
    <s v="DM101"/>
    <x v="2"/>
    <n v="85499"/>
    <x v="250"/>
    <s v="Digial marketing"/>
  </r>
  <r>
    <n v="662"/>
    <s v="405-6130966"/>
    <s v="61309"/>
    <x v="0"/>
    <n v="18"/>
    <x v="94"/>
    <x v="3"/>
    <x v="2"/>
    <x v="0"/>
    <s v="AI001"/>
    <x v="5"/>
    <n v="119990"/>
    <x v="251"/>
    <s v="AI &amp; ML"/>
  </r>
  <r>
    <n v="663"/>
    <s v="402-9913480"/>
    <s v="99134"/>
    <x v="0"/>
    <n v="49"/>
    <x v="94"/>
    <x v="3"/>
    <x v="0"/>
    <x v="1"/>
    <s v="DA202"/>
    <x v="0"/>
    <n v="79999"/>
    <x v="80"/>
    <s v="Data analytics"/>
  </r>
  <r>
    <n v="664"/>
    <s v="406-9961255"/>
    <s v="99612"/>
    <x v="0"/>
    <n v="29"/>
    <x v="95"/>
    <x v="3"/>
    <x v="0"/>
    <x v="1"/>
    <s v="DM101"/>
    <x v="2"/>
    <n v="85499"/>
    <x v="80"/>
    <s v="Digial marketing"/>
  </r>
  <r>
    <n v="665"/>
    <s v="171-7531919"/>
    <s v="75319"/>
    <x v="0"/>
    <n v="61"/>
    <x v="95"/>
    <x v="3"/>
    <x v="0"/>
    <x v="0"/>
    <s v="DA202"/>
    <x v="0"/>
    <n v="79999"/>
    <x v="242"/>
    <s v="Data analytics"/>
  </r>
  <r>
    <n v="666"/>
    <s v="405-3120385"/>
    <s v="31203"/>
    <x v="0"/>
    <n v="31"/>
    <x v="95"/>
    <x v="3"/>
    <x v="1"/>
    <x v="1"/>
    <s v="DM101"/>
    <x v="2"/>
    <n v="85499"/>
    <x v="24"/>
    <s v="Digial marketing"/>
  </r>
  <r>
    <n v="667"/>
    <s v="171-5014919"/>
    <s v="50149"/>
    <x v="0"/>
    <n v="21"/>
    <x v="95"/>
    <x v="3"/>
    <x v="0"/>
    <x v="3"/>
    <s v="DM101"/>
    <x v="2"/>
    <n v="85499"/>
    <x v="146"/>
    <s v="Digial marketing"/>
  </r>
  <r>
    <n v="668"/>
    <s v="402-1933954"/>
    <s v="19339"/>
    <x v="0"/>
    <n v="32"/>
    <x v="95"/>
    <x v="3"/>
    <x v="0"/>
    <x v="5"/>
    <s v="DA202"/>
    <x v="0"/>
    <n v="79999"/>
    <x v="102"/>
    <s v="Data analytics"/>
  </r>
  <r>
    <n v="669"/>
    <s v="408-4993743"/>
    <s v="49937"/>
    <x v="0"/>
    <n v="48"/>
    <x v="95"/>
    <x v="3"/>
    <x v="0"/>
    <x v="0"/>
    <s v="DM101"/>
    <x v="2"/>
    <n v="85499"/>
    <x v="56"/>
    <s v="Digial marketing"/>
  </r>
  <r>
    <n v="670"/>
    <s v="408-9539545"/>
    <s v="95395"/>
    <x v="0"/>
    <n v="21"/>
    <x v="95"/>
    <x v="3"/>
    <x v="0"/>
    <x v="1"/>
    <s v="BA301"/>
    <x v="1"/>
    <n v="59999"/>
    <x v="252"/>
    <s v="Business analytics"/>
  </r>
  <r>
    <n v="671"/>
    <s v="402-8751370"/>
    <s v="87513"/>
    <x v="0"/>
    <n v="34"/>
    <x v="96"/>
    <x v="3"/>
    <x v="0"/>
    <x v="2"/>
    <s v="DM101"/>
    <x v="2"/>
    <n v="85499"/>
    <x v="21"/>
    <s v="Digial marketing"/>
  </r>
  <r>
    <n v="672"/>
    <s v="404-5818181"/>
    <s v="58181"/>
    <x v="0"/>
    <n v="46"/>
    <x v="96"/>
    <x v="3"/>
    <x v="0"/>
    <x v="1"/>
    <s v="DA202"/>
    <x v="0"/>
    <n v="79999"/>
    <x v="32"/>
    <s v="Data analytics"/>
  </r>
  <r>
    <n v="673"/>
    <s v="406-1853700"/>
    <s v="18537"/>
    <x v="0"/>
    <n v="40"/>
    <x v="97"/>
    <x v="3"/>
    <x v="0"/>
    <x v="4"/>
    <s v="DA202"/>
    <x v="0"/>
    <n v="79999"/>
    <x v="9"/>
    <s v="Data analytics"/>
  </r>
  <r>
    <n v="674"/>
    <s v="405-4422803"/>
    <s v="44228"/>
    <x v="0"/>
    <n v="44"/>
    <x v="97"/>
    <x v="3"/>
    <x v="0"/>
    <x v="1"/>
    <s v="DM101"/>
    <x v="2"/>
    <n v="85499"/>
    <x v="253"/>
    <s v="Digial marketing"/>
  </r>
  <r>
    <n v="675"/>
    <s v="405-6135605"/>
    <s v="61356"/>
    <x v="0"/>
    <n v="69"/>
    <x v="97"/>
    <x v="3"/>
    <x v="0"/>
    <x v="2"/>
    <s v="UX401"/>
    <x v="4"/>
    <n v="67990"/>
    <x v="3"/>
    <s v="UI/UX Design"/>
  </r>
  <r>
    <n v="676"/>
    <s v="403-4650451"/>
    <s v="46504"/>
    <x v="0"/>
    <n v="20"/>
    <x v="97"/>
    <x v="3"/>
    <x v="0"/>
    <x v="1"/>
    <s v="DM101"/>
    <x v="2"/>
    <n v="85499"/>
    <x v="3"/>
    <s v="Digial marketing"/>
  </r>
  <r>
    <n v="677"/>
    <s v="403-0302644"/>
    <s v="30264"/>
    <x v="1"/>
    <n v="39"/>
    <x v="97"/>
    <x v="3"/>
    <x v="0"/>
    <x v="1"/>
    <s v="BA301"/>
    <x v="1"/>
    <n v="59999"/>
    <x v="16"/>
    <s v="Business analytics"/>
  </r>
  <r>
    <n v="678"/>
    <s v="406-1581803"/>
    <s v="15818"/>
    <x v="0"/>
    <n v="28"/>
    <x v="97"/>
    <x v="3"/>
    <x v="0"/>
    <x v="1"/>
    <s v="DA202"/>
    <x v="0"/>
    <n v="79999"/>
    <x v="92"/>
    <s v="Data analytics"/>
  </r>
  <r>
    <n v="679"/>
    <s v="171-9708787"/>
    <s v="97087"/>
    <x v="1"/>
    <n v="25"/>
    <x v="97"/>
    <x v="3"/>
    <x v="0"/>
    <x v="0"/>
    <s v="DM101"/>
    <x v="2"/>
    <n v="85499"/>
    <x v="22"/>
    <s v="Digial marketing"/>
  </r>
  <r>
    <n v="680"/>
    <s v="402-3323779"/>
    <s v="33237"/>
    <x v="0"/>
    <n v="33"/>
    <x v="97"/>
    <x v="3"/>
    <x v="0"/>
    <x v="2"/>
    <s v="DM101"/>
    <x v="2"/>
    <n v="85499"/>
    <x v="9"/>
    <s v="Digial marketing"/>
  </r>
  <r>
    <n v="681"/>
    <s v="405-8503973"/>
    <s v="85039"/>
    <x v="0"/>
    <n v="22"/>
    <x v="97"/>
    <x v="3"/>
    <x v="0"/>
    <x v="1"/>
    <s v="DM101"/>
    <x v="2"/>
    <n v="85499"/>
    <x v="254"/>
    <s v="Digial marketing"/>
  </r>
  <r>
    <n v="682"/>
    <s v="402-3434817"/>
    <s v="34348"/>
    <x v="1"/>
    <n v="47"/>
    <x v="97"/>
    <x v="3"/>
    <x v="0"/>
    <x v="0"/>
    <s v="DA202"/>
    <x v="0"/>
    <n v="79999"/>
    <x v="255"/>
    <s v="Data analytics"/>
  </r>
  <r>
    <n v="683"/>
    <s v="402-6480590"/>
    <s v="64805"/>
    <x v="0"/>
    <n v="29"/>
    <x v="97"/>
    <x v="3"/>
    <x v="0"/>
    <x v="1"/>
    <s v="DM101"/>
    <x v="2"/>
    <n v="85499"/>
    <x v="15"/>
    <s v="Digial marketing"/>
  </r>
  <r>
    <n v="684"/>
    <s v="407-3515095"/>
    <s v="35150"/>
    <x v="1"/>
    <n v="31"/>
    <x v="97"/>
    <x v="3"/>
    <x v="0"/>
    <x v="2"/>
    <s v="DA202"/>
    <x v="0"/>
    <n v="79999"/>
    <x v="3"/>
    <s v="Data analytics"/>
  </r>
  <r>
    <n v="685"/>
    <s v="403-0217739"/>
    <s v="21773"/>
    <x v="0"/>
    <n v="31"/>
    <x v="98"/>
    <x v="3"/>
    <x v="0"/>
    <x v="6"/>
    <s v="DA202"/>
    <x v="0"/>
    <n v="79999"/>
    <x v="256"/>
    <s v="Data analytics"/>
  </r>
  <r>
    <n v="686"/>
    <s v="406-9150087"/>
    <s v="91500"/>
    <x v="0"/>
    <n v="29"/>
    <x v="98"/>
    <x v="3"/>
    <x v="0"/>
    <x v="2"/>
    <s v="DM101"/>
    <x v="2"/>
    <n v="85499"/>
    <x v="158"/>
    <s v="Digial marketing"/>
  </r>
  <r>
    <n v="687"/>
    <s v="406-2588525"/>
    <s v="25885"/>
    <x v="0"/>
    <n v="33"/>
    <x v="98"/>
    <x v="3"/>
    <x v="0"/>
    <x v="0"/>
    <s v="DM101"/>
    <x v="2"/>
    <n v="85499"/>
    <x v="3"/>
    <s v="Digial marketing"/>
  </r>
  <r>
    <n v="688"/>
    <s v="171-8136921"/>
    <s v="81369"/>
    <x v="1"/>
    <n v="61"/>
    <x v="98"/>
    <x v="3"/>
    <x v="0"/>
    <x v="1"/>
    <s v="DA202"/>
    <x v="0"/>
    <n v="79999"/>
    <x v="257"/>
    <s v="Data analytics"/>
  </r>
  <r>
    <n v="689"/>
    <s v="408-2830017"/>
    <s v="28300"/>
    <x v="0"/>
    <n v="20"/>
    <x v="98"/>
    <x v="3"/>
    <x v="0"/>
    <x v="0"/>
    <s v="DA202"/>
    <x v="0"/>
    <n v="79999"/>
    <x v="16"/>
    <s v="Data analytics"/>
  </r>
  <r>
    <n v="690"/>
    <s v="403-8151820"/>
    <s v="81518"/>
    <x v="1"/>
    <n v="26"/>
    <x v="98"/>
    <x v="3"/>
    <x v="0"/>
    <x v="0"/>
    <s v="DM101"/>
    <x v="2"/>
    <n v="85499"/>
    <x v="106"/>
    <s v="Digial marketing"/>
  </r>
  <r>
    <n v="691"/>
    <s v="402-4767975"/>
    <s v="47679"/>
    <x v="0"/>
    <n v="43"/>
    <x v="98"/>
    <x v="3"/>
    <x v="0"/>
    <x v="1"/>
    <s v="DM101"/>
    <x v="2"/>
    <n v="85499"/>
    <x v="258"/>
    <s v="Digial marketing"/>
  </r>
  <r>
    <n v="692"/>
    <s v="405-0089099"/>
    <s v="89099"/>
    <x v="1"/>
    <n v="68"/>
    <x v="99"/>
    <x v="3"/>
    <x v="0"/>
    <x v="2"/>
    <s v="DM101"/>
    <x v="2"/>
    <n v="85499"/>
    <x v="9"/>
    <s v="Digial marketing"/>
  </r>
  <r>
    <n v="693"/>
    <s v="407-3670630"/>
    <s v="36706"/>
    <x v="0"/>
    <n v="48"/>
    <x v="99"/>
    <x v="3"/>
    <x v="0"/>
    <x v="2"/>
    <s v="DA202"/>
    <x v="0"/>
    <n v="79999"/>
    <x v="259"/>
    <s v="Data analytics"/>
  </r>
  <r>
    <n v="694"/>
    <s v="405-0007003"/>
    <s v="7003"/>
    <x v="0"/>
    <n v="33"/>
    <x v="99"/>
    <x v="3"/>
    <x v="0"/>
    <x v="0"/>
    <s v="DA202"/>
    <x v="0"/>
    <n v="79999"/>
    <x v="183"/>
    <s v="Data analytics"/>
  </r>
  <r>
    <n v="695"/>
    <s v="171-2220271"/>
    <s v="22202"/>
    <x v="1"/>
    <n v="41"/>
    <x v="99"/>
    <x v="3"/>
    <x v="1"/>
    <x v="1"/>
    <s v="DM101"/>
    <x v="2"/>
    <n v="85499"/>
    <x v="260"/>
    <s v="Digial marketing"/>
  </r>
  <r>
    <n v="696"/>
    <s v="408-7259584"/>
    <s v="72595"/>
    <x v="0"/>
    <n v="48"/>
    <x v="99"/>
    <x v="3"/>
    <x v="0"/>
    <x v="2"/>
    <s v="DA202"/>
    <x v="0"/>
    <n v="79999"/>
    <x v="261"/>
    <s v="Data analytics"/>
  </r>
  <r>
    <n v="697"/>
    <s v="403-3388289"/>
    <s v="33882"/>
    <x v="0"/>
    <n v="45"/>
    <x v="99"/>
    <x v="3"/>
    <x v="0"/>
    <x v="5"/>
    <s v="DM101"/>
    <x v="2"/>
    <n v="85499"/>
    <x v="262"/>
    <s v="Digial marketing"/>
  </r>
  <r>
    <n v="698"/>
    <s v="402-7358373"/>
    <s v="73583"/>
    <x v="1"/>
    <n v="23"/>
    <x v="99"/>
    <x v="3"/>
    <x v="0"/>
    <x v="1"/>
    <s v="DM101"/>
    <x v="2"/>
    <n v="85499"/>
    <x v="263"/>
    <s v="Digial marketing"/>
  </r>
  <r>
    <n v="699"/>
    <s v="407-6750779"/>
    <s v="67507"/>
    <x v="0"/>
    <n v="33"/>
    <x v="100"/>
    <x v="3"/>
    <x v="0"/>
    <x v="1"/>
    <s v="DM101"/>
    <x v="2"/>
    <n v="85499"/>
    <x v="264"/>
    <s v="Digial marketing"/>
  </r>
  <r>
    <n v="700"/>
    <s v="407-6475510"/>
    <s v="64755"/>
    <x v="0"/>
    <n v="19"/>
    <x v="100"/>
    <x v="3"/>
    <x v="0"/>
    <x v="2"/>
    <s v="BA301"/>
    <x v="1"/>
    <n v="59999"/>
    <x v="208"/>
    <s v="Business analytics"/>
  </r>
  <r>
    <n v="701"/>
    <s v="405-3424885"/>
    <s v="34248"/>
    <x v="0"/>
    <n v="29"/>
    <x v="100"/>
    <x v="3"/>
    <x v="2"/>
    <x v="2"/>
    <s v="DA202"/>
    <x v="0"/>
    <n v="79999"/>
    <x v="265"/>
    <s v="Data analytics"/>
  </r>
  <r>
    <n v="702"/>
    <s v="403-1582863"/>
    <s v="15828"/>
    <x v="0"/>
    <n v="21"/>
    <x v="100"/>
    <x v="3"/>
    <x v="0"/>
    <x v="5"/>
    <s v="DA202"/>
    <x v="0"/>
    <n v="79999"/>
    <x v="266"/>
    <s v="Data analytics"/>
  </r>
  <r>
    <n v="703"/>
    <s v="408-7011371"/>
    <s v="70113"/>
    <x v="0"/>
    <n v="42"/>
    <x v="100"/>
    <x v="3"/>
    <x v="0"/>
    <x v="0"/>
    <s v="BA301"/>
    <x v="1"/>
    <n v="59999"/>
    <x v="106"/>
    <s v="Business analytics"/>
  </r>
  <r>
    <n v="704"/>
    <s v="171-6892351"/>
    <s v="68923"/>
    <x v="0"/>
    <n v="26"/>
    <x v="100"/>
    <x v="3"/>
    <x v="0"/>
    <x v="6"/>
    <s v="DM101"/>
    <x v="2"/>
    <n v="85499"/>
    <x v="5"/>
    <s v="Digial marketing"/>
  </r>
  <r>
    <n v="705"/>
    <s v="404-7703659"/>
    <s v="77036"/>
    <x v="1"/>
    <n v="33"/>
    <x v="100"/>
    <x v="3"/>
    <x v="0"/>
    <x v="2"/>
    <s v="DA202"/>
    <x v="0"/>
    <n v="79999"/>
    <x v="0"/>
    <s v="Data analytics"/>
  </r>
  <r>
    <n v="706"/>
    <s v="408-1483801"/>
    <s v="14838"/>
    <x v="1"/>
    <n v="48"/>
    <x v="101"/>
    <x v="3"/>
    <x v="0"/>
    <x v="2"/>
    <s v="FSD103"/>
    <x v="3"/>
    <n v="109990"/>
    <x v="18"/>
    <s v="Full stack development"/>
  </r>
  <r>
    <n v="707"/>
    <s v="403-8998188"/>
    <s v="89981"/>
    <x v="0"/>
    <n v="31"/>
    <x v="101"/>
    <x v="3"/>
    <x v="0"/>
    <x v="0"/>
    <s v="FSD103"/>
    <x v="3"/>
    <n v="109990"/>
    <x v="94"/>
    <s v="Full stack development"/>
  </r>
  <r>
    <n v="708"/>
    <s v="171-6668938"/>
    <s v="66689"/>
    <x v="0"/>
    <n v="63"/>
    <x v="101"/>
    <x v="3"/>
    <x v="0"/>
    <x v="6"/>
    <s v="DA202"/>
    <x v="0"/>
    <n v="79999"/>
    <x v="267"/>
    <s v="Data analytics"/>
  </r>
  <r>
    <n v="709"/>
    <s v="171-5271547"/>
    <s v="52715"/>
    <x v="0"/>
    <n v="35"/>
    <x v="101"/>
    <x v="3"/>
    <x v="0"/>
    <x v="0"/>
    <s v="DA202"/>
    <x v="0"/>
    <n v="79999"/>
    <x v="268"/>
    <s v="Data analytics"/>
  </r>
  <r>
    <n v="710"/>
    <s v="406-1608114"/>
    <s v="16081"/>
    <x v="0"/>
    <n v="24"/>
    <x v="101"/>
    <x v="3"/>
    <x v="0"/>
    <x v="2"/>
    <s v="DA202"/>
    <x v="0"/>
    <n v="79999"/>
    <x v="269"/>
    <s v="Data analytics"/>
  </r>
  <r>
    <n v="711"/>
    <s v="405-4895663"/>
    <s v="48956"/>
    <x v="0"/>
    <n v="35"/>
    <x v="101"/>
    <x v="3"/>
    <x v="0"/>
    <x v="0"/>
    <s v="DM101"/>
    <x v="2"/>
    <n v="85499"/>
    <x v="24"/>
    <s v="Digial marketing"/>
  </r>
  <r>
    <n v="712"/>
    <s v="408-5006561"/>
    <s v="50065"/>
    <x v="0"/>
    <n v="34"/>
    <x v="102"/>
    <x v="3"/>
    <x v="0"/>
    <x v="6"/>
    <s v="DM101"/>
    <x v="2"/>
    <n v="85499"/>
    <x v="270"/>
    <s v="Digial marketing"/>
  </r>
  <r>
    <n v="713"/>
    <s v="407-9943797"/>
    <s v="99437"/>
    <x v="0"/>
    <n v="29"/>
    <x v="102"/>
    <x v="3"/>
    <x v="0"/>
    <x v="0"/>
    <s v="DM101"/>
    <x v="2"/>
    <n v="85499"/>
    <x v="56"/>
    <s v="Digial marketing"/>
  </r>
  <r>
    <n v="714"/>
    <s v="171-1910764"/>
    <s v="19107"/>
    <x v="1"/>
    <n v="71"/>
    <x v="102"/>
    <x v="3"/>
    <x v="0"/>
    <x v="1"/>
    <s v="DM101"/>
    <x v="2"/>
    <n v="85499"/>
    <x v="24"/>
    <s v="Digial marketing"/>
  </r>
  <r>
    <n v="715"/>
    <s v="408-2834317"/>
    <s v="28343"/>
    <x v="0"/>
    <n v="44"/>
    <x v="102"/>
    <x v="3"/>
    <x v="0"/>
    <x v="2"/>
    <s v="DM101"/>
    <x v="2"/>
    <n v="85499"/>
    <x v="271"/>
    <s v="Digial marketing"/>
  </r>
  <r>
    <n v="716"/>
    <s v="404-6024790"/>
    <s v="60247"/>
    <x v="1"/>
    <n v="57"/>
    <x v="102"/>
    <x v="3"/>
    <x v="0"/>
    <x v="0"/>
    <s v="DM101"/>
    <x v="2"/>
    <n v="85499"/>
    <x v="7"/>
    <s v="Digial marketing"/>
  </r>
  <r>
    <n v="717"/>
    <s v="171-9006108"/>
    <s v="90061"/>
    <x v="1"/>
    <n v="45"/>
    <x v="103"/>
    <x v="3"/>
    <x v="0"/>
    <x v="0"/>
    <s v="DM101"/>
    <x v="2"/>
    <n v="85499"/>
    <x v="15"/>
    <s v="Digial marketing"/>
  </r>
  <r>
    <n v="718"/>
    <s v="402-5496685"/>
    <s v="54966"/>
    <x v="1"/>
    <n v="23"/>
    <x v="104"/>
    <x v="3"/>
    <x v="0"/>
    <x v="2"/>
    <s v="BA301"/>
    <x v="1"/>
    <n v="59999"/>
    <x v="75"/>
    <s v="Business analytics"/>
  </r>
  <r>
    <n v="719"/>
    <s v="171-8136313"/>
    <s v="81363"/>
    <x v="0"/>
    <n v="42"/>
    <x v="104"/>
    <x v="3"/>
    <x v="0"/>
    <x v="2"/>
    <s v="DA202"/>
    <x v="0"/>
    <n v="79999"/>
    <x v="128"/>
    <s v="Data analytics"/>
  </r>
  <r>
    <n v="720"/>
    <s v="405-5811844"/>
    <s v="58118"/>
    <x v="0"/>
    <n v="39"/>
    <x v="104"/>
    <x v="3"/>
    <x v="0"/>
    <x v="5"/>
    <s v="DM101"/>
    <x v="2"/>
    <n v="85499"/>
    <x v="272"/>
    <s v="Digial marketing"/>
  </r>
  <r>
    <n v="721"/>
    <s v="402-7348658"/>
    <s v="73486"/>
    <x v="0"/>
    <n v="25"/>
    <x v="104"/>
    <x v="3"/>
    <x v="0"/>
    <x v="2"/>
    <s v="DM101"/>
    <x v="2"/>
    <n v="85499"/>
    <x v="3"/>
    <s v="Digial marketing"/>
  </r>
  <r>
    <n v="722"/>
    <s v="407-9514768"/>
    <s v="95147"/>
    <x v="1"/>
    <n v="42"/>
    <x v="104"/>
    <x v="3"/>
    <x v="0"/>
    <x v="4"/>
    <s v="DM101"/>
    <x v="2"/>
    <n v="85499"/>
    <x v="273"/>
    <s v="Digial marketing"/>
  </r>
  <r>
    <n v="723"/>
    <s v="171-5110320"/>
    <s v="51103"/>
    <x v="0"/>
    <n v="22"/>
    <x v="104"/>
    <x v="3"/>
    <x v="0"/>
    <x v="2"/>
    <s v="DM101"/>
    <x v="2"/>
    <n v="85499"/>
    <x v="274"/>
    <s v="Digial marketing"/>
  </r>
  <r>
    <n v="724"/>
    <s v="408-0327271"/>
    <s v="32727"/>
    <x v="1"/>
    <n v="39"/>
    <x v="104"/>
    <x v="3"/>
    <x v="0"/>
    <x v="1"/>
    <s v="DA202"/>
    <x v="0"/>
    <n v="79999"/>
    <x v="275"/>
    <s v="Data analytics"/>
  </r>
  <r>
    <n v="725"/>
    <s v="408-0290999"/>
    <s v="29099"/>
    <x v="1"/>
    <n v="41"/>
    <x v="105"/>
    <x v="3"/>
    <x v="0"/>
    <x v="2"/>
    <s v="DA202"/>
    <x v="0"/>
    <n v="79999"/>
    <x v="276"/>
    <s v="Data analytics"/>
  </r>
  <r>
    <n v="726"/>
    <s v="403-4538838"/>
    <s v="45388"/>
    <x v="0"/>
    <n v="20"/>
    <x v="105"/>
    <x v="3"/>
    <x v="0"/>
    <x v="2"/>
    <s v="UX401"/>
    <x v="4"/>
    <n v="67990"/>
    <x v="92"/>
    <s v="UI/UX Design"/>
  </r>
  <r>
    <n v="727"/>
    <s v="405-2302585"/>
    <s v="23025"/>
    <x v="0"/>
    <n v="47"/>
    <x v="105"/>
    <x v="3"/>
    <x v="0"/>
    <x v="6"/>
    <s v="DM101"/>
    <x v="2"/>
    <n v="85499"/>
    <x v="15"/>
    <s v="Digial marketing"/>
  </r>
  <r>
    <n v="728"/>
    <s v="405-3413497"/>
    <s v="34134"/>
    <x v="1"/>
    <n v="37"/>
    <x v="105"/>
    <x v="3"/>
    <x v="0"/>
    <x v="5"/>
    <s v="FSD103"/>
    <x v="3"/>
    <n v="109990"/>
    <x v="19"/>
    <s v="Full stack development"/>
  </r>
  <r>
    <n v="729"/>
    <s v="402-9162189"/>
    <s v="91621"/>
    <x v="1"/>
    <n v="29"/>
    <x v="105"/>
    <x v="3"/>
    <x v="0"/>
    <x v="0"/>
    <s v="DA202"/>
    <x v="0"/>
    <n v="79999"/>
    <x v="49"/>
    <s v="Data analytics"/>
  </r>
  <r>
    <n v="730"/>
    <s v="402-6543353"/>
    <s v="65433"/>
    <x v="0"/>
    <n v="40"/>
    <x v="105"/>
    <x v="3"/>
    <x v="0"/>
    <x v="1"/>
    <s v="DM101"/>
    <x v="2"/>
    <n v="85499"/>
    <x v="15"/>
    <s v="Digial marketing"/>
  </r>
  <r>
    <n v="731"/>
    <s v="403-6628562"/>
    <s v="66285"/>
    <x v="0"/>
    <n v="21"/>
    <x v="105"/>
    <x v="3"/>
    <x v="0"/>
    <x v="2"/>
    <s v="FSD103"/>
    <x v="3"/>
    <n v="109990"/>
    <x v="17"/>
    <s v="Full stack development"/>
  </r>
  <r>
    <n v="732"/>
    <s v="407-1198014"/>
    <s v="11980"/>
    <x v="1"/>
    <n v="53"/>
    <x v="105"/>
    <x v="3"/>
    <x v="0"/>
    <x v="2"/>
    <s v="BA301"/>
    <x v="1"/>
    <n v="59999"/>
    <x v="24"/>
    <s v="Business analytics"/>
  </r>
  <r>
    <n v="733"/>
    <s v="404-5698293"/>
    <s v="56982"/>
    <x v="0"/>
    <n v="27"/>
    <x v="106"/>
    <x v="3"/>
    <x v="0"/>
    <x v="1"/>
    <s v="DM101"/>
    <x v="2"/>
    <n v="85499"/>
    <x v="3"/>
    <s v="Digial marketing"/>
  </r>
  <r>
    <n v="734"/>
    <s v="408-8749697"/>
    <s v="87496"/>
    <x v="0"/>
    <n v="32"/>
    <x v="106"/>
    <x v="3"/>
    <x v="0"/>
    <x v="2"/>
    <s v="DM101"/>
    <x v="2"/>
    <n v="85499"/>
    <x v="9"/>
    <s v="Digial marketing"/>
  </r>
  <r>
    <n v="735"/>
    <s v="403-6076719"/>
    <s v="60767"/>
    <x v="0"/>
    <n v="38"/>
    <x v="107"/>
    <x v="3"/>
    <x v="0"/>
    <x v="1"/>
    <s v="DM101"/>
    <x v="2"/>
    <n v="85499"/>
    <x v="16"/>
    <s v="Digial marketing"/>
  </r>
  <r>
    <n v="736"/>
    <s v="404-3266360"/>
    <s v="32663"/>
    <x v="0"/>
    <n v="33"/>
    <x v="107"/>
    <x v="3"/>
    <x v="0"/>
    <x v="4"/>
    <s v="DM101"/>
    <x v="2"/>
    <n v="85499"/>
    <x v="277"/>
    <s v="Digial marketing"/>
  </r>
  <r>
    <n v="737"/>
    <s v="402-5250965"/>
    <s v="52509"/>
    <x v="0"/>
    <n v="49"/>
    <x v="107"/>
    <x v="3"/>
    <x v="0"/>
    <x v="0"/>
    <s v="DA202"/>
    <x v="0"/>
    <n v="79999"/>
    <x v="138"/>
    <s v="Data analytics"/>
  </r>
  <r>
    <n v="738"/>
    <s v="407-1676852"/>
    <s v="16768"/>
    <x v="0"/>
    <n v="26"/>
    <x v="107"/>
    <x v="3"/>
    <x v="0"/>
    <x v="1"/>
    <s v="DM101"/>
    <x v="2"/>
    <n v="85499"/>
    <x v="278"/>
    <s v="Digial marketing"/>
  </r>
  <r>
    <n v="739"/>
    <s v="406-9907647"/>
    <s v="99076"/>
    <x v="1"/>
    <n v="41"/>
    <x v="108"/>
    <x v="3"/>
    <x v="0"/>
    <x v="0"/>
    <s v="BA301"/>
    <x v="1"/>
    <n v="59999"/>
    <x v="74"/>
    <s v="Business analytics"/>
  </r>
  <r>
    <n v="740"/>
    <s v="403-0005430"/>
    <s v="5430"/>
    <x v="1"/>
    <n v="44"/>
    <x v="108"/>
    <x v="3"/>
    <x v="0"/>
    <x v="1"/>
    <s v="FSD103"/>
    <x v="3"/>
    <n v="109990"/>
    <x v="142"/>
    <s v="Full stack development"/>
  </r>
  <r>
    <n v="741"/>
    <s v="403-0137766"/>
    <s v="13776"/>
    <x v="0"/>
    <n v="53"/>
    <x v="108"/>
    <x v="3"/>
    <x v="0"/>
    <x v="0"/>
    <s v="DM101"/>
    <x v="2"/>
    <n v="85499"/>
    <x v="5"/>
    <s v="Digial marketing"/>
  </r>
  <r>
    <n v="742"/>
    <s v="403-9583944"/>
    <s v="95839"/>
    <x v="0"/>
    <n v="31"/>
    <x v="108"/>
    <x v="3"/>
    <x v="1"/>
    <x v="2"/>
    <s v="DA202"/>
    <x v="0"/>
    <n v="79999"/>
    <x v="48"/>
    <s v="Data analytics"/>
  </r>
  <r>
    <n v="743"/>
    <s v="408-8158548"/>
    <s v="81585"/>
    <x v="1"/>
    <n v="26"/>
    <x v="108"/>
    <x v="3"/>
    <x v="0"/>
    <x v="3"/>
    <s v="DM101"/>
    <x v="2"/>
    <n v="85499"/>
    <x v="167"/>
    <s v="Digial marketing"/>
  </r>
  <r>
    <n v="744"/>
    <s v="407-0797552"/>
    <s v="79755"/>
    <x v="0"/>
    <n v="69"/>
    <x v="108"/>
    <x v="3"/>
    <x v="0"/>
    <x v="2"/>
    <s v="DM101"/>
    <x v="2"/>
    <n v="85499"/>
    <x v="279"/>
    <s v="Digial marketing"/>
  </r>
  <r>
    <n v="745"/>
    <s v="407-5323203"/>
    <s v="53232"/>
    <x v="0"/>
    <n v="26"/>
    <x v="108"/>
    <x v="3"/>
    <x v="0"/>
    <x v="0"/>
    <s v="DA202"/>
    <x v="0"/>
    <n v="79999"/>
    <x v="3"/>
    <s v="Data analytics"/>
  </r>
  <r>
    <n v="746"/>
    <s v="406-2252448"/>
    <s v="22524"/>
    <x v="0"/>
    <n v="24"/>
    <x v="108"/>
    <x v="3"/>
    <x v="0"/>
    <x v="0"/>
    <s v="DA202"/>
    <x v="0"/>
    <n v="79999"/>
    <x v="3"/>
    <s v="Data analytics"/>
  </r>
  <r>
    <n v="747"/>
    <s v="408-6382984"/>
    <s v="63829"/>
    <x v="0"/>
    <n v="38"/>
    <x v="109"/>
    <x v="3"/>
    <x v="0"/>
    <x v="1"/>
    <s v="DA202"/>
    <x v="0"/>
    <n v="79999"/>
    <x v="16"/>
    <s v="Data analytics"/>
  </r>
  <r>
    <n v="748"/>
    <s v="404-1919343"/>
    <s v="19193"/>
    <x v="0"/>
    <n v="42"/>
    <x v="109"/>
    <x v="3"/>
    <x v="0"/>
    <x v="1"/>
    <s v="DM101"/>
    <x v="2"/>
    <n v="85499"/>
    <x v="11"/>
    <s v="Digial marketing"/>
  </r>
  <r>
    <n v="749"/>
    <s v="403-3531125"/>
    <s v="35311"/>
    <x v="1"/>
    <n v="31"/>
    <x v="109"/>
    <x v="3"/>
    <x v="0"/>
    <x v="2"/>
    <s v="DM101"/>
    <x v="2"/>
    <n v="85499"/>
    <x v="9"/>
    <s v="Digial marketing"/>
  </r>
  <r>
    <n v="750"/>
    <s v="403-8529721"/>
    <s v="85297"/>
    <x v="1"/>
    <n v="35"/>
    <x v="109"/>
    <x v="3"/>
    <x v="0"/>
    <x v="4"/>
    <s v="BA301"/>
    <x v="1"/>
    <n v="59999"/>
    <x v="280"/>
    <s v="Business analytics"/>
  </r>
  <r>
    <n v="751"/>
    <s v="408-3861272"/>
    <s v="38612"/>
    <x v="0"/>
    <n v="40"/>
    <x v="109"/>
    <x v="3"/>
    <x v="0"/>
    <x v="1"/>
    <s v="DM101"/>
    <x v="2"/>
    <n v="85499"/>
    <x v="205"/>
    <s v="Digial marketing"/>
  </r>
  <r>
    <n v="752"/>
    <s v="404-4094878"/>
    <s v="40948"/>
    <x v="1"/>
    <n v="22"/>
    <x v="109"/>
    <x v="3"/>
    <x v="0"/>
    <x v="6"/>
    <s v="DA202"/>
    <x v="0"/>
    <n v="79999"/>
    <x v="106"/>
    <s v="Data analytics"/>
  </r>
  <r>
    <n v="753"/>
    <s v="403-9432350"/>
    <s v="94323"/>
    <x v="1"/>
    <n v="24"/>
    <x v="109"/>
    <x v="3"/>
    <x v="0"/>
    <x v="1"/>
    <s v="DM101"/>
    <x v="2"/>
    <n v="85499"/>
    <x v="29"/>
    <s v="Digial marketing"/>
  </r>
  <r>
    <n v="754"/>
    <s v="405-6429237"/>
    <s v="64292"/>
    <x v="0"/>
    <n v="58"/>
    <x v="109"/>
    <x v="3"/>
    <x v="0"/>
    <x v="0"/>
    <s v="BA301"/>
    <x v="1"/>
    <n v="59999"/>
    <x v="49"/>
    <s v="Business analytics"/>
  </r>
  <r>
    <n v="755"/>
    <s v="405-3022520"/>
    <s v="30225"/>
    <x v="0"/>
    <n v="69"/>
    <x v="109"/>
    <x v="3"/>
    <x v="0"/>
    <x v="2"/>
    <s v="DA202"/>
    <x v="0"/>
    <n v="79999"/>
    <x v="281"/>
    <s v="Data analytics"/>
  </r>
  <r>
    <n v="756"/>
    <s v="171-8125573"/>
    <s v="81255"/>
    <x v="0"/>
    <n v="23"/>
    <x v="110"/>
    <x v="3"/>
    <x v="0"/>
    <x v="1"/>
    <s v="DA202"/>
    <x v="0"/>
    <n v="79999"/>
    <x v="282"/>
    <s v="Data analytics"/>
  </r>
  <r>
    <n v="757"/>
    <s v="403-8019744"/>
    <s v="80197"/>
    <x v="0"/>
    <n v="26"/>
    <x v="110"/>
    <x v="3"/>
    <x v="0"/>
    <x v="1"/>
    <s v="DM101"/>
    <x v="2"/>
    <n v="85499"/>
    <x v="24"/>
    <s v="Digial marketing"/>
  </r>
  <r>
    <n v="758"/>
    <s v="171-0626510"/>
    <s v="62651"/>
    <x v="0"/>
    <n v="37"/>
    <x v="110"/>
    <x v="3"/>
    <x v="0"/>
    <x v="2"/>
    <s v="DM101"/>
    <x v="2"/>
    <n v="85499"/>
    <x v="3"/>
    <s v="Digial marketing"/>
  </r>
  <r>
    <n v="759"/>
    <s v="171-3450833"/>
    <s v="34508"/>
    <x v="1"/>
    <n v="27"/>
    <x v="110"/>
    <x v="3"/>
    <x v="0"/>
    <x v="3"/>
    <s v="BA301"/>
    <x v="1"/>
    <n v="59999"/>
    <x v="94"/>
    <s v="Business analytics"/>
  </r>
  <r>
    <n v="760"/>
    <s v="405-1575105"/>
    <s v="15751"/>
    <x v="0"/>
    <n v="67"/>
    <x v="110"/>
    <x v="3"/>
    <x v="0"/>
    <x v="2"/>
    <s v="DA202"/>
    <x v="0"/>
    <n v="79999"/>
    <x v="9"/>
    <s v="Data analytics"/>
  </r>
  <r>
    <n v="761"/>
    <s v="407-8001905"/>
    <s v="80019"/>
    <x v="0"/>
    <n v="25"/>
    <x v="111"/>
    <x v="3"/>
    <x v="1"/>
    <x v="0"/>
    <s v="DM101"/>
    <x v="2"/>
    <n v="85499"/>
    <x v="283"/>
    <s v="Digial marketing"/>
  </r>
  <r>
    <n v="762"/>
    <s v="407-6396844"/>
    <s v="63968"/>
    <x v="0"/>
    <n v="76"/>
    <x v="111"/>
    <x v="3"/>
    <x v="0"/>
    <x v="1"/>
    <s v="DM101"/>
    <x v="2"/>
    <n v="85499"/>
    <x v="167"/>
    <s v="Digial marketing"/>
  </r>
  <r>
    <n v="763"/>
    <s v="403-8142963"/>
    <s v="81429"/>
    <x v="0"/>
    <n v="24"/>
    <x v="111"/>
    <x v="3"/>
    <x v="0"/>
    <x v="1"/>
    <s v="DA202"/>
    <x v="0"/>
    <n v="79999"/>
    <x v="29"/>
    <s v="Data analytics"/>
  </r>
  <r>
    <n v="764"/>
    <s v="403-0499978"/>
    <s v="49997"/>
    <x v="1"/>
    <n v="26"/>
    <x v="111"/>
    <x v="3"/>
    <x v="0"/>
    <x v="1"/>
    <s v="DA202"/>
    <x v="0"/>
    <n v="79999"/>
    <x v="284"/>
    <s v="Data analytics"/>
  </r>
  <r>
    <n v="765"/>
    <s v="408-0841588"/>
    <s v="84158"/>
    <x v="1"/>
    <n v="21"/>
    <x v="111"/>
    <x v="3"/>
    <x v="0"/>
    <x v="4"/>
    <s v="DM101"/>
    <x v="2"/>
    <n v="85499"/>
    <x v="84"/>
    <s v="Digial marketing"/>
  </r>
  <r>
    <n v="766"/>
    <s v="407-0290171"/>
    <s v="29017"/>
    <x v="0"/>
    <n v="31"/>
    <x v="111"/>
    <x v="3"/>
    <x v="0"/>
    <x v="1"/>
    <s v="DA202"/>
    <x v="0"/>
    <n v="79999"/>
    <x v="3"/>
    <s v="Data analytics"/>
  </r>
  <r>
    <n v="767"/>
    <s v="404-4342119"/>
    <s v="43421"/>
    <x v="0"/>
    <n v="61"/>
    <x v="111"/>
    <x v="3"/>
    <x v="0"/>
    <x v="0"/>
    <s v="DA202"/>
    <x v="0"/>
    <n v="79999"/>
    <x v="285"/>
    <s v="Data analytics"/>
  </r>
  <r>
    <n v="768"/>
    <s v="408-4423220"/>
    <s v="44232"/>
    <x v="1"/>
    <n v="19"/>
    <x v="111"/>
    <x v="3"/>
    <x v="0"/>
    <x v="2"/>
    <s v="DM101"/>
    <x v="2"/>
    <n v="85499"/>
    <x v="84"/>
    <s v="Digial marketing"/>
  </r>
  <r>
    <n v="769"/>
    <s v="406-7440953"/>
    <s v="74409"/>
    <x v="0"/>
    <n v="51"/>
    <x v="112"/>
    <x v="3"/>
    <x v="0"/>
    <x v="2"/>
    <s v="DM101"/>
    <x v="2"/>
    <n v="85499"/>
    <x v="286"/>
    <s v="Digial marketing"/>
  </r>
  <r>
    <n v="770"/>
    <s v="406-4477213"/>
    <s v="44772"/>
    <x v="0"/>
    <n v="40"/>
    <x v="112"/>
    <x v="3"/>
    <x v="1"/>
    <x v="0"/>
    <s v="DA202"/>
    <x v="0"/>
    <n v="79999"/>
    <x v="57"/>
    <s v="Data analytics"/>
  </r>
  <r>
    <n v="771"/>
    <s v="407-3646861"/>
    <s v="36468"/>
    <x v="1"/>
    <n v="21"/>
    <x v="112"/>
    <x v="3"/>
    <x v="0"/>
    <x v="1"/>
    <s v="DM101"/>
    <x v="2"/>
    <n v="85499"/>
    <x v="3"/>
    <s v="Digial marketing"/>
  </r>
  <r>
    <n v="772"/>
    <s v="403-9890170"/>
    <s v="98901"/>
    <x v="1"/>
    <n v="38"/>
    <x v="112"/>
    <x v="3"/>
    <x v="0"/>
    <x v="3"/>
    <s v="UX401"/>
    <x v="4"/>
    <n v="67990"/>
    <x v="74"/>
    <s v="UI/UX Design"/>
  </r>
  <r>
    <n v="773"/>
    <s v="406-4048029"/>
    <s v="40480"/>
    <x v="0"/>
    <n v="25"/>
    <x v="112"/>
    <x v="3"/>
    <x v="0"/>
    <x v="1"/>
    <s v="DA202"/>
    <x v="0"/>
    <n v="79999"/>
    <x v="49"/>
    <s v="Data analytics"/>
  </r>
  <r>
    <n v="774"/>
    <s v="406-0686993"/>
    <s v="68699"/>
    <x v="1"/>
    <n v="23"/>
    <x v="112"/>
    <x v="3"/>
    <x v="0"/>
    <x v="4"/>
    <s v="BA301"/>
    <x v="1"/>
    <n v="59999"/>
    <x v="15"/>
    <s v="Business analytics"/>
  </r>
  <r>
    <n v="775"/>
    <s v="405-2449914"/>
    <s v="24499"/>
    <x v="0"/>
    <n v="19"/>
    <x v="112"/>
    <x v="3"/>
    <x v="0"/>
    <x v="1"/>
    <s v="DA202"/>
    <x v="0"/>
    <n v="79999"/>
    <x v="287"/>
    <s v="Data analytics"/>
  </r>
  <r>
    <n v="776"/>
    <s v="402-6866013"/>
    <s v="68660"/>
    <x v="1"/>
    <n v="48"/>
    <x v="112"/>
    <x v="3"/>
    <x v="0"/>
    <x v="0"/>
    <s v="FSD103"/>
    <x v="3"/>
    <n v="109990"/>
    <x v="288"/>
    <s v="Full stack development"/>
  </r>
  <r>
    <n v="777"/>
    <s v="405-7660515"/>
    <s v="76605"/>
    <x v="0"/>
    <n v="68"/>
    <x v="112"/>
    <x v="3"/>
    <x v="0"/>
    <x v="1"/>
    <s v="BA301"/>
    <x v="1"/>
    <n v="59999"/>
    <x v="289"/>
    <s v="Business analytics"/>
  </r>
  <r>
    <n v="778"/>
    <s v="407-1480910"/>
    <s v="14809"/>
    <x v="0"/>
    <n v="43"/>
    <x v="113"/>
    <x v="3"/>
    <x v="2"/>
    <x v="0"/>
    <s v="BA301"/>
    <x v="1"/>
    <n v="59999"/>
    <x v="9"/>
    <s v="Business analytics"/>
  </r>
  <r>
    <n v="779"/>
    <s v="406-8618016"/>
    <s v="86180"/>
    <x v="0"/>
    <n v="26"/>
    <x v="113"/>
    <x v="3"/>
    <x v="0"/>
    <x v="2"/>
    <s v="DM101"/>
    <x v="2"/>
    <n v="85499"/>
    <x v="290"/>
    <s v="Digial marketing"/>
  </r>
  <r>
    <n v="780"/>
    <s v="171-2190143"/>
    <s v="21901"/>
    <x v="0"/>
    <n v="33"/>
    <x v="113"/>
    <x v="3"/>
    <x v="0"/>
    <x v="0"/>
    <s v="DM101"/>
    <x v="2"/>
    <n v="85499"/>
    <x v="291"/>
    <s v="Digial marketing"/>
  </r>
  <r>
    <n v="781"/>
    <s v="402-5202411"/>
    <s v="52024"/>
    <x v="1"/>
    <n v="49"/>
    <x v="113"/>
    <x v="3"/>
    <x v="0"/>
    <x v="0"/>
    <s v="DA202"/>
    <x v="0"/>
    <n v="79999"/>
    <x v="49"/>
    <s v="Data analytics"/>
  </r>
  <r>
    <n v="782"/>
    <s v="408-0764304"/>
    <s v="76430"/>
    <x v="1"/>
    <n v="32"/>
    <x v="113"/>
    <x v="3"/>
    <x v="2"/>
    <x v="0"/>
    <s v="DM101"/>
    <x v="2"/>
    <n v="85499"/>
    <x v="3"/>
    <s v="Digial marketing"/>
  </r>
  <r>
    <n v="783"/>
    <s v="408-0943303"/>
    <s v="94330"/>
    <x v="0"/>
    <n v="21"/>
    <x v="113"/>
    <x v="3"/>
    <x v="1"/>
    <x v="2"/>
    <s v="BA301"/>
    <x v="1"/>
    <n v="59999"/>
    <x v="1"/>
    <s v="Business analytics"/>
  </r>
  <r>
    <n v="784"/>
    <s v="404-9297843"/>
    <s v="92978"/>
    <x v="0"/>
    <n v="37"/>
    <x v="113"/>
    <x v="3"/>
    <x v="0"/>
    <x v="1"/>
    <s v="DM101"/>
    <x v="2"/>
    <n v="85499"/>
    <x v="24"/>
    <s v="Digial marketing"/>
  </r>
  <r>
    <n v="785"/>
    <s v="404-3027379"/>
    <s v="30273"/>
    <x v="1"/>
    <n v="30"/>
    <x v="114"/>
    <x v="3"/>
    <x v="0"/>
    <x v="1"/>
    <s v="DM101"/>
    <x v="2"/>
    <n v="85499"/>
    <x v="139"/>
    <s v="Digial marketing"/>
  </r>
  <r>
    <n v="786"/>
    <s v="408-8207702"/>
    <s v="82077"/>
    <x v="1"/>
    <n v="35"/>
    <x v="114"/>
    <x v="3"/>
    <x v="0"/>
    <x v="1"/>
    <s v="DM101"/>
    <x v="2"/>
    <n v="85499"/>
    <x v="39"/>
    <s v="Digial marketing"/>
  </r>
  <r>
    <n v="787"/>
    <s v="402-5429657"/>
    <s v="54296"/>
    <x v="0"/>
    <n v="35"/>
    <x v="114"/>
    <x v="3"/>
    <x v="0"/>
    <x v="1"/>
    <s v="DA202"/>
    <x v="0"/>
    <n v="79999"/>
    <x v="15"/>
    <s v="Data analytics"/>
  </r>
  <r>
    <n v="788"/>
    <s v="402-3631015"/>
    <s v="36310"/>
    <x v="0"/>
    <n v="71"/>
    <x v="114"/>
    <x v="3"/>
    <x v="0"/>
    <x v="1"/>
    <s v="BA301"/>
    <x v="1"/>
    <n v="59999"/>
    <x v="3"/>
    <s v="Business analytics"/>
  </r>
  <r>
    <n v="789"/>
    <s v="171-0760717"/>
    <s v="76071"/>
    <x v="0"/>
    <n v="60"/>
    <x v="114"/>
    <x v="3"/>
    <x v="0"/>
    <x v="0"/>
    <s v="DA202"/>
    <x v="0"/>
    <n v="79999"/>
    <x v="24"/>
    <s v="Data analytics"/>
  </r>
  <r>
    <n v="790"/>
    <s v="171-3115234"/>
    <s v="31152"/>
    <x v="0"/>
    <n v="42"/>
    <x v="114"/>
    <x v="3"/>
    <x v="0"/>
    <x v="0"/>
    <s v="BA301"/>
    <x v="1"/>
    <n v="59999"/>
    <x v="31"/>
    <s v="Business analytics"/>
  </r>
  <r>
    <n v="791"/>
    <s v="403-2963387"/>
    <s v="29633"/>
    <x v="1"/>
    <n v="71"/>
    <x v="114"/>
    <x v="3"/>
    <x v="0"/>
    <x v="1"/>
    <s v="DA202"/>
    <x v="0"/>
    <n v="79999"/>
    <x v="292"/>
    <s v="Data analytics"/>
  </r>
  <r>
    <n v="792"/>
    <s v="403-2709895"/>
    <s v="27098"/>
    <x v="0"/>
    <n v="48"/>
    <x v="115"/>
    <x v="3"/>
    <x v="0"/>
    <x v="1"/>
    <s v="DM101"/>
    <x v="2"/>
    <n v="85499"/>
    <x v="138"/>
    <s v="Digial marketing"/>
  </r>
  <r>
    <n v="793"/>
    <s v="407-9438764"/>
    <s v="94387"/>
    <x v="0"/>
    <n v="55"/>
    <x v="115"/>
    <x v="3"/>
    <x v="0"/>
    <x v="2"/>
    <s v="BA301"/>
    <x v="1"/>
    <n v="59999"/>
    <x v="17"/>
    <s v="Business analytics"/>
  </r>
  <r>
    <n v="794"/>
    <s v="402-3000785"/>
    <s v="30007"/>
    <x v="0"/>
    <n v="49"/>
    <x v="115"/>
    <x v="3"/>
    <x v="0"/>
    <x v="1"/>
    <s v="UX401"/>
    <x v="4"/>
    <n v="67990"/>
    <x v="293"/>
    <s v="UI/UX Design"/>
  </r>
  <r>
    <n v="795"/>
    <s v="407-4540902"/>
    <s v="45409"/>
    <x v="0"/>
    <n v="36"/>
    <x v="115"/>
    <x v="3"/>
    <x v="0"/>
    <x v="1"/>
    <s v="BA301"/>
    <x v="1"/>
    <n v="59999"/>
    <x v="92"/>
    <s v="Business analytics"/>
  </r>
  <r>
    <n v="796"/>
    <s v="408-9061957"/>
    <s v="90619"/>
    <x v="0"/>
    <n v="32"/>
    <x v="115"/>
    <x v="3"/>
    <x v="0"/>
    <x v="1"/>
    <s v="DA202"/>
    <x v="0"/>
    <n v="79999"/>
    <x v="49"/>
    <s v="Data analytics"/>
  </r>
  <r>
    <n v="797"/>
    <s v="402-3011764"/>
    <s v="30117"/>
    <x v="0"/>
    <n v="75"/>
    <x v="115"/>
    <x v="3"/>
    <x v="0"/>
    <x v="4"/>
    <s v="DM101"/>
    <x v="2"/>
    <n v="85499"/>
    <x v="24"/>
    <s v="Digial marketing"/>
  </r>
  <r>
    <n v="798"/>
    <s v="405-1760492"/>
    <s v="17604"/>
    <x v="0"/>
    <n v="20"/>
    <x v="115"/>
    <x v="3"/>
    <x v="0"/>
    <x v="1"/>
    <s v="DA202"/>
    <x v="0"/>
    <n v="79999"/>
    <x v="29"/>
    <s v="Data analytics"/>
  </r>
  <r>
    <n v="799"/>
    <s v="405-7546265"/>
    <s v="75462"/>
    <x v="0"/>
    <n v="45"/>
    <x v="115"/>
    <x v="3"/>
    <x v="0"/>
    <x v="4"/>
    <s v="DA202"/>
    <x v="0"/>
    <n v="79999"/>
    <x v="294"/>
    <s v="Data analytics"/>
  </r>
  <r>
    <n v="800"/>
    <s v="405-0601958"/>
    <s v="60195"/>
    <x v="0"/>
    <n v="19"/>
    <x v="116"/>
    <x v="3"/>
    <x v="0"/>
    <x v="0"/>
    <s v="DM101"/>
    <x v="2"/>
    <n v="85499"/>
    <x v="295"/>
    <s v="Digial marketing"/>
  </r>
  <r>
    <n v="801"/>
    <s v="408-8496377"/>
    <s v="84963"/>
    <x v="1"/>
    <n v="19"/>
    <x v="116"/>
    <x v="3"/>
    <x v="0"/>
    <x v="2"/>
    <s v="UX401"/>
    <x v="4"/>
    <n v="67990"/>
    <x v="32"/>
    <s v="UI/UX Design"/>
  </r>
  <r>
    <n v="802"/>
    <s v="402-3973886"/>
    <s v="39738"/>
    <x v="0"/>
    <n v="36"/>
    <x v="116"/>
    <x v="3"/>
    <x v="0"/>
    <x v="0"/>
    <s v="DA202"/>
    <x v="0"/>
    <n v="79999"/>
    <x v="15"/>
    <s v="Data analytics"/>
  </r>
  <r>
    <n v="803"/>
    <s v="404-2615717"/>
    <s v="26157"/>
    <x v="1"/>
    <n v="25"/>
    <x v="116"/>
    <x v="3"/>
    <x v="0"/>
    <x v="0"/>
    <s v="DA202"/>
    <x v="0"/>
    <n v="79999"/>
    <x v="16"/>
    <s v="Data analytics"/>
  </r>
  <r>
    <n v="804"/>
    <s v="402-0934201"/>
    <s v="93420"/>
    <x v="1"/>
    <n v="61"/>
    <x v="116"/>
    <x v="3"/>
    <x v="0"/>
    <x v="1"/>
    <s v="DA202"/>
    <x v="0"/>
    <n v="79999"/>
    <x v="296"/>
    <s v="Data analytics"/>
  </r>
  <r>
    <n v="805"/>
    <s v="406-6581286"/>
    <s v="65812"/>
    <x v="0"/>
    <n v="28"/>
    <x v="116"/>
    <x v="3"/>
    <x v="0"/>
    <x v="4"/>
    <s v="DM101"/>
    <x v="2"/>
    <n v="85499"/>
    <x v="56"/>
    <s v="Digial marketing"/>
  </r>
  <r>
    <n v="806"/>
    <s v="171-9677427"/>
    <s v="96774"/>
    <x v="0"/>
    <n v="49"/>
    <x v="116"/>
    <x v="3"/>
    <x v="0"/>
    <x v="0"/>
    <s v="DM101"/>
    <x v="2"/>
    <n v="85499"/>
    <x v="39"/>
    <s v="Digial marketing"/>
  </r>
  <r>
    <n v="807"/>
    <s v="408-2870914"/>
    <s v="28709"/>
    <x v="0"/>
    <n v="32"/>
    <x v="116"/>
    <x v="3"/>
    <x v="0"/>
    <x v="5"/>
    <s v="DA202"/>
    <x v="0"/>
    <n v="79999"/>
    <x v="92"/>
    <s v="Data analytics"/>
  </r>
  <r>
    <n v="808"/>
    <s v="408-0779866"/>
    <s v="77986"/>
    <x v="0"/>
    <n v="70"/>
    <x v="117"/>
    <x v="3"/>
    <x v="0"/>
    <x v="2"/>
    <s v="DM101"/>
    <x v="2"/>
    <n v="85499"/>
    <x v="297"/>
    <s v="Digial marketing"/>
  </r>
  <r>
    <n v="809"/>
    <s v="406-4511012"/>
    <s v="45110"/>
    <x v="0"/>
    <n v="28"/>
    <x v="117"/>
    <x v="3"/>
    <x v="0"/>
    <x v="0"/>
    <s v="DA202"/>
    <x v="0"/>
    <n v="79999"/>
    <x v="147"/>
    <s v="Data analytics"/>
  </r>
  <r>
    <n v="810"/>
    <s v="407-8061929"/>
    <s v="80619"/>
    <x v="0"/>
    <n v="39"/>
    <x v="117"/>
    <x v="3"/>
    <x v="0"/>
    <x v="6"/>
    <s v="FSD103"/>
    <x v="3"/>
    <n v="109990"/>
    <x v="5"/>
    <s v="Full stack development"/>
  </r>
  <r>
    <n v="811"/>
    <s v="403-1484397"/>
    <s v="14843"/>
    <x v="0"/>
    <n v="33"/>
    <x v="117"/>
    <x v="3"/>
    <x v="0"/>
    <x v="5"/>
    <s v="FSD103"/>
    <x v="3"/>
    <n v="109990"/>
    <x v="92"/>
    <s v="Full stack development"/>
  </r>
  <r>
    <n v="812"/>
    <s v="407-4261197"/>
    <s v="42611"/>
    <x v="0"/>
    <n v="28"/>
    <x v="117"/>
    <x v="3"/>
    <x v="0"/>
    <x v="2"/>
    <s v="DA202"/>
    <x v="0"/>
    <n v="79999"/>
    <x v="298"/>
    <s v="Data analytics"/>
  </r>
  <r>
    <n v="813"/>
    <s v="402-1569454"/>
    <s v="15694"/>
    <x v="0"/>
    <n v="70"/>
    <x v="117"/>
    <x v="3"/>
    <x v="0"/>
    <x v="2"/>
    <s v="BA301"/>
    <x v="1"/>
    <n v="59999"/>
    <x v="147"/>
    <s v="Business analytics"/>
  </r>
  <r>
    <n v="814"/>
    <s v="404-0259182"/>
    <s v="25918"/>
    <x v="0"/>
    <n v="61"/>
    <x v="118"/>
    <x v="3"/>
    <x v="0"/>
    <x v="0"/>
    <s v="DA202"/>
    <x v="0"/>
    <n v="79999"/>
    <x v="16"/>
    <s v="Data analytics"/>
  </r>
  <r>
    <n v="815"/>
    <s v="405-2590919"/>
    <s v="25909"/>
    <x v="0"/>
    <n v="41"/>
    <x v="118"/>
    <x v="3"/>
    <x v="0"/>
    <x v="2"/>
    <s v="DM101"/>
    <x v="2"/>
    <n v="85499"/>
    <x v="299"/>
    <s v="Digial marketing"/>
  </r>
  <r>
    <n v="816"/>
    <s v="408-8517098"/>
    <s v="85170"/>
    <x v="1"/>
    <n v="25"/>
    <x v="118"/>
    <x v="3"/>
    <x v="0"/>
    <x v="1"/>
    <s v="DM101"/>
    <x v="2"/>
    <n v="85499"/>
    <x v="15"/>
    <s v="Digial marketing"/>
  </r>
  <r>
    <n v="817"/>
    <s v="408-0391103"/>
    <s v="39110"/>
    <x v="0"/>
    <n v="45"/>
    <x v="118"/>
    <x v="3"/>
    <x v="0"/>
    <x v="2"/>
    <s v="CC002"/>
    <x v="7"/>
    <n v="99990"/>
    <x v="300"/>
    <s v="Cloud Computing"/>
  </r>
  <r>
    <n v="818"/>
    <s v="404-0023763"/>
    <s v="23763"/>
    <x v="0"/>
    <n v="77"/>
    <x v="118"/>
    <x v="3"/>
    <x v="0"/>
    <x v="1"/>
    <s v="DA202"/>
    <x v="0"/>
    <n v="79999"/>
    <x v="167"/>
    <s v="Data analytics"/>
  </r>
  <r>
    <n v="819"/>
    <s v="406-4177672"/>
    <s v="41776"/>
    <x v="1"/>
    <n v="39"/>
    <x v="118"/>
    <x v="3"/>
    <x v="0"/>
    <x v="5"/>
    <s v="DM101"/>
    <x v="2"/>
    <n v="85499"/>
    <x v="301"/>
    <s v="Digial marketing"/>
  </r>
  <r>
    <n v="820"/>
    <s v="406-5313369"/>
    <s v="53133"/>
    <x v="0"/>
    <n v="30"/>
    <x v="118"/>
    <x v="3"/>
    <x v="0"/>
    <x v="5"/>
    <s v="DA202"/>
    <x v="0"/>
    <n v="79999"/>
    <x v="16"/>
    <s v="Data analytics"/>
  </r>
  <r>
    <n v="821"/>
    <s v="407-0600072"/>
    <s v="60007"/>
    <x v="0"/>
    <n v="22"/>
    <x v="118"/>
    <x v="3"/>
    <x v="0"/>
    <x v="4"/>
    <s v="UX401"/>
    <x v="4"/>
    <n v="67990"/>
    <x v="302"/>
    <s v="UI/UX Design"/>
  </r>
  <r>
    <n v="822"/>
    <s v="171-7752189"/>
    <s v="77521"/>
    <x v="0"/>
    <n v="28"/>
    <x v="118"/>
    <x v="3"/>
    <x v="0"/>
    <x v="0"/>
    <s v="DA202"/>
    <x v="0"/>
    <n v="79999"/>
    <x v="9"/>
    <s v="Data analytics"/>
  </r>
  <r>
    <n v="823"/>
    <s v="404-0578246"/>
    <s v="57824"/>
    <x v="0"/>
    <n v="28"/>
    <x v="118"/>
    <x v="3"/>
    <x v="2"/>
    <x v="0"/>
    <s v="BA301"/>
    <x v="1"/>
    <n v="59999"/>
    <x v="16"/>
    <s v="Business analytics"/>
  </r>
  <r>
    <n v="824"/>
    <s v="403-6569943"/>
    <s v="65699"/>
    <x v="0"/>
    <n v="44"/>
    <x v="118"/>
    <x v="3"/>
    <x v="0"/>
    <x v="1"/>
    <s v="DM101"/>
    <x v="2"/>
    <n v="85499"/>
    <x v="9"/>
    <s v="Digial marketing"/>
  </r>
  <r>
    <n v="825"/>
    <s v="405-4799615"/>
    <s v="47996"/>
    <x v="0"/>
    <n v="28"/>
    <x v="119"/>
    <x v="3"/>
    <x v="0"/>
    <x v="0"/>
    <s v="DM101"/>
    <x v="2"/>
    <n v="85499"/>
    <x v="56"/>
    <s v="Digial marketing"/>
  </r>
  <r>
    <n v="826"/>
    <s v="171-0321853"/>
    <s v="32185"/>
    <x v="0"/>
    <n v="38"/>
    <x v="119"/>
    <x v="3"/>
    <x v="0"/>
    <x v="1"/>
    <s v="BA301"/>
    <x v="1"/>
    <n v="59999"/>
    <x v="14"/>
    <s v="Business analytics"/>
  </r>
  <r>
    <n v="827"/>
    <s v="402-8305147"/>
    <s v="83051"/>
    <x v="0"/>
    <n v="31"/>
    <x v="119"/>
    <x v="3"/>
    <x v="0"/>
    <x v="2"/>
    <s v="DM101"/>
    <x v="2"/>
    <n v="85499"/>
    <x v="303"/>
    <s v="Digial marketing"/>
  </r>
  <r>
    <n v="828"/>
    <s v="406-6938403"/>
    <s v="69384"/>
    <x v="0"/>
    <n v="19"/>
    <x v="119"/>
    <x v="3"/>
    <x v="0"/>
    <x v="4"/>
    <s v="DA202"/>
    <x v="0"/>
    <n v="79999"/>
    <x v="304"/>
    <s v="Data analytics"/>
  </r>
  <r>
    <n v="829"/>
    <s v="407-8968643"/>
    <s v="89686"/>
    <x v="0"/>
    <n v="31"/>
    <x v="119"/>
    <x v="3"/>
    <x v="0"/>
    <x v="1"/>
    <s v="FSD103"/>
    <x v="3"/>
    <n v="109990"/>
    <x v="3"/>
    <s v="Full stack development"/>
  </r>
  <r>
    <n v="830"/>
    <s v="406-4229474"/>
    <s v="42294"/>
    <x v="0"/>
    <n v="78"/>
    <x v="119"/>
    <x v="3"/>
    <x v="0"/>
    <x v="2"/>
    <s v="BA301"/>
    <x v="1"/>
    <n v="59999"/>
    <x v="205"/>
    <s v="Business analytics"/>
  </r>
  <r>
    <n v="831"/>
    <s v="403-1777468"/>
    <s v="17774"/>
    <x v="0"/>
    <n v="41"/>
    <x v="119"/>
    <x v="3"/>
    <x v="0"/>
    <x v="1"/>
    <s v="DM101"/>
    <x v="2"/>
    <n v="85499"/>
    <x v="305"/>
    <s v="Digial marketing"/>
  </r>
  <r>
    <n v="832"/>
    <s v="404-9198314"/>
    <s v="91983"/>
    <x v="1"/>
    <n v="44"/>
    <x v="119"/>
    <x v="3"/>
    <x v="0"/>
    <x v="0"/>
    <s v="DA202"/>
    <x v="0"/>
    <n v="79999"/>
    <x v="3"/>
    <s v="Data analytics"/>
  </r>
  <r>
    <n v="833"/>
    <s v="402-4906442"/>
    <s v="49064"/>
    <x v="0"/>
    <n v="32"/>
    <x v="120"/>
    <x v="3"/>
    <x v="0"/>
    <x v="6"/>
    <s v="BA301"/>
    <x v="1"/>
    <n v="59999"/>
    <x v="74"/>
    <s v="Business analytics"/>
  </r>
  <r>
    <n v="834"/>
    <s v="407-9879751"/>
    <s v="98797"/>
    <x v="1"/>
    <n v="27"/>
    <x v="120"/>
    <x v="3"/>
    <x v="0"/>
    <x v="1"/>
    <s v="FSD103"/>
    <x v="3"/>
    <n v="109990"/>
    <x v="57"/>
    <s v="Full stack development"/>
  </r>
  <r>
    <n v="835"/>
    <s v="171-8936930"/>
    <s v="89369"/>
    <x v="0"/>
    <n v="24"/>
    <x v="120"/>
    <x v="3"/>
    <x v="0"/>
    <x v="1"/>
    <s v="DM101"/>
    <x v="2"/>
    <n v="85499"/>
    <x v="83"/>
    <s v="Digial marketing"/>
  </r>
  <r>
    <n v="836"/>
    <s v="406-1424076"/>
    <s v="14240"/>
    <x v="1"/>
    <n v="50"/>
    <x v="120"/>
    <x v="3"/>
    <x v="0"/>
    <x v="1"/>
    <s v="DM101"/>
    <x v="2"/>
    <n v="85499"/>
    <x v="40"/>
    <s v="Digial marketing"/>
  </r>
  <r>
    <n v="837"/>
    <s v="406-3085571"/>
    <s v="30855"/>
    <x v="1"/>
    <n v="37"/>
    <x v="120"/>
    <x v="3"/>
    <x v="0"/>
    <x v="0"/>
    <s v="DA202"/>
    <x v="0"/>
    <n v="79999"/>
    <x v="41"/>
    <s v="Data analytics"/>
  </r>
  <r>
    <n v="838"/>
    <s v="408-7629115"/>
    <s v="76291"/>
    <x v="1"/>
    <n v="22"/>
    <x v="120"/>
    <x v="3"/>
    <x v="0"/>
    <x v="1"/>
    <s v="DA202"/>
    <x v="0"/>
    <n v="79999"/>
    <x v="9"/>
    <s v="Data analytics"/>
  </r>
  <r>
    <n v="839"/>
    <s v="408-2953378"/>
    <s v="29533"/>
    <x v="0"/>
    <n v="23"/>
    <x v="121"/>
    <x v="4"/>
    <x v="0"/>
    <x v="2"/>
    <s v="DA202"/>
    <x v="0"/>
    <n v="79999"/>
    <x v="9"/>
    <s v="Data analytics"/>
  </r>
  <r>
    <n v="840"/>
    <s v="408-3471377"/>
    <s v="34713"/>
    <x v="0"/>
    <n v="62"/>
    <x v="121"/>
    <x v="4"/>
    <x v="2"/>
    <x v="1"/>
    <s v="DA202"/>
    <x v="0"/>
    <n v="79999"/>
    <x v="274"/>
    <s v="Data analytics"/>
  </r>
  <r>
    <n v="841"/>
    <s v="405-8521496"/>
    <s v="85214"/>
    <x v="0"/>
    <n v="41"/>
    <x v="121"/>
    <x v="4"/>
    <x v="0"/>
    <x v="4"/>
    <s v="DA202"/>
    <x v="0"/>
    <n v="79999"/>
    <x v="306"/>
    <s v="Data analytics"/>
  </r>
  <r>
    <n v="842"/>
    <s v="405-2216347"/>
    <s v="22163"/>
    <x v="0"/>
    <n v="22"/>
    <x v="121"/>
    <x v="4"/>
    <x v="0"/>
    <x v="2"/>
    <s v="DM101"/>
    <x v="2"/>
    <n v="85499"/>
    <x v="27"/>
    <s v="Digial marketing"/>
  </r>
  <r>
    <n v="843"/>
    <s v="408-5158787"/>
    <s v="51587"/>
    <x v="1"/>
    <n v="25"/>
    <x v="121"/>
    <x v="4"/>
    <x v="0"/>
    <x v="0"/>
    <s v="BA301"/>
    <x v="1"/>
    <n v="59999"/>
    <x v="9"/>
    <s v="Business analytics"/>
  </r>
  <r>
    <n v="844"/>
    <s v="171-8782924"/>
    <s v="87829"/>
    <x v="0"/>
    <n v="35"/>
    <x v="121"/>
    <x v="4"/>
    <x v="0"/>
    <x v="1"/>
    <s v="UX401"/>
    <x v="4"/>
    <n v="67990"/>
    <x v="307"/>
    <s v="UI/UX Design"/>
  </r>
  <r>
    <n v="845"/>
    <s v="171-3651255"/>
    <s v="36512"/>
    <x v="1"/>
    <n v="56"/>
    <x v="121"/>
    <x v="4"/>
    <x v="0"/>
    <x v="1"/>
    <s v="DM101"/>
    <x v="2"/>
    <n v="85499"/>
    <x v="308"/>
    <s v="Digial marketing"/>
  </r>
  <r>
    <n v="846"/>
    <s v="404-8964439"/>
    <s v="89644"/>
    <x v="1"/>
    <n v="30"/>
    <x v="121"/>
    <x v="4"/>
    <x v="0"/>
    <x v="3"/>
    <s v="FSD103"/>
    <x v="3"/>
    <n v="109990"/>
    <x v="3"/>
    <s v="Full stack development"/>
  </r>
  <r>
    <n v="847"/>
    <s v="402-4592488"/>
    <s v="45924"/>
    <x v="1"/>
    <n v="27"/>
    <x v="122"/>
    <x v="4"/>
    <x v="0"/>
    <x v="1"/>
    <s v="DA202"/>
    <x v="0"/>
    <n v="79999"/>
    <x v="29"/>
    <s v="Data analytics"/>
  </r>
  <r>
    <n v="848"/>
    <s v="406-8272722"/>
    <s v="82727"/>
    <x v="0"/>
    <n v="46"/>
    <x v="122"/>
    <x v="4"/>
    <x v="0"/>
    <x v="2"/>
    <s v="FSD103"/>
    <x v="3"/>
    <n v="109990"/>
    <x v="9"/>
    <s v="Full stack development"/>
  </r>
  <r>
    <n v="849"/>
    <s v="404-7485457"/>
    <s v="74854"/>
    <x v="0"/>
    <n v="26"/>
    <x v="122"/>
    <x v="4"/>
    <x v="0"/>
    <x v="1"/>
    <s v="DA202"/>
    <x v="0"/>
    <n v="79999"/>
    <x v="122"/>
    <s v="Data analytics"/>
  </r>
  <r>
    <n v="850"/>
    <s v="407-8910046"/>
    <s v="89100"/>
    <x v="0"/>
    <n v="33"/>
    <x v="122"/>
    <x v="4"/>
    <x v="0"/>
    <x v="2"/>
    <s v="AI001"/>
    <x v="5"/>
    <n v="119990"/>
    <x v="309"/>
    <s v="AI &amp; ML"/>
  </r>
  <r>
    <n v="851"/>
    <s v="404-6681212"/>
    <s v="66812"/>
    <x v="0"/>
    <n v="37"/>
    <x v="122"/>
    <x v="4"/>
    <x v="0"/>
    <x v="0"/>
    <s v="DM101"/>
    <x v="2"/>
    <n v="85499"/>
    <x v="310"/>
    <s v="Digial marketing"/>
  </r>
  <r>
    <n v="852"/>
    <s v="402-2814869"/>
    <s v="28148"/>
    <x v="0"/>
    <n v="78"/>
    <x v="122"/>
    <x v="4"/>
    <x v="0"/>
    <x v="1"/>
    <s v="DM101"/>
    <x v="2"/>
    <n v="85499"/>
    <x v="141"/>
    <s v="Digial marketing"/>
  </r>
  <r>
    <n v="853"/>
    <s v="406-7306898"/>
    <s v="73068"/>
    <x v="1"/>
    <n v="33"/>
    <x v="122"/>
    <x v="4"/>
    <x v="0"/>
    <x v="3"/>
    <s v="DA202"/>
    <x v="0"/>
    <n v="79999"/>
    <x v="49"/>
    <s v="Data analytics"/>
  </r>
  <r>
    <n v="854"/>
    <s v="403-6216661"/>
    <s v="62166"/>
    <x v="0"/>
    <n v="21"/>
    <x v="123"/>
    <x v="4"/>
    <x v="0"/>
    <x v="2"/>
    <s v="DM101"/>
    <x v="2"/>
    <n v="85499"/>
    <x v="15"/>
    <s v="Digial marketing"/>
  </r>
  <r>
    <n v="855"/>
    <s v="403-8658285"/>
    <s v="86582"/>
    <x v="0"/>
    <n v="32"/>
    <x v="123"/>
    <x v="4"/>
    <x v="0"/>
    <x v="2"/>
    <s v="DA202"/>
    <x v="0"/>
    <n v="79999"/>
    <x v="45"/>
    <s v="Data analytics"/>
  </r>
  <r>
    <n v="856"/>
    <s v="171-6674119"/>
    <s v="66741"/>
    <x v="0"/>
    <n v="45"/>
    <x v="123"/>
    <x v="4"/>
    <x v="0"/>
    <x v="1"/>
    <s v="DA202"/>
    <x v="0"/>
    <n v="79999"/>
    <x v="80"/>
    <s v="Data analytics"/>
  </r>
  <r>
    <n v="857"/>
    <s v="403-5409521"/>
    <s v="54095"/>
    <x v="1"/>
    <n v="78"/>
    <x v="123"/>
    <x v="4"/>
    <x v="0"/>
    <x v="5"/>
    <s v="DM101"/>
    <x v="2"/>
    <n v="85499"/>
    <x v="16"/>
    <s v="Digial marketing"/>
  </r>
  <r>
    <n v="858"/>
    <s v="402-8405258"/>
    <s v="84052"/>
    <x v="0"/>
    <n v="41"/>
    <x v="123"/>
    <x v="4"/>
    <x v="0"/>
    <x v="0"/>
    <s v="DM101"/>
    <x v="2"/>
    <n v="85499"/>
    <x v="5"/>
    <s v="Digial marketing"/>
  </r>
  <r>
    <n v="859"/>
    <s v="171-1950223"/>
    <s v="19502"/>
    <x v="0"/>
    <n v="28"/>
    <x v="124"/>
    <x v="4"/>
    <x v="0"/>
    <x v="3"/>
    <s v="DM101"/>
    <x v="2"/>
    <n v="85499"/>
    <x v="3"/>
    <s v="Digial marketing"/>
  </r>
  <r>
    <n v="860"/>
    <s v="405-6530205"/>
    <s v="65302"/>
    <x v="0"/>
    <n v="18"/>
    <x v="124"/>
    <x v="4"/>
    <x v="0"/>
    <x v="4"/>
    <s v="DA202"/>
    <x v="0"/>
    <n v="79999"/>
    <x v="16"/>
    <s v="Data analytics"/>
  </r>
  <r>
    <n v="861"/>
    <s v="408-8979640"/>
    <s v="89796"/>
    <x v="1"/>
    <n v="36"/>
    <x v="124"/>
    <x v="4"/>
    <x v="0"/>
    <x v="3"/>
    <s v="DM101"/>
    <x v="2"/>
    <n v="85499"/>
    <x v="311"/>
    <s v="Digial marketing"/>
  </r>
  <r>
    <n v="862"/>
    <s v="407-2591967"/>
    <s v="25919"/>
    <x v="0"/>
    <n v="24"/>
    <x v="124"/>
    <x v="4"/>
    <x v="0"/>
    <x v="0"/>
    <s v="DM101"/>
    <x v="2"/>
    <n v="85499"/>
    <x v="9"/>
    <s v="Digial marketing"/>
  </r>
  <r>
    <n v="863"/>
    <s v="404-8409362"/>
    <s v="84093"/>
    <x v="0"/>
    <n v="42"/>
    <x v="124"/>
    <x v="4"/>
    <x v="2"/>
    <x v="1"/>
    <s v="DA202"/>
    <x v="0"/>
    <n v="79999"/>
    <x v="41"/>
    <s v="Data analytics"/>
  </r>
  <r>
    <n v="864"/>
    <s v="402-3005187"/>
    <s v="30051"/>
    <x v="0"/>
    <n v="42"/>
    <x v="125"/>
    <x v="4"/>
    <x v="0"/>
    <x v="1"/>
    <s v="DM101"/>
    <x v="2"/>
    <n v="85499"/>
    <x v="15"/>
    <s v="Digial marketing"/>
  </r>
  <r>
    <n v="865"/>
    <s v="406-3667953"/>
    <s v="36679"/>
    <x v="0"/>
    <n v="20"/>
    <x v="125"/>
    <x v="4"/>
    <x v="0"/>
    <x v="2"/>
    <s v="DA202"/>
    <x v="0"/>
    <n v="79999"/>
    <x v="110"/>
    <s v="Data analytics"/>
  </r>
  <r>
    <n v="866"/>
    <s v="405-7733016"/>
    <s v="77330"/>
    <x v="1"/>
    <n v="43"/>
    <x v="125"/>
    <x v="4"/>
    <x v="0"/>
    <x v="2"/>
    <s v="DM101"/>
    <x v="2"/>
    <n v="85499"/>
    <x v="16"/>
    <s v="Digial marketing"/>
  </r>
  <r>
    <n v="867"/>
    <s v="408-1981112"/>
    <s v="19811"/>
    <x v="0"/>
    <n v="34"/>
    <x v="125"/>
    <x v="4"/>
    <x v="0"/>
    <x v="1"/>
    <s v="UX401"/>
    <x v="4"/>
    <n v="67990"/>
    <x v="47"/>
    <s v="UI/UX Design"/>
  </r>
  <r>
    <n v="868"/>
    <s v="407-0466484"/>
    <s v="46648"/>
    <x v="0"/>
    <n v="60"/>
    <x v="125"/>
    <x v="4"/>
    <x v="0"/>
    <x v="2"/>
    <s v="DM101"/>
    <x v="2"/>
    <n v="85499"/>
    <x v="312"/>
    <s v="Digial marketing"/>
  </r>
  <r>
    <n v="869"/>
    <s v="406-8956959"/>
    <s v="89569"/>
    <x v="0"/>
    <n v="64"/>
    <x v="125"/>
    <x v="4"/>
    <x v="0"/>
    <x v="0"/>
    <s v="FSD103"/>
    <x v="3"/>
    <n v="109990"/>
    <x v="11"/>
    <s v="Full stack development"/>
  </r>
  <r>
    <n v="870"/>
    <s v="406-5382772"/>
    <s v="53827"/>
    <x v="0"/>
    <n v="25"/>
    <x v="125"/>
    <x v="4"/>
    <x v="0"/>
    <x v="1"/>
    <s v="DM101"/>
    <x v="2"/>
    <n v="85499"/>
    <x v="29"/>
    <s v="Digial marketing"/>
  </r>
  <r>
    <n v="871"/>
    <s v="403-4932796"/>
    <s v="49327"/>
    <x v="1"/>
    <n v="32"/>
    <x v="125"/>
    <x v="4"/>
    <x v="0"/>
    <x v="2"/>
    <s v="DA202"/>
    <x v="0"/>
    <n v="79999"/>
    <x v="62"/>
    <s v="Data analytics"/>
  </r>
  <r>
    <n v="872"/>
    <s v="404-4045577"/>
    <s v="40455"/>
    <x v="0"/>
    <n v="44"/>
    <x v="126"/>
    <x v="4"/>
    <x v="0"/>
    <x v="1"/>
    <s v="DA202"/>
    <x v="0"/>
    <n v="79999"/>
    <x v="313"/>
    <s v="Data analytics"/>
  </r>
  <r>
    <n v="873"/>
    <s v="404-0052519"/>
    <s v="52519"/>
    <x v="0"/>
    <n v="47"/>
    <x v="126"/>
    <x v="4"/>
    <x v="2"/>
    <x v="0"/>
    <s v="UX401"/>
    <x v="4"/>
    <n v="67990"/>
    <x v="15"/>
    <s v="UI/UX Design"/>
  </r>
  <r>
    <n v="874"/>
    <s v="171-0809863"/>
    <s v="80986"/>
    <x v="0"/>
    <n v="18"/>
    <x v="126"/>
    <x v="4"/>
    <x v="0"/>
    <x v="1"/>
    <s v="DM101"/>
    <x v="2"/>
    <n v="85499"/>
    <x v="314"/>
    <s v="Digial marketing"/>
  </r>
  <r>
    <n v="875"/>
    <s v="402-2786048"/>
    <s v="27860"/>
    <x v="0"/>
    <n v="22"/>
    <x v="126"/>
    <x v="4"/>
    <x v="0"/>
    <x v="1"/>
    <s v="DA202"/>
    <x v="0"/>
    <n v="79999"/>
    <x v="17"/>
    <s v="Data analytics"/>
  </r>
  <r>
    <n v="876"/>
    <s v="407-5228409"/>
    <s v="52284"/>
    <x v="0"/>
    <n v="60"/>
    <x v="126"/>
    <x v="4"/>
    <x v="0"/>
    <x v="0"/>
    <s v="DM101"/>
    <x v="2"/>
    <n v="85499"/>
    <x v="315"/>
    <s v="Digial marketing"/>
  </r>
  <r>
    <n v="877"/>
    <s v="404-8431406"/>
    <s v="84314"/>
    <x v="1"/>
    <n v="74"/>
    <x v="126"/>
    <x v="4"/>
    <x v="0"/>
    <x v="3"/>
    <s v="BA301"/>
    <x v="1"/>
    <n v="59999"/>
    <x v="56"/>
    <s v="Business analytics"/>
  </r>
  <r>
    <n v="878"/>
    <s v="403-1975260"/>
    <s v="19752"/>
    <x v="0"/>
    <n v="26"/>
    <x v="126"/>
    <x v="4"/>
    <x v="0"/>
    <x v="3"/>
    <s v="DA202"/>
    <x v="0"/>
    <n v="79999"/>
    <x v="16"/>
    <s v="Data analytics"/>
  </r>
  <r>
    <n v="879"/>
    <s v="402-8671948"/>
    <s v="86719"/>
    <x v="0"/>
    <n v="41"/>
    <x v="126"/>
    <x v="4"/>
    <x v="0"/>
    <x v="0"/>
    <s v="BA301"/>
    <x v="1"/>
    <n v="59999"/>
    <x v="1"/>
    <s v="Business analytics"/>
  </r>
  <r>
    <n v="880"/>
    <s v="404-2828069"/>
    <s v="28280"/>
    <x v="1"/>
    <n v="23"/>
    <x v="127"/>
    <x v="4"/>
    <x v="1"/>
    <x v="2"/>
    <s v="BA301"/>
    <x v="1"/>
    <n v="59999"/>
    <x v="15"/>
    <s v="Business analytics"/>
  </r>
  <r>
    <n v="881"/>
    <s v="406-3515042"/>
    <s v="35150"/>
    <x v="0"/>
    <n v="33"/>
    <x v="127"/>
    <x v="4"/>
    <x v="0"/>
    <x v="3"/>
    <s v="BA301"/>
    <x v="1"/>
    <n v="59999"/>
    <x v="316"/>
    <s v="Business analytics"/>
  </r>
  <r>
    <n v="882"/>
    <s v="404-9909852"/>
    <s v="99098"/>
    <x v="0"/>
    <n v="31"/>
    <x v="127"/>
    <x v="4"/>
    <x v="0"/>
    <x v="2"/>
    <s v="FSD103"/>
    <x v="3"/>
    <n v="109990"/>
    <x v="317"/>
    <s v="Full stack development"/>
  </r>
  <r>
    <n v="883"/>
    <s v="404-9257110"/>
    <s v="92571"/>
    <x v="0"/>
    <n v="23"/>
    <x v="127"/>
    <x v="4"/>
    <x v="0"/>
    <x v="1"/>
    <s v="DM101"/>
    <x v="2"/>
    <n v="85499"/>
    <x v="318"/>
    <s v="Digial marketing"/>
  </r>
  <r>
    <n v="884"/>
    <s v="171-3610689"/>
    <s v="36106"/>
    <x v="0"/>
    <n v="27"/>
    <x v="127"/>
    <x v="4"/>
    <x v="0"/>
    <x v="0"/>
    <s v="DM101"/>
    <x v="2"/>
    <n v="85499"/>
    <x v="205"/>
    <s v="Digial marketing"/>
  </r>
  <r>
    <n v="885"/>
    <s v="402-9599583"/>
    <s v="95995"/>
    <x v="1"/>
    <n v="21"/>
    <x v="127"/>
    <x v="4"/>
    <x v="0"/>
    <x v="6"/>
    <s v="BA301"/>
    <x v="1"/>
    <n v="59999"/>
    <x v="9"/>
    <s v="Business analytics"/>
  </r>
  <r>
    <n v="886"/>
    <s v="171-4514877"/>
    <s v="45148"/>
    <x v="0"/>
    <n v="22"/>
    <x v="127"/>
    <x v="4"/>
    <x v="0"/>
    <x v="0"/>
    <s v="DM101"/>
    <x v="2"/>
    <n v="85499"/>
    <x v="24"/>
    <s v="Digial marketing"/>
  </r>
  <r>
    <n v="887"/>
    <s v="403-5723201"/>
    <s v="57232"/>
    <x v="1"/>
    <n v="64"/>
    <x v="128"/>
    <x v="4"/>
    <x v="0"/>
    <x v="2"/>
    <s v="DM101"/>
    <x v="2"/>
    <n v="85499"/>
    <x v="16"/>
    <s v="Digial marketing"/>
  </r>
  <r>
    <n v="888"/>
    <s v="407-6931824"/>
    <s v="69318"/>
    <x v="0"/>
    <n v="65"/>
    <x v="128"/>
    <x v="4"/>
    <x v="2"/>
    <x v="1"/>
    <s v="DM101"/>
    <x v="2"/>
    <n v="85499"/>
    <x v="319"/>
    <s v="Digial marketing"/>
  </r>
  <r>
    <n v="889"/>
    <s v="405-3493067"/>
    <s v="34930"/>
    <x v="0"/>
    <n v="18"/>
    <x v="128"/>
    <x v="4"/>
    <x v="0"/>
    <x v="1"/>
    <s v="DA202"/>
    <x v="0"/>
    <n v="79999"/>
    <x v="56"/>
    <s v="Data analytics"/>
  </r>
  <r>
    <n v="890"/>
    <s v="402-8579787"/>
    <s v="85797"/>
    <x v="0"/>
    <n v="32"/>
    <x v="128"/>
    <x v="4"/>
    <x v="0"/>
    <x v="0"/>
    <s v="DA202"/>
    <x v="0"/>
    <n v="79999"/>
    <x v="147"/>
    <s v="Data analytics"/>
  </r>
  <r>
    <n v="891"/>
    <s v="404-5556380"/>
    <s v="55563"/>
    <x v="0"/>
    <n v="60"/>
    <x v="128"/>
    <x v="4"/>
    <x v="0"/>
    <x v="0"/>
    <s v="UX401"/>
    <x v="4"/>
    <n v="67990"/>
    <x v="320"/>
    <s v="UI/UX Design"/>
  </r>
  <r>
    <n v="892"/>
    <s v="405-1542926"/>
    <s v="15429"/>
    <x v="1"/>
    <n v="38"/>
    <x v="128"/>
    <x v="4"/>
    <x v="0"/>
    <x v="4"/>
    <s v="DA202"/>
    <x v="0"/>
    <n v="79999"/>
    <x v="29"/>
    <s v="Data analytics"/>
  </r>
  <r>
    <n v="893"/>
    <s v="404-0847500"/>
    <s v="84750"/>
    <x v="1"/>
    <n v="32"/>
    <x v="128"/>
    <x v="4"/>
    <x v="0"/>
    <x v="3"/>
    <s v="DA202"/>
    <x v="0"/>
    <n v="79999"/>
    <x v="321"/>
    <s v="Data analytics"/>
  </r>
  <r>
    <n v="894"/>
    <s v="406-9367227"/>
    <s v="93672"/>
    <x v="0"/>
    <n v="40"/>
    <x v="129"/>
    <x v="4"/>
    <x v="0"/>
    <x v="5"/>
    <s v="DM101"/>
    <x v="2"/>
    <n v="85499"/>
    <x v="40"/>
    <s v="Digial marketing"/>
  </r>
  <r>
    <n v="895"/>
    <s v="408-2541939"/>
    <s v="25419"/>
    <x v="1"/>
    <n v="37"/>
    <x v="129"/>
    <x v="4"/>
    <x v="2"/>
    <x v="1"/>
    <s v="BA301"/>
    <x v="1"/>
    <n v="59999"/>
    <x v="322"/>
    <s v="Business analytics"/>
  </r>
  <r>
    <n v="896"/>
    <s v="405-9529194"/>
    <s v="95291"/>
    <x v="0"/>
    <n v="38"/>
    <x v="129"/>
    <x v="4"/>
    <x v="0"/>
    <x v="1"/>
    <s v="BA301"/>
    <x v="1"/>
    <n v="59999"/>
    <x v="92"/>
    <s v="Business analytics"/>
  </r>
  <r>
    <n v="897"/>
    <s v="406-9743793"/>
    <s v="97437"/>
    <x v="0"/>
    <n v="27"/>
    <x v="129"/>
    <x v="4"/>
    <x v="0"/>
    <x v="1"/>
    <s v="DM101"/>
    <x v="2"/>
    <n v="85499"/>
    <x v="323"/>
    <s v="Digial marketing"/>
  </r>
  <r>
    <n v="898"/>
    <s v="403-0447001"/>
    <s v="44700"/>
    <x v="0"/>
    <n v="26"/>
    <x v="129"/>
    <x v="4"/>
    <x v="0"/>
    <x v="0"/>
    <s v="DA202"/>
    <x v="0"/>
    <n v="79999"/>
    <x v="35"/>
    <s v="Data analytics"/>
  </r>
  <r>
    <n v="899"/>
    <s v="402-4285615"/>
    <s v="42856"/>
    <x v="0"/>
    <n v="46"/>
    <x v="129"/>
    <x v="4"/>
    <x v="0"/>
    <x v="1"/>
    <s v="DM101"/>
    <x v="2"/>
    <n v="85499"/>
    <x v="122"/>
    <s v="Digial marketing"/>
  </r>
  <r>
    <n v="900"/>
    <s v="402-1039325"/>
    <s v="10393"/>
    <x v="0"/>
    <n v="27"/>
    <x v="129"/>
    <x v="4"/>
    <x v="0"/>
    <x v="2"/>
    <s v="DA202"/>
    <x v="0"/>
    <n v="79999"/>
    <x v="67"/>
    <s v="Data analytics"/>
  </r>
  <r>
    <n v="901"/>
    <s v="407-0979922"/>
    <s v="97992"/>
    <x v="0"/>
    <n v="49"/>
    <x v="130"/>
    <x v="4"/>
    <x v="0"/>
    <x v="5"/>
    <s v="DM101"/>
    <x v="2"/>
    <n v="85499"/>
    <x v="324"/>
    <s v="Digial marketing"/>
  </r>
  <r>
    <n v="902"/>
    <s v="405-9743690"/>
    <s v="97436"/>
    <x v="0"/>
    <n v="63"/>
    <x v="130"/>
    <x v="4"/>
    <x v="0"/>
    <x v="0"/>
    <s v="DM101"/>
    <x v="2"/>
    <n v="85499"/>
    <x v="22"/>
    <s v="Digial marketing"/>
  </r>
  <r>
    <n v="903"/>
    <s v="171-0367334"/>
    <s v="36733"/>
    <x v="0"/>
    <n v="29"/>
    <x v="130"/>
    <x v="4"/>
    <x v="0"/>
    <x v="1"/>
    <s v="DM101"/>
    <x v="2"/>
    <n v="85499"/>
    <x v="325"/>
    <s v="Digial marketing"/>
  </r>
  <r>
    <n v="904"/>
    <s v="404-6797073"/>
    <s v="67970"/>
    <x v="1"/>
    <n v="29"/>
    <x v="130"/>
    <x v="4"/>
    <x v="0"/>
    <x v="2"/>
    <s v="DM101"/>
    <x v="2"/>
    <n v="85499"/>
    <x v="326"/>
    <s v="Digial marketing"/>
  </r>
  <r>
    <n v="905"/>
    <s v="407-0623949"/>
    <s v="62394"/>
    <x v="0"/>
    <n v="31"/>
    <x v="130"/>
    <x v="4"/>
    <x v="0"/>
    <x v="2"/>
    <s v="DA202"/>
    <x v="0"/>
    <n v="79999"/>
    <x v="16"/>
    <s v="Data analytics"/>
  </r>
  <r>
    <n v="906"/>
    <s v="405-7447678"/>
    <s v="74476"/>
    <x v="1"/>
    <n v="30"/>
    <x v="130"/>
    <x v="4"/>
    <x v="0"/>
    <x v="0"/>
    <s v="BA301"/>
    <x v="1"/>
    <n v="59999"/>
    <x v="15"/>
    <s v="Business analytics"/>
  </r>
  <r>
    <n v="907"/>
    <s v="406-3525390"/>
    <s v="35253"/>
    <x v="1"/>
    <n v="61"/>
    <x v="130"/>
    <x v="4"/>
    <x v="0"/>
    <x v="2"/>
    <s v="DM101"/>
    <x v="2"/>
    <n v="85499"/>
    <x v="89"/>
    <s v="Digial marketing"/>
  </r>
  <r>
    <n v="908"/>
    <s v="403-1892966"/>
    <s v="18929"/>
    <x v="0"/>
    <n v="21"/>
    <x v="131"/>
    <x v="4"/>
    <x v="0"/>
    <x v="2"/>
    <s v="DA202"/>
    <x v="0"/>
    <n v="79999"/>
    <x v="32"/>
    <s v="Data analytics"/>
  </r>
  <r>
    <n v="909"/>
    <s v="402-2537379"/>
    <s v="25373"/>
    <x v="1"/>
    <n v="42"/>
    <x v="131"/>
    <x v="4"/>
    <x v="0"/>
    <x v="1"/>
    <s v="DM101"/>
    <x v="2"/>
    <n v="85499"/>
    <x v="228"/>
    <s v="Digial marketing"/>
  </r>
  <r>
    <n v="910"/>
    <s v="171-5605037"/>
    <s v="56050"/>
    <x v="0"/>
    <n v="20"/>
    <x v="131"/>
    <x v="4"/>
    <x v="0"/>
    <x v="1"/>
    <s v="DA202"/>
    <x v="0"/>
    <n v="79999"/>
    <x v="1"/>
    <s v="Data analytics"/>
  </r>
  <r>
    <n v="911"/>
    <s v="403-0905708"/>
    <s v="90570"/>
    <x v="1"/>
    <n v="21"/>
    <x v="131"/>
    <x v="4"/>
    <x v="0"/>
    <x v="1"/>
    <s v="DA202"/>
    <x v="0"/>
    <n v="79999"/>
    <x v="194"/>
    <s v="Data analytics"/>
  </r>
  <r>
    <n v="912"/>
    <s v="408-7060946"/>
    <s v="70609"/>
    <x v="0"/>
    <n v="32"/>
    <x v="131"/>
    <x v="4"/>
    <x v="2"/>
    <x v="0"/>
    <s v="DA202"/>
    <x v="0"/>
    <n v="79999"/>
    <x v="9"/>
    <s v="Data analytics"/>
  </r>
  <r>
    <n v="913"/>
    <s v="408-1602874"/>
    <s v="16028"/>
    <x v="1"/>
    <n v="39"/>
    <x v="131"/>
    <x v="4"/>
    <x v="0"/>
    <x v="1"/>
    <s v="BA301"/>
    <x v="1"/>
    <n v="59999"/>
    <x v="9"/>
    <s v="Business analytics"/>
  </r>
  <r>
    <n v="914"/>
    <s v="171-0203278"/>
    <s v="20327"/>
    <x v="0"/>
    <n v="31"/>
    <x v="131"/>
    <x v="4"/>
    <x v="0"/>
    <x v="0"/>
    <s v="DA202"/>
    <x v="0"/>
    <n v="79999"/>
    <x v="9"/>
    <s v="Data analytics"/>
  </r>
  <r>
    <n v="915"/>
    <s v="404-3685615"/>
    <s v="36856"/>
    <x v="0"/>
    <n v="42"/>
    <x v="131"/>
    <x v="4"/>
    <x v="0"/>
    <x v="1"/>
    <s v="UX401"/>
    <x v="4"/>
    <n v="67990"/>
    <x v="9"/>
    <s v="UI/UX Design"/>
  </r>
  <r>
    <n v="916"/>
    <s v="403-7657800"/>
    <s v="76578"/>
    <x v="1"/>
    <n v="49"/>
    <x v="131"/>
    <x v="4"/>
    <x v="0"/>
    <x v="2"/>
    <s v="BA301"/>
    <x v="1"/>
    <n v="59999"/>
    <x v="141"/>
    <s v="Business analytics"/>
  </r>
  <r>
    <n v="917"/>
    <s v="403-1928116"/>
    <s v="19281"/>
    <x v="0"/>
    <n v="69"/>
    <x v="131"/>
    <x v="4"/>
    <x v="0"/>
    <x v="3"/>
    <s v="DA202"/>
    <x v="0"/>
    <n v="79999"/>
    <x v="327"/>
    <s v="Data analytics"/>
  </r>
  <r>
    <n v="918"/>
    <s v="407-1324506"/>
    <s v="13245"/>
    <x v="1"/>
    <n v="33"/>
    <x v="131"/>
    <x v="4"/>
    <x v="0"/>
    <x v="2"/>
    <s v="DM101"/>
    <x v="2"/>
    <n v="85499"/>
    <x v="167"/>
    <s v="Digial marketing"/>
  </r>
  <r>
    <n v="919"/>
    <s v="408-5696336"/>
    <s v="56963"/>
    <x v="0"/>
    <n v="29"/>
    <x v="131"/>
    <x v="4"/>
    <x v="0"/>
    <x v="5"/>
    <s v="DM101"/>
    <x v="2"/>
    <n v="85499"/>
    <x v="2"/>
    <s v="Digial marketing"/>
  </r>
  <r>
    <n v="920"/>
    <s v="406-1215516"/>
    <s v="12155"/>
    <x v="0"/>
    <n v="67"/>
    <x v="132"/>
    <x v="4"/>
    <x v="0"/>
    <x v="3"/>
    <s v="DM101"/>
    <x v="2"/>
    <n v="85499"/>
    <x v="328"/>
    <s v="Digial marketing"/>
  </r>
  <r>
    <n v="921"/>
    <s v="407-8773331"/>
    <s v="87733"/>
    <x v="0"/>
    <n v="33"/>
    <x v="132"/>
    <x v="4"/>
    <x v="0"/>
    <x v="1"/>
    <s v="CC002"/>
    <x v="7"/>
    <n v="99990"/>
    <x v="329"/>
    <s v="Cloud Computing"/>
  </r>
  <r>
    <n v="922"/>
    <s v="408-7198319"/>
    <s v="71983"/>
    <x v="0"/>
    <n v="37"/>
    <x v="132"/>
    <x v="4"/>
    <x v="0"/>
    <x v="2"/>
    <s v="FSD103"/>
    <x v="3"/>
    <n v="109990"/>
    <x v="216"/>
    <s v="Full stack development"/>
  </r>
  <r>
    <n v="923"/>
    <s v="403-6586245"/>
    <s v="65862"/>
    <x v="0"/>
    <n v="43"/>
    <x v="132"/>
    <x v="4"/>
    <x v="0"/>
    <x v="2"/>
    <s v="DA202"/>
    <x v="0"/>
    <n v="79999"/>
    <x v="128"/>
    <s v="Data analytics"/>
  </r>
  <r>
    <n v="924"/>
    <s v="171-2313473"/>
    <s v="23134"/>
    <x v="1"/>
    <n v="27"/>
    <x v="132"/>
    <x v="4"/>
    <x v="0"/>
    <x v="1"/>
    <s v="BA301"/>
    <x v="1"/>
    <n v="59999"/>
    <x v="7"/>
    <s v="Business analytics"/>
  </r>
  <r>
    <n v="925"/>
    <s v="404-2570517"/>
    <s v="25705"/>
    <x v="0"/>
    <n v="42"/>
    <x v="133"/>
    <x v="4"/>
    <x v="0"/>
    <x v="3"/>
    <s v="FSD103"/>
    <x v="3"/>
    <n v="109990"/>
    <x v="5"/>
    <s v="Full stack development"/>
  </r>
  <r>
    <n v="926"/>
    <s v="403-5661802"/>
    <s v="56618"/>
    <x v="0"/>
    <n v="47"/>
    <x v="133"/>
    <x v="4"/>
    <x v="0"/>
    <x v="0"/>
    <s v="FSD103"/>
    <x v="3"/>
    <n v="109990"/>
    <x v="24"/>
    <s v="Full stack development"/>
  </r>
  <r>
    <n v="927"/>
    <s v="405-7015711"/>
    <s v="70157"/>
    <x v="0"/>
    <n v="28"/>
    <x v="133"/>
    <x v="4"/>
    <x v="0"/>
    <x v="1"/>
    <s v="FSD103"/>
    <x v="3"/>
    <n v="109990"/>
    <x v="17"/>
    <s v="Full stack development"/>
  </r>
  <r>
    <n v="928"/>
    <s v="402-5002743"/>
    <s v="50027"/>
    <x v="0"/>
    <n v="61"/>
    <x v="133"/>
    <x v="4"/>
    <x v="0"/>
    <x v="0"/>
    <s v="DM101"/>
    <x v="2"/>
    <n v="85499"/>
    <x v="49"/>
    <s v="Digial marketing"/>
  </r>
  <r>
    <n v="929"/>
    <s v="406-8178573"/>
    <s v="81785"/>
    <x v="0"/>
    <n v="34"/>
    <x v="133"/>
    <x v="4"/>
    <x v="0"/>
    <x v="0"/>
    <s v="DA202"/>
    <x v="0"/>
    <n v="79999"/>
    <x v="189"/>
    <s v="Data analytics"/>
  </r>
  <r>
    <n v="930"/>
    <s v="405-0419425"/>
    <s v="41942"/>
    <x v="1"/>
    <n v="38"/>
    <x v="133"/>
    <x v="4"/>
    <x v="0"/>
    <x v="6"/>
    <s v="BA301"/>
    <x v="1"/>
    <n v="59999"/>
    <x v="56"/>
    <s v="Business analytics"/>
  </r>
  <r>
    <n v="931"/>
    <s v="171-2899135"/>
    <s v="28991"/>
    <x v="1"/>
    <n v="41"/>
    <x v="133"/>
    <x v="4"/>
    <x v="1"/>
    <x v="1"/>
    <s v="DA202"/>
    <x v="0"/>
    <n v="79999"/>
    <x v="16"/>
    <s v="Data analytics"/>
  </r>
  <r>
    <n v="932"/>
    <s v="408-6964619"/>
    <s v="69646"/>
    <x v="0"/>
    <n v="43"/>
    <x v="134"/>
    <x v="4"/>
    <x v="0"/>
    <x v="1"/>
    <s v="DM101"/>
    <x v="2"/>
    <n v="85499"/>
    <x v="330"/>
    <s v="Digial marketing"/>
  </r>
  <r>
    <n v="933"/>
    <s v="403-5419805"/>
    <s v="54198"/>
    <x v="0"/>
    <n v="35"/>
    <x v="134"/>
    <x v="4"/>
    <x v="0"/>
    <x v="2"/>
    <s v="BA301"/>
    <x v="1"/>
    <n v="59999"/>
    <x v="9"/>
    <s v="Business analytics"/>
  </r>
  <r>
    <n v="934"/>
    <s v="406-1261188"/>
    <s v="12611"/>
    <x v="1"/>
    <n v="46"/>
    <x v="134"/>
    <x v="4"/>
    <x v="0"/>
    <x v="1"/>
    <s v="DA202"/>
    <x v="0"/>
    <n v="79999"/>
    <x v="329"/>
    <s v="Data analytics"/>
  </r>
  <r>
    <n v="935"/>
    <s v="406-2240728"/>
    <s v="22407"/>
    <x v="0"/>
    <n v="43"/>
    <x v="134"/>
    <x v="4"/>
    <x v="0"/>
    <x v="2"/>
    <s v="DA202"/>
    <x v="0"/>
    <n v="79999"/>
    <x v="102"/>
    <s v="Data analytics"/>
  </r>
  <r>
    <n v="936"/>
    <s v="403-1882157"/>
    <s v="18821"/>
    <x v="0"/>
    <n v="53"/>
    <x v="134"/>
    <x v="4"/>
    <x v="0"/>
    <x v="0"/>
    <s v="DA202"/>
    <x v="0"/>
    <n v="79999"/>
    <x v="15"/>
    <s v="Data analytics"/>
  </r>
  <r>
    <n v="937"/>
    <s v="405-8801309"/>
    <s v="88013"/>
    <x v="1"/>
    <n v="26"/>
    <x v="134"/>
    <x v="4"/>
    <x v="0"/>
    <x v="5"/>
    <s v="UX401"/>
    <x v="4"/>
    <n v="67990"/>
    <x v="1"/>
    <s v="UI/UX Design"/>
  </r>
  <r>
    <n v="938"/>
    <s v="408-8090411"/>
    <s v="80904"/>
    <x v="0"/>
    <n v="20"/>
    <x v="134"/>
    <x v="4"/>
    <x v="0"/>
    <x v="0"/>
    <s v="BA301"/>
    <x v="1"/>
    <n v="59999"/>
    <x v="15"/>
    <s v="Business analytics"/>
  </r>
  <r>
    <n v="939"/>
    <s v="407-2181646"/>
    <s v="21816"/>
    <x v="1"/>
    <n v="54"/>
    <x v="134"/>
    <x v="4"/>
    <x v="0"/>
    <x v="0"/>
    <s v="DM101"/>
    <x v="2"/>
    <n v="85499"/>
    <x v="16"/>
    <s v="Digial marketing"/>
  </r>
  <r>
    <n v="940"/>
    <s v="404-0981561"/>
    <s v="98156"/>
    <x v="0"/>
    <n v="46"/>
    <x v="135"/>
    <x v="4"/>
    <x v="0"/>
    <x v="0"/>
    <s v="DM101"/>
    <x v="2"/>
    <n v="85499"/>
    <x v="51"/>
    <s v="Digial marketing"/>
  </r>
  <r>
    <n v="941"/>
    <s v="406-5536210"/>
    <s v="55362"/>
    <x v="1"/>
    <n v="23"/>
    <x v="135"/>
    <x v="4"/>
    <x v="0"/>
    <x v="0"/>
    <s v="DM101"/>
    <x v="2"/>
    <n v="85499"/>
    <x v="3"/>
    <s v="Digial marketing"/>
  </r>
  <r>
    <n v="942"/>
    <s v="408-5456181"/>
    <s v="54561"/>
    <x v="1"/>
    <n v="40"/>
    <x v="135"/>
    <x v="4"/>
    <x v="1"/>
    <x v="2"/>
    <s v="DM101"/>
    <x v="2"/>
    <n v="85499"/>
    <x v="331"/>
    <s v="Digial marketing"/>
  </r>
  <r>
    <n v="943"/>
    <s v="171-0465115"/>
    <s v="46511"/>
    <x v="1"/>
    <n v="44"/>
    <x v="135"/>
    <x v="4"/>
    <x v="0"/>
    <x v="0"/>
    <s v="DM101"/>
    <x v="2"/>
    <n v="85499"/>
    <x v="329"/>
    <s v="Digial marketing"/>
  </r>
  <r>
    <n v="944"/>
    <s v="402-4381494"/>
    <s v="43814"/>
    <x v="0"/>
    <n v="46"/>
    <x v="135"/>
    <x v="4"/>
    <x v="0"/>
    <x v="6"/>
    <s v="DM101"/>
    <x v="2"/>
    <n v="85499"/>
    <x v="74"/>
    <s v="Digial marketing"/>
  </r>
  <r>
    <n v="945"/>
    <s v="403-8760277"/>
    <s v="87602"/>
    <x v="0"/>
    <n v="43"/>
    <x v="135"/>
    <x v="4"/>
    <x v="2"/>
    <x v="4"/>
    <s v="DA202"/>
    <x v="0"/>
    <n v="79999"/>
    <x v="75"/>
    <s v="Data analytics"/>
  </r>
  <r>
    <n v="946"/>
    <s v="408-0303033"/>
    <s v="30303"/>
    <x v="0"/>
    <n v="62"/>
    <x v="135"/>
    <x v="4"/>
    <x v="0"/>
    <x v="2"/>
    <s v="FSD103"/>
    <x v="3"/>
    <n v="109990"/>
    <x v="3"/>
    <s v="Full stack development"/>
  </r>
  <r>
    <n v="947"/>
    <s v="406-8925645"/>
    <s v="89256"/>
    <x v="1"/>
    <n v="39"/>
    <x v="135"/>
    <x v="4"/>
    <x v="0"/>
    <x v="5"/>
    <s v="BA301"/>
    <x v="1"/>
    <n v="59999"/>
    <x v="332"/>
    <s v="Business analytics"/>
  </r>
  <r>
    <n v="948"/>
    <s v="171-2532248"/>
    <s v="25322"/>
    <x v="0"/>
    <n v="42"/>
    <x v="135"/>
    <x v="4"/>
    <x v="0"/>
    <x v="1"/>
    <s v="DM101"/>
    <x v="2"/>
    <n v="85499"/>
    <x v="15"/>
    <s v="Digial marketing"/>
  </r>
  <r>
    <n v="949"/>
    <s v="404-3592328"/>
    <s v="35923"/>
    <x v="1"/>
    <n v="62"/>
    <x v="135"/>
    <x v="4"/>
    <x v="0"/>
    <x v="1"/>
    <s v="DM101"/>
    <x v="2"/>
    <n v="85499"/>
    <x v="279"/>
    <s v="Digial marketing"/>
  </r>
  <r>
    <n v="950"/>
    <s v="405-8559960"/>
    <s v="85599"/>
    <x v="0"/>
    <n v="29"/>
    <x v="136"/>
    <x v="4"/>
    <x v="0"/>
    <x v="2"/>
    <s v="DM101"/>
    <x v="2"/>
    <n v="85499"/>
    <x v="174"/>
    <s v="Digial marketing"/>
  </r>
  <r>
    <n v="951"/>
    <s v="407-3367020"/>
    <s v="33670"/>
    <x v="0"/>
    <n v="44"/>
    <x v="136"/>
    <x v="4"/>
    <x v="0"/>
    <x v="4"/>
    <s v="DM101"/>
    <x v="2"/>
    <n v="85499"/>
    <x v="333"/>
    <s v="Digial marketing"/>
  </r>
  <r>
    <n v="952"/>
    <s v="404-7104760"/>
    <s v="71047"/>
    <x v="0"/>
    <n v="48"/>
    <x v="136"/>
    <x v="4"/>
    <x v="0"/>
    <x v="1"/>
    <s v="BA301"/>
    <x v="1"/>
    <n v="59999"/>
    <x v="3"/>
    <s v="Business analytics"/>
  </r>
  <r>
    <n v="953"/>
    <s v="407-2405614"/>
    <s v="24056"/>
    <x v="0"/>
    <n v="78"/>
    <x v="136"/>
    <x v="4"/>
    <x v="0"/>
    <x v="0"/>
    <s v="DM101"/>
    <x v="2"/>
    <n v="85499"/>
    <x v="16"/>
    <s v="Digial marketing"/>
  </r>
  <r>
    <n v="954"/>
    <s v="403-1094060"/>
    <s v="10940"/>
    <x v="0"/>
    <n v="24"/>
    <x v="136"/>
    <x v="4"/>
    <x v="0"/>
    <x v="2"/>
    <s v="DM101"/>
    <x v="2"/>
    <n v="85499"/>
    <x v="334"/>
    <s v="Digial marketing"/>
  </r>
  <r>
    <n v="955"/>
    <s v="402-8750917"/>
    <s v="87509"/>
    <x v="1"/>
    <n v="27"/>
    <x v="136"/>
    <x v="4"/>
    <x v="0"/>
    <x v="0"/>
    <s v="BA301"/>
    <x v="1"/>
    <n v="59999"/>
    <x v="3"/>
    <s v="Business analytics"/>
  </r>
  <r>
    <n v="956"/>
    <s v="403-7447461"/>
    <s v="74474"/>
    <x v="0"/>
    <n v="26"/>
    <x v="136"/>
    <x v="4"/>
    <x v="0"/>
    <x v="2"/>
    <s v="DM101"/>
    <x v="2"/>
    <n v="85499"/>
    <x v="47"/>
    <s v="Digial marketing"/>
  </r>
  <r>
    <n v="957"/>
    <s v="408-9365241"/>
    <s v="93652"/>
    <x v="0"/>
    <n v="34"/>
    <x v="137"/>
    <x v="4"/>
    <x v="0"/>
    <x v="2"/>
    <s v="DM101"/>
    <x v="2"/>
    <n v="85499"/>
    <x v="100"/>
    <s v="Digial marketing"/>
  </r>
  <r>
    <n v="958"/>
    <s v="403-6800003"/>
    <s v="68000"/>
    <x v="0"/>
    <n v="40"/>
    <x v="137"/>
    <x v="4"/>
    <x v="0"/>
    <x v="0"/>
    <s v="DA202"/>
    <x v="0"/>
    <n v="79999"/>
    <x v="335"/>
    <s v="Data analytics"/>
  </r>
  <r>
    <n v="959"/>
    <s v="408-1944109"/>
    <s v="19441"/>
    <x v="0"/>
    <n v="30"/>
    <x v="137"/>
    <x v="4"/>
    <x v="0"/>
    <x v="0"/>
    <s v="DA202"/>
    <x v="0"/>
    <n v="79999"/>
    <x v="17"/>
    <s v="Data analytics"/>
  </r>
  <r>
    <n v="960"/>
    <s v="402-8025759"/>
    <s v="80257"/>
    <x v="0"/>
    <n v="37"/>
    <x v="137"/>
    <x v="4"/>
    <x v="0"/>
    <x v="2"/>
    <s v="DM101"/>
    <x v="2"/>
    <n v="85499"/>
    <x v="167"/>
    <s v="Digial marketing"/>
  </r>
  <r>
    <n v="961"/>
    <s v="405-0859168"/>
    <s v="85916"/>
    <x v="0"/>
    <n v="60"/>
    <x v="137"/>
    <x v="4"/>
    <x v="0"/>
    <x v="1"/>
    <s v="DM101"/>
    <x v="2"/>
    <n v="85499"/>
    <x v="3"/>
    <s v="Digial marketing"/>
  </r>
  <r>
    <n v="962"/>
    <s v="402-8503995"/>
    <s v="85039"/>
    <x v="0"/>
    <n v="22"/>
    <x v="137"/>
    <x v="4"/>
    <x v="0"/>
    <x v="0"/>
    <s v="DA202"/>
    <x v="0"/>
    <n v="79999"/>
    <x v="29"/>
    <s v="Data analytics"/>
  </r>
  <r>
    <n v="963"/>
    <s v="405-3172282"/>
    <s v="31722"/>
    <x v="0"/>
    <n v="26"/>
    <x v="137"/>
    <x v="4"/>
    <x v="0"/>
    <x v="0"/>
    <s v="DA202"/>
    <x v="0"/>
    <n v="79999"/>
    <x v="94"/>
    <s v="Data analytics"/>
  </r>
  <r>
    <n v="964"/>
    <s v="408-5605229"/>
    <s v="56052"/>
    <x v="0"/>
    <n v="44"/>
    <x v="137"/>
    <x v="4"/>
    <x v="0"/>
    <x v="0"/>
    <s v="UX401"/>
    <x v="4"/>
    <n v="67990"/>
    <x v="94"/>
    <s v="UI/UX Design"/>
  </r>
  <r>
    <n v="965"/>
    <s v="403-3027802"/>
    <s v="30278"/>
    <x v="0"/>
    <n v="40"/>
    <x v="137"/>
    <x v="4"/>
    <x v="0"/>
    <x v="1"/>
    <s v="DM101"/>
    <x v="2"/>
    <n v="85499"/>
    <x v="29"/>
    <s v="Digial marketing"/>
  </r>
  <r>
    <n v="966"/>
    <s v="171-6808007"/>
    <s v="68080"/>
    <x v="0"/>
    <n v="70"/>
    <x v="137"/>
    <x v="4"/>
    <x v="0"/>
    <x v="1"/>
    <s v="DA202"/>
    <x v="0"/>
    <n v="79999"/>
    <x v="35"/>
    <s v="Data analytics"/>
  </r>
  <r>
    <n v="967"/>
    <s v="171-0434018"/>
    <s v="43401"/>
    <x v="0"/>
    <n v="20"/>
    <x v="138"/>
    <x v="4"/>
    <x v="0"/>
    <x v="1"/>
    <s v="DA202"/>
    <x v="0"/>
    <n v="79999"/>
    <x v="240"/>
    <s v="Data analytics"/>
  </r>
  <r>
    <n v="968"/>
    <s v="404-4418252"/>
    <s v="44182"/>
    <x v="0"/>
    <n v="33"/>
    <x v="138"/>
    <x v="4"/>
    <x v="0"/>
    <x v="1"/>
    <s v="DA202"/>
    <x v="0"/>
    <n v="79999"/>
    <x v="25"/>
    <s v="Data analytics"/>
  </r>
  <r>
    <n v="969"/>
    <s v="171-9155153"/>
    <s v="91551"/>
    <x v="1"/>
    <n v="35"/>
    <x v="138"/>
    <x v="4"/>
    <x v="0"/>
    <x v="5"/>
    <s v="DA202"/>
    <x v="0"/>
    <n v="79999"/>
    <x v="75"/>
    <s v="Data analytics"/>
  </r>
  <r>
    <n v="970"/>
    <s v="408-3324427"/>
    <s v="33244"/>
    <x v="0"/>
    <n v="24"/>
    <x v="138"/>
    <x v="4"/>
    <x v="0"/>
    <x v="0"/>
    <s v="DM101"/>
    <x v="2"/>
    <n v="85499"/>
    <x v="48"/>
    <s v="Digial marketing"/>
  </r>
  <r>
    <n v="971"/>
    <s v="404-7352236"/>
    <s v="73522"/>
    <x v="0"/>
    <n v="75"/>
    <x v="138"/>
    <x v="4"/>
    <x v="0"/>
    <x v="1"/>
    <s v="DM101"/>
    <x v="2"/>
    <n v="85499"/>
    <x v="336"/>
    <s v="Digial marketing"/>
  </r>
  <r>
    <n v="972"/>
    <s v="408-9760962"/>
    <s v="97609"/>
    <x v="0"/>
    <n v="60"/>
    <x v="138"/>
    <x v="4"/>
    <x v="0"/>
    <x v="2"/>
    <s v="DM101"/>
    <x v="2"/>
    <n v="85499"/>
    <x v="49"/>
    <s v="Digial marketing"/>
  </r>
  <r>
    <n v="973"/>
    <s v="171-8779858"/>
    <s v="87798"/>
    <x v="0"/>
    <n v="23"/>
    <x v="138"/>
    <x v="4"/>
    <x v="0"/>
    <x v="1"/>
    <s v="BA301"/>
    <x v="1"/>
    <n v="59999"/>
    <x v="9"/>
    <s v="Business analytics"/>
  </r>
  <r>
    <n v="974"/>
    <s v="405-3702038"/>
    <s v="37020"/>
    <x v="0"/>
    <n v="26"/>
    <x v="138"/>
    <x v="4"/>
    <x v="0"/>
    <x v="1"/>
    <s v="DA202"/>
    <x v="0"/>
    <n v="79999"/>
    <x v="103"/>
    <s v="Data analytics"/>
  </r>
  <r>
    <n v="975"/>
    <s v="171-2621999"/>
    <s v="26219"/>
    <x v="0"/>
    <n v="28"/>
    <x v="139"/>
    <x v="4"/>
    <x v="1"/>
    <x v="5"/>
    <s v="DA202"/>
    <x v="0"/>
    <n v="79999"/>
    <x v="337"/>
    <s v="Data analytics"/>
  </r>
  <r>
    <n v="976"/>
    <s v="406-3157796"/>
    <s v="31577"/>
    <x v="0"/>
    <n v="25"/>
    <x v="139"/>
    <x v="4"/>
    <x v="0"/>
    <x v="4"/>
    <s v="DA202"/>
    <x v="0"/>
    <n v="79999"/>
    <x v="3"/>
    <s v="Data analytics"/>
  </r>
  <r>
    <n v="977"/>
    <s v="403-4546467"/>
    <s v="45464"/>
    <x v="0"/>
    <n v="19"/>
    <x v="139"/>
    <x v="4"/>
    <x v="0"/>
    <x v="1"/>
    <s v="UX401"/>
    <x v="4"/>
    <n v="67990"/>
    <x v="95"/>
    <s v="UI/UX Design"/>
  </r>
  <r>
    <n v="978"/>
    <s v="406-1880547"/>
    <s v="18805"/>
    <x v="0"/>
    <n v="54"/>
    <x v="139"/>
    <x v="4"/>
    <x v="0"/>
    <x v="2"/>
    <s v="DA202"/>
    <x v="0"/>
    <n v="79999"/>
    <x v="16"/>
    <s v="Data analytics"/>
  </r>
  <r>
    <n v="979"/>
    <s v="403-0904304"/>
    <s v="90430"/>
    <x v="1"/>
    <n v="45"/>
    <x v="139"/>
    <x v="4"/>
    <x v="0"/>
    <x v="1"/>
    <s v="BA301"/>
    <x v="1"/>
    <n v="59999"/>
    <x v="29"/>
    <s v="Business analytics"/>
  </r>
  <r>
    <n v="980"/>
    <s v="402-1685615"/>
    <s v="16856"/>
    <x v="0"/>
    <n v="49"/>
    <x v="139"/>
    <x v="4"/>
    <x v="0"/>
    <x v="0"/>
    <s v="FSD103"/>
    <x v="3"/>
    <n v="109990"/>
    <x v="338"/>
    <s v="Full stack development"/>
  </r>
  <r>
    <n v="981"/>
    <s v="404-9429472"/>
    <s v="94294"/>
    <x v="0"/>
    <n v="46"/>
    <x v="139"/>
    <x v="4"/>
    <x v="0"/>
    <x v="3"/>
    <s v="BA301"/>
    <x v="1"/>
    <n v="59999"/>
    <x v="9"/>
    <s v="Business analytics"/>
  </r>
  <r>
    <n v="982"/>
    <s v="406-6721093"/>
    <s v="67210"/>
    <x v="1"/>
    <n v="60"/>
    <x v="139"/>
    <x v="4"/>
    <x v="0"/>
    <x v="1"/>
    <s v="BA301"/>
    <x v="1"/>
    <n v="59999"/>
    <x v="339"/>
    <s v="Business analytics"/>
  </r>
  <r>
    <n v="983"/>
    <s v="171-6289109"/>
    <s v="62891"/>
    <x v="1"/>
    <n v="34"/>
    <x v="139"/>
    <x v="4"/>
    <x v="0"/>
    <x v="0"/>
    <s v="BA301"/>
    <x v="1"/>
    <n v="59999"/>
    <x v="5"/>
    <s v="Business analytics"/>
  </r>
  <r>
    <n v="984"/>
    <s v="408-1514350"/>
    <s v="15143"/>
    <x v="0"/>
    <n v="78"/>
    <x v="139"/>
    <x v="4"/>
    <x v="0"/>
    <x v="0"/>
    <s v="DM101"/>
    <x v="2"/>
    <n v="85499"/>
    <x v="9"/>
    <s v="Digial marketing"/>
  </r>
  <r>
    <n v="985"/>
    <s v="403-8161067"/>
    <s v="81610"/>
    <x v="0"/>
    <n v="34"/>
    <x v="139"/>
    <x v="4"/>
    <x v="0"/>
    <x v="0"/>
    <s v="FSD103"/>
    <x v="3"/>
    <n v="109990"/>
    <x v="39"/>
    <s v="Full stack development"/>
  </r>
  <r>
    <n v="986"/>
    <s v="404-4307984"/>
    <s v="43079"/>
    <x v="1"/>
    <n v="41"/>
    <x v="140"/>
    <x v="4"/>
    <x v="0"/>
    <x v="1"/>
    <s v="DA202"/>
    <x v="0"/>
    <n v="79999"/>
    <x v="16"/>
    <s v="Data analytics"/>
  </r>
  <r>
    <n v="987"/>
    <s v="407-8096094"/>
    <s v="80960"/>
    <x v="1"/>
    <n v="36"/>
    <x v="140"/>
    <x v="4"/>
    <x v="0"/>
    <x v="4"/>
    <s v="DA202"/>
    <x v="0"/>
    <n v="79999"/>
    <x v="3"/>
    <s v="Data analytics"/>
  </r>
  <r>
    <n v="988"/>
    <s v="403-6589561"/>
    <s v="65895"/>
    <x v="0"/>
    <n v="38"/>
    <x v="140"/>
    <x v="4"/>
    <x v="0"/>
    <x v="3"/>
    <s v="DM101"/>
    <x v="2"/>
    <n v="85499"/>
    <x v="35"/>
    <s v="Digial marketing"/>
  </r>
  <r>
    <n v="989"/>
    <s v="407-2044466"/>
    <s v="20444"/>
    <x v="0"/>
    <n v="26"/>
    <x v="140"/>
    <x v="4"/>
    <x v="0"/>
    <x v="1"/>
    <s v="DA202"/>
    <x v="0"/>
    <n v="79999"/>
    <x v="20"/>
    <s v="Data analytics"/>
  </r>
  <r>
    <n v="990"/>
    <s v="408-2098982"/>
    <s v="20989"/>
    <x v="0"/>
    <n v="34"/>
    <x v="140"/>
    <x v="4"/>
    <x v="0"/>
    <x v="6"/>
    <s v="DA202"/>
    <x v="0"/>
    <n v="79999"/>
    <x v="35"/>
    <s v="Data analytics"/>
  </r>
  <r>
    <n v="991"/>
    <s v="402-5801279"/>
    <s v="58012"/>
    <x v="0"/>
    <n v="47"/>
    <x v="140"/>
    <x v="4"/>
    <x v="0"/>
    <x v="2"/>
    <s v="BA301"/>
    <x v="1"/>
    <n v="59999"/>
    <x v="9"/>
    <s v="Business analytics"/>
  </r>
  <r>
    <n v="992"/>
    <s v="407-9256485"/>
    <s v="92564"/>
    <x v="0"/>
    <n v="48"/>
    <x v="141"/>
    <x v="4"/>
    <x v="2"/>
    <x v="1"/>
    <s v="DA202"/>
    <x v="0"/>
    <n v="79999"/>
    <x v="3"/>
    <s v="Data analytics"/>
  </r>
  <r>
    <n v="993"/>
    <s v="405-3956242"/>
    <s v="39562"/>
    <x v="0"/>
    <n v="29"/>
    <x v="141"/>
    <x v="4"/>
    <x v="0"/>
    <x v="2"/>
    <s v="BA301"/>
    <x v="1"/>
    <n v="59999"/>
    <x v="80"/>
    <s v="Business analytics"/>
  </r>
  <r>
    <n v="994"/>
    <s v="403-3073058"/>
    <s v="30730"/>
    <x v="0"/>
    <n v="40"/>
    <x v="141"/>
    <x v="4"/>
    <x v="0"/>
    <x v="2"/>
    <s v="FSD103"/>
    <x v="3"/>
    <n v="109990"/>
    <x v="128"/>
    <s v="Full stack development"/>
  </r>
  <r>
    <n v="995"/>
    <s v="403-5455256"/>
    <s v="54552"/>
    <x v="1"/>
    <n v="20"/>
    <x v="141"/>
    <x v="4"/>
    <x v="0"/>
    <x v="1"/>
    <s v="DA202"/>
    <x v="0"/>
    <n v="79999"/>
    <x v="340"/>
    <s v="Data analytics"/>
  </r>
  <r>
    <n v="996"/>
    <s v="408-2135168"/>
    <s v="21351"/>
    <x v="0"/>
    <n v="45"/>
    <x v="141"/>
    <x v="4"/>
    <x v="0"/>
    <x v="2"/>
    <s v="DA202"/>
    <x v="0"/>
    <n v="79999"/>
    <x v="15"/>
    <s v="Data analytics"/>
  </r>
  <r>
    <n v="997"/>
    <s v="406-4299107"/>
    <s v="42991"/>
    <x v="0"/>
    <n v="30"/>
    <x v="141"/>
    <x v="4"/>
    <x v="0"/>
    <x v="1"/>
    <s v="BA301"/>
    <x v="1"/>
    <n v="59999"/>
    <x v="341"/>
    <s v="Business analytics"/>
  </r>
  <r>
    <n v="998"/>
    <s v="404-7263061"/>
    <s v="72630"/>
    <x v="0"/>
    <n v="40"/>
    <x v="141"/>
    <x v="4"/>
    <x v="0"/>
    <x v="5"/>
    <s v="DA202"/>
    <x v="0"/>
    <n v="79999"/>
    <x v="213"/>
    <s v="Data analytics"/>
  </r>
  <r>
    <n v="999"/>
    <s v="402-6957301"/>
    <s v="69573"/>
    <x v="1"/>
    <n v="42"/>
    <x v="142"/>
    <x v="4"/>
    <x v="0"/>
    <x v="1"/>
    <s v="DA202"/>
    <x v="0"/>
    <n v="79999"/>
    <x v="342"/>
    <s v="Data analytics"/>
  </r>
  <r>
    <n v="1000"/>
    <s v="408-6943125"/>
    <s v="69431"/>
    <x v="0"/>
    <n v="34"/>
    <x v="143"/>
    <x v="4"/>
    <x v="0"/>
    <x v="0"/>
    <s v="DA202"/>
    <x v="0"/>
    <n v="79999"/>
    <x v="343"/>
    <s v="Data analytics"/>
  </r>
  <r>
    <n v="1001"/>
    <s v="408-7945089"/>
    <s v="79450"/>
    <x v="0"/>
    <n v="39"/>
    <x v="143"/>
    <x v="4"/>
    <x v="0"/>
    <x v="0"/>
    <s v="DM101"/>
    <x v="2"/>
    <n v="85499"/>
    <x v="344"/>
    <s v="Digial marketing"/>
  </r>
  <r>
    <n v="1002"/>
    <s v="405-6120282"/>
    <s v="61202"/>
    <x v="0"/>
    <n v="75"/>
    <x v="143"/>
    <x v="4"/>
    <x v="0"/>
    <x v="0"/>
    <s v="DM101"/>
    <x v="2"/>
    <n v="85499"/>
    <x v="1"/>
    <s v="Digial marketing"/>
  </r>
  <r>
    <n v="1003"/>
    <s v="406-4704688"/>
    <s v="47046"/>
    <x v="0"/>
    <n v="20"/>
    <x v="143"/>
    <x v="4"/>
    <x v="0"/>
    <x v="0"/>
    <s v="FSD103"/>
    <x v="3"/>
    <n v="109990"/>
    <x v="345"/>
    <s v="Full stack development"/>
  </r>
  <r>
    <n v="1004"/>
    <s v="405-8575380"/>
    <s v="85753"/>
    <x v="0"/>
    <n v="27"/>
    <x v="143"/>
    <x v="4"/>
    <x v="0"/>
    <x v="2"/>
    <s v="DM101"/>
    <x v="2"/>
    <n v="85499"/>
    <x v="346"/>
    <s v="Digial marketing"/>
  </r>
  <r>
    <n v="1005"/>
    <s v="402-7744718"/>
    <s v="77447"/>
    <x v="0"/>
    <n v="34"/>
    <x v="143"/>
    <x v="4"/>
    <x v="2"/>
    <x v="2"/>
    <s v="FSD103"/>
    <x v="3"/>
    <n v="109990"/>
    <x v="15"/>
    <s v="Full stack development"/>
  </r>
  <r>
    <n v="1006"/>
    <s v="171-0602668"/>
    <s v="60266"/>
    <x v="0"/>
    <n v="78"/>
    <x v="143"/>
    <x v="4"/>
    <x v="0"/>
    <x v="0"/>
    <s v="DA202"/>
    <x v="0"/>
    <n v="79999"/>
    <x v="2"/>
    <s v="Data analytics"/>
  </r>
  <r>
    <n v="1007"/>
    <s v="406-9671356"/>
    <s v="96713"/>
    <x v="0"/>
    <n v="37"/>
    <x v="144"/>
    <x v="4"/>
    <x v="2"/>
    <x v="1"/>
    <s v="DM101"/>
    <x v="2"/>
    <n v="85499"/>
    <x v="347"/>
    <s v="Digial marketing"/>
  </r>
  <r>
    <n v="1008"/>
    <s v="402-8421587"/>
    <s v="84215"/>
    <x v="0"/>
    <n v="36"/>
    <x v="144"/>
    <x v="4"/>
    <x v="0"/>
    <x v="2"/>
    <s v="FSD103"/>
    <x v="3"/>
    <n v="109990"/>
    <x v="15"/>
    <s v="Full stack development"/>
  </r>
  <r>
    <n v="1009"/>
    <s v="406-7730259"/>
    <s v="77302"/>
    <x v="0"/>
    <n v="57"/>
    <x v="144"/>
    <x v="4"/>
    <x v="0"/>
    <x v="1"/>
    <s v="DM101"/>
    <x v="2"/>
    <n v="85499"/>
    <x v="9"/>
    <s v="Digial marketing"/>
  </r>
  <r>
    <n v="1010"/>
    <s v="408-8708936"/>
    <s v="87089"/>
    <x v="0"/>
    <n v="27"/>
    <x v="144"/>
    <x v="4"/>
    <x v="0"/>
    <x v="0"/>
    <s v="DA202"/>
    <x v="0"/>
    <n v="79999"/>
    <x v="103"/>
    <s v="Data analytics"/>
  </r>
  <r>
    <n v="1011"/>
    <s v="405-9334347"/>
    <s v="93343"/>
    <x v="0"/>
    <n v="51"/>
    <x v="144"/>
    <x v="4"/>
    <x v="2"/>
    <x v="1"/>
    <s v="DM101"/>
    <x v="2"/>
    <n v="85499"/>
    <x v="49"/>
    <s v="Digial marketing"/>
  </r>
  <r>
    <n v="1012"/>
    <s v="408-1168303"/>
    <s v="11683"/>
    <x v="0"/>
    <n v="49"/>
    <x v="144"/>
    <x v="4"/>
    <x v="0"/>
    <x v="2"/>
    <s v="DA202"/>
    <x v="0"/>
    <n v="79999"/>
    <x v="296"/>
    <s v="Data analytics"/>
  </r>
  <r>
    <n v="1013"/>
    <s v="408-5617123"/>
    <s v="56171"/>
    <x v="0"/>
    <n v="22"/>
    <x v="144"/>
    <x v="4"/>
    <x v="0"/>
    <x v="2"/>
    <s v="DA202"/>
    <x v="0"/>
    <n v="79999"/>
    <x v="49"/>
    <s v="Data analytics"/>
  </r>
  <r>
    <n v="1014"/>
    <s v="405-2348892"/>
    <s v="23488"/>
    <x v="0"/>
    <n v="35"/>
    <x v="145"/>
    <x v="4"/>
    <x v="0"/>
    <x v="0"/>
    <s v="DM101"/>
    <x v="2"/>
    <n v="85499"/>
    <x v="15"/>
    <s v="Digial marketing"/>
  </r>
  <r>
    <n v="1015"/>
    <s v="405-0226880"/>
    <s v="22688"/>
    <x v="0"/>
    <n v="68"/>
    <x v="145"/>
    <x v="4"/>
    <x v="2"/>
    <x v="2"/>
    <s v="DM101"/>
    <x v="2"/>
    <n v="85499"/>
    <x v="15"/>
    <s v="Digial marketing"/>
  </r>
  <r>
    <n v="1016"/>
    <s v="407-4547470"/>
    <s v="45474"/>
    <x v="0"/>
    <n v="39"/>
    <x v="145"/>
    <x v="4"/>
    <x v="0"/>
    <x v="2"/>
    <s v="DM101"/>
    <x v="2"/>
    <n v="85499"/>
    <x v="32"/>
    <s v="Digial marketing"/>
  </r>
  <r>
    <n v="1017"/>
    <s v="405-9902181"/>
    <s v="99021"/>
    <x v="1"/>
    <n v="38"/>
    <x v="145"/>
    <x v="4"/>
    <x v="0"/>
    <x v="2"/>
    <s v="DM101"/>
    <x v="2"/>
    <n v="85499"/>
    <x v="348"/>
    <s v="Digial marketing"/>
  </r>
  <r>
    <n v="1018"/>
    <s v="171-6529918"/>
    <s v="65299"/>
    <x v="1"/>
    <n v="52"/>
    <x v="145"/>
    <x v="4"/>
    <x v="0"/>
    <x v="3"/>
    <s v="DM101"/>
    <x v="2"/>
    <n v="85499"/>
    <x v="247"/>
    <s v="Digial marketing"/>
  </r>
  <r>
    <n v="1019"/>
    <s v="403-7647927"/>
    <s v="76479"/>
    <x v="0"/>
    <n v="26"/>
    <x v="145"/>
    <x v="4"/>
    <x v="2"/>
    <x v="1"/>
    <s v="UX401"/>
    <x v="4"/>
    <n v="67990"/>
    <x v="15"/>
    <s v="UI/UX Design"/>
  </r>
  <r>
    <n v="1020"/>
    <s v="407-6167384"/>
    <s v="61673"/>
    <x v="1"/>
    <n v="36"/>
    <x v="145"/>
    <x v="4"/>
    <x v="0"/>
    <x v="1"/>
    <s v="DA202"/>
    <x v="0"/>
    <n v="79999"/>
    <x v="17"/>
    <s v="Data analytics"/>
  </r>
  <r>
    <n v="1021"/>
    <s v="402-1325591"/>
    <s v="13255"/>
    <x v="1"/>
    <n v="44"/>
    <x v="145"/>
    <x v="4"/>
    <x v="0"/>
    <x v="1"/>
    <s v="DA202"/>
    <x v="0"/>
    <n v="79999"/>
    <x v="3"/>
    <s v="Data analytics"/>
  </r>
  <r>
    <n v="1022"/>
    <s v="406-8393742"/>
    <s v="83937"/>
    <x v="0"/>
    <n v="57"/>
    <x v="145"/>
    <x v="4"/>
    <x v="0"/>
    <x v="5"/>
    <s v="DM101"/>
    <x v="2"/>
    <n v="85499"/>
    <x v="3"/>
    <s v="Digial marketing"/>
  </r>
  <r>
    <n v="1023"/>
    <s v="408-3614904"/>
    <s v="36149"/>
    <x v="0"/>
    <n v="24"/>
    <x v="145"/>
    <x v="4"/>
    <x v="0"/>
    <x v="5"/>
    <s v="BA301"/>
    <x v="1"/>
    <n v="59999"/>
    <x v="155"/>
    <s v="Business analytics"/>
  </r>
  <r>
    <n v="1024"/>
    <s v="407-0795671"/>
    <s v="79567"/>
    <x v="1"/>
    <n v="44"/>
    <x v="145"/>
    <x v="4"/>
    <x v="0"/>
    <x v="1"/>
    <s v="UX401"/>
    <x v="4"/>
    <n v="67990"/>
    <x v="32"/>
    <s v="UI/UX Design"/>
  </r>
  <r>
    <n v="1025"/>
    <s v="171-4154709"/>
    <s v="41547"/>
    <x v="1"/>
    <n v="74"/>
    <x v="146"/>
    <x v="4"/>
    <x v="0"/>
    <x v="0"/>
    <s v="DA202"/>
    <x v="0"/>
    <n v="79999"/>
    <x v="16"/>
    <s v="Data analytics"/>
  </r>
  <r>
    <n v="1026"/>
    <s v="405-6223141"/>
    <s v="62231"/>
    <x v="1"/>
    <n v="32"/>
    <x v="146"/>
    <x v="4"/>
    <x v="0"/>
    <x v="1"/>
    <s v="BA301"/>
    <x v="1"/>
    <n v="59999"/>
    <x v="92"/>
    <s v="Business analytics"/>
  </r>
  <r>
    <n v="1027"/>
    <s v="408-4621892"/>
    <s v="46218"/>
    <x v="0"/>
    <n v="57"/>
    <x v="146"/>
    <x v="4"/>
    <x v="0"/>
    <x v="2"/>
    <s v="DM101"/>
    <x v="2"/>
    <n v="85499"/>
    <x v="349"/>
    <s v="Digial marketing"/>
  </r>
  <r>
    <n v="1028"/>
    <s v="403-8312990"/>
    <s v="83129"/>
    <x v="0"/>
    <n v="28"/>
    <x v="146"/>
    <x v="4"/>
    <x v="0"/>
    <x v="4"/>
    <s v="BA301"/>
    <x v="1"/>
    <n v="59999"/>
    <x v="49"/>
    <s v="Business analytics"/>
  </r>
  <r>
    <n v="1029"/>
    <s v="403-8587279"/>
    <s v="85872"/>
    <x v="0"/>
    <n v="21"/>
    <x v="146"/>
    <x v="4"/>
    <x v="0"/>
    <x v="1"/>
    <s v="FSD103"/>
    <x v="3"/>
    <n v="109990"/>
    <x v="24"/>
    <s v="Full stack development"/>
  </r>
  <r>
    <n v="1030"/>
    <s v="403-9727765"/>
    <s v="97277"/>
    <x v="0"/>
    <n v="32"/>
    <x v="146"/>
    <x v="4"/>
    <x v="0"/>
    <x v="4"/>
    <s v="DA202"/>
    <x v="0"/>
    <n v="79999"/>
    <x v="3"/>
    <s v="Data analytics"/>
  </r>
  <r>
    <n v="1031"/>
    <s v="402-4632602"/>
    <s v="46326"/>
    <x v="0"/>
    <n v="18"/>
    <x v="146"/>
    <x v="4"/>
    <x v="0"/>
    <x v="4"/>
    <s v="DM101"/>
    <x v="2"/>
    <n v="85499"/>
    <x v="350"/>
    <s v="Digial marketing"/>
  </r>
  <r>
    <n v="1032"/>
    <s v="408-6092444"/>
    <s v="60924"/>
    <x v="0"/>
    <n v="48"/>
    <x v="146"/>
    <x v="4"/>
    <x v="0"/>
    <x v="1"/>
    <s v="BA301"/>
    <x v="1"/>
    <n v="59999"/>
    <x v="351"/>
    <s v="Business analytics"/>
  </r>
  <r>
    <n v="1033"/>
    <s v="404-9259456"/>
    <s v="92594"/>
    <x v="1"/>
    <n v="27"/>
    <x v="146"/>
    <x v="4"/>
    <x v="0"/>
    <x v="0"/>
    <s v="DM101"/>
    <x v="2"/>
    <n v="85499"/>
    <x v="243"/>
    <s v="Digial marketing"/>
  </r>
  <r>
    <n v="1034"/>
    <s v="405-7001770"/>
    <s v="70017"/>
    <x v="1"/>
    <n v="30"/>
    <x v="146"/>
    <x v="4"/>
    <x v="0"/>
    <x v="1"/>
    <s v="DA202"/>
    <x v="0"/>
    <n v="79999"/>
    <x v="89"/>
    <s v="Data analytics"/>
  </r>
  <r>
    <n v="1035"/>
    <s v="404-4721538"/>
    <s v="47215"/>
    <x v="1"/>
    <n v="25"/>
    <x v="147"/>
    <x v="4"/>
    <x v="0"/>
    <x v="2"/>
    <s v="DA202"/>
    <x v="0"/>
    <n v="79999"/>
    <x v="16"/>
    <s v="Data analytics"/>
  </r>
  <r>
    <n v="1036"/>
    <s v="407-2068657"/>
    <s v="20686"/>
    <x v="0"/>
    <n v="33"/>
    <x v="147"/>
    <x v="4"/>
    <x v="2"/>
    <x v="0"/>
    <s v="DM101"/>
    <x v="2"/>
    <n v="85499"/>
    <x v="125"/>
    <s v="Digial marketing"/>
  </r>
  <r>
    <n v="1037"/>
    <s v="408-5740133"/>
    <s v="57401"/>
    <x v="0"/>
    <n v="45"/>
    <x v="148"/>
    <x v="4"/>
    <x v="0"/>
    <x v="2"/>
    <s v="DA202"/>
    <x v="0"/>
    <n v="79999"/>
    <x v="15"/>
    <s v="Data analytics"/>
  </r>
  <r>
    <n v="1038"/>
    <s v="404-7397727"/>
    <s v="73977"/>
    <x v="0"/>
    <n v="65"/>
    <x v="148"/>
    <x v="4"/>
    <x v="2"/>
    <x v="6"/>
    <s v="DM101"/>
    <x v="2"/>
    <n v="85499"/>
    <x v="24"/>
    <s v="Digial marketing"/>
  </r>
  <r>
    <n v="1039"/>
    <s v="403-0250267"/>
    <s v="25026"/>
    <x v="0"/>
    <n v="69"/>
    <x v="148"/>
    <x v="4"/>
    <x v="0"/>
    <x v="5"/>
    <s v="DA202"/>
    <x v="0"/>
    <n v="79999"/>
    <x v="84"/>
    <s v="Data analytics"/>
  </r>
  <r>
    <n v="1040"/>
    <s v="403-0220555"/>
    <s v="22055"/>
    <x v="1"/>
    <n v="42"/>
    <x v="148"/>
    <x v="4"/>
    <x v="0"/>
    <x v="1"/>
    <s v="DM101"/>
    <x v="2"/>
    <n v="85499"/>
    <x v="3"/>
    <s v="Digial marketing"/>
  </r>
  <r>
    <n v="1041"/>
    <s v="405-1185374"/>
    <s v="11853"/>
    <x v="1"/>
    <n v="45"/>
    <x v="148"/>
    <x v="4"/>
    <x v="0"/>
    <x v="4"/>
    <s v="DA202"/>
    <x v="0"/>
    <n v="79999"/>
    <x v="141"/>
    <s v="Data analytics"/>
  </r>
  <r>
    <n v="1042"/>
    <s v="408-3925117"/>
    <s v="39251"/>
    <x v="0"/>
    <n v="62"/>
    <x v="149"/>
    <x v="4"/>
    <x v="0"/>
    <x v="2"/>
    <s v="DM101"/>
    <x v="2"/>
    <n v="85499"/>
    <x v="240"/>
    <s v="Digial marketing"/>
  </r>
  <r>
    <n v="1043"/>
    <s v="405-3839351"/>
    <s v="38393"/>
    <x v="0"/>
    <n v="44"/>
    <x v="149"/>
    <x v="4"/>
    <x v="0"/>
    <x v="1"/>
    <s v="DM101"/>
    <x v="2"/>
    <n v="85499"/>
    <x v="352"/>
    <s v="Digial marketing"/>
  </r>
  <r>
    <n v="1044"/>
    <s v="405-4008111"/>
    <s v="40081"/>
    <x v="1"/>
    <n v="68"/>
    <x v="149"/>
    <x v="4"/>
    <x v="0"/>
    <x v="1"/>
    <s v="DM101"/>
    <x v="2"/>
    <n v="85499"/>
    <x v="353"/>
    <s v="Digial marketing"/>
  </r>
  <r>
    <n v="1045"/>
    <s v="406-9265647"/>
    <s v="92656"/>
    <x v="1"/>
    <n v="57"/>
    <x v="149"/>
    <x v="4"/>
    <x v="0"/>
    <x v="2"/>
    <s v="FSD103"/>
    <x v="3"/>
    <n v="109990"/>
    <x v="3"/>
    <s v="Full stack development"/>
  </r>
  <r>
    <n v="1046"/>
    <s v="403-8627007"/>
    <s v="86270"/>
    <x v="1"/>
    <n v="39"/>
    <x v="149"/>
    <x v="4"/>
    <x v="0"/>
    <x v="2"/>
    <s v="FSD103"/>
    <x v="3"/>
    <n v="109990"/>
    <x v="94"/>
    <s v="Full stack development"/>
  </r>
  <r>
    <n v="1047"/>
    <s v="407-7812876"/>
    <s v="78128"/>
    <x v="1"/>
    <n v="25"/>
    <x v="149"/>
    <x v="4"/>
    <x v="0"/>
    <x v="1"/>
    <s v="DA202"/>
    <x v="0"/>
    <n v="79999"/>
    <x v="15"/>
    <s v="Data analytics"/>
  </r>
  <r>
    <n v="1048"/>
    <s v="406-0635155"/>
    <s v="63515"/>
    <x v="0"/>
    <n v="47"/>
    <x v="150"/>
    <x v="4"/>
    <x v="0"/>
    <x v="1"/>
    <s v="DA202"/>
    <x v="0"/>
    <n v="79999"/>
    <x v="3"/>
    <s v="Data analytics"/>
  </r>
  <r>
    <n v="1049"/>
    <s v="404-4801159"/>
    <s v="48011"/>
    <x v="0"/>
    <n v="36"/>
    <x v="150"/>
    <x v="4"/>
    <x v="1"/>
    <x v="1"/>
    <s v="DA202"/>
    <x v="0"/>
    <n v="79999"/>
    <x v="3"/>
    <s v="Data analytics"/>
  </r>
  <r>
    <n v="1050"/>
    <s v="404-3696167"/>
    <s v="36961"/>
    <x v="0"/>
    <n v="49"/>
    <x v="150"/>
    <x v="4"/>
    <x v="0"/>
    <x v="0"/>
    <s v="UX401"/>
    <x v="4"/>
    <n v="67990"/>
    <x v="354"/>
    <s v="UI/UX Design"/>
  </r>
  <r>
    <n v="1051"/>
    <s v="408-0256202"/>
    <s v="25620"/>
    <x v="1"/>
    <n v="20"/>
    <x v="150"/>
    <x v="4"/>
    <x v="0"/>
    <x v="1"/>
    <s v="DM101"/>
    <x v="2"/>
    <n v="85499"/>
    <x v="62"/>
    <s v="Digial marketing"/>
  </r>
  <r>
    <n v="1052"/>
    <s v="171-1779028"/>
    <s v="17790"/>
    <x v="1"/>
    <n v="30"/>
    <x v="150"/>
    <x v="4"/>
    <x v="0"/>
    <x v="1"/>
    <s v="DM101"/>
    <x v="2"/>
    <n v="85499"/>
    <x v="1"/>
    <s v="Digial marketing"/>
  </r>
  <r>
    <n v="1053"/>
    <s v="406-7521357"/>
    <s v="75213"/>
    <x v="0"/>
    <n v="25"/>
    <x v="150"/>
    <x v="4"/>
    <x v="0"/>
    <x v="1"/>
    <s v="DM101"/>
    <x v="2"/>
    <n v="85499"/>
    <x v="49"/>
    <s v="Digial marketing"/>
  </r>
  <r>
    <n v="1054"/>
    <s v="403-3871424"/>
    <s v="38714"/>
    <x v="0"/>
    <n v="19"/>
    <x v="150"/>
    <x v="4"/>
    <x v="0"/>
    <x v="1"/>
    <s v="FSD103"/>
    <x v="3"/>
    <n v="109990"/>
    <x v="355"/>
    <s v="Full stack development"/>
  </r>
  <r>
    <n v="1055"/>
    <s v="403-2252551"/>
    <s v="22525"/>
    <x v="0"/>
    <n v="41"/>
    <x v="151"/>
    <x v="4"/>
    <x v="0"/>
    <x v="2"/>
    <s v="DA202"/>
    <x v="0"/>
    <n v="79999"/>
    <x v="128"/>
    <s v="Data analytics"/>
  </r>
  <r>
    <n v="1056"/>
    <s v="171-9160062"/>
    <s v="91600"/>
    <x v="0"/>
    <n v="61"/>
    <x v="151"/>
    <x v="4"/>
    <x v="0"/>
    <x v="2"/>
    <s v="DM101"/>
    <x v="2"/>
    <n v="85499"/>
    <x v="356"/>
    <s v="Digial marketing"/>
  </r>
  <r>
    <n v="1057"/>
    <s v="407-3848348"/>
    <s v="38483"/>
    <x v="1"/>
    <n v="23"/>
    <x v="151"/>
    <x v="4"/>
    <x v="0"/>
    <x v="1"/>
    <s v="CC002"/>
    <x v="7"/>
    <n v="99990"/>
    <x v="9"/>
    <s v="Cloud Computing"/>
  </r>
  <r>
    <n v="1058"/>
    <s v="405-3614770"/>
    <s v="36147"/>
    <x v="0"/>
    <n v="27"/>
    <x v="151"/>
    <x v="4"/>
    <x v="0"/>
    <x v="1"/>
    <s v="HR201"/>
    <x v="6"/>
    <n v="41999"/>
    <x v="142"/>
    <s v="HR Analytics"/>
  </r>
  <r>
    <n v="1059"/>
    <s v="403-0688849"/>
    <s v="68884"/>
    <x v="0"/>
    <n v="77"/>
    <x v="151"/>
    <x v="4"/>
    <x v="0"/>
    <x v="6"/>
    <s v="DA202"/>
    <x v="0"/>
    <n v="79999"/>
    <x v="357"/>
    <s v="Data analytics"/>
  </r>
  <r>
    <n v="1060"/>
    <s v="406-5918490"/>
    <s v="59184"/>
    <x v="0"/>
    <n v="73"/>
    <x v="152"/>
    <x v="5"/>
    <x v="0"/>
    <x v="5"/>
    <s v="DA202"/>
    <x v="0"/>
    <n v="79999"/>
    <x v="57"/>
    <s v="Data analytics"/>
  </r>
  <r>
    <n v="1061"/>
    <s v="404-3662956"/>
    <s v="36629"/>
    <x v="0"/>
    <n v="47"/>
    <x v="152"/>
    <x v="5"/>
    <x v="0"/>
    <x v="1"/>
    <s v="DA202"/>
    <x v="0"/>
    <n v="79999"/>
    <x v="358"/>
    <s v="Data analytics"/>
  </r>
  <r>
    <n v="1062"/>
    <s v="408-2003369"/>
    <s v="20033"/>
    <x v="1"/>
    <n v="30"/>
    <x v="152"/>
    <x v="5"/>
    <x v="0"/>
    <x v="0"/>
    <s v="DM101"/>
    <x v="2"/>
    <n v="85499"/>
    <x v="167"/>
    <s v="Digial marketing"/>
  </r>
  <r>
    <n v="1063"/>
    <s v="403-7933802"/>
    <s v="79338"/>
    <x v="0"/>
    <n v="48"/>
    <x v="152"/>
    <x v="5"/>
    <x v="2"/>
    <x v="0"/>
    <s v="DA202"/>
    <x v="0"/>
    <n v="79999"/>
    <x v="41"/>
    <s v="Data analytics"/>
  </r>
  <r>
    <n v="1064"/>
    <s v="402-1166483"/>
    <s v="11664"/>
    <x v="0"/>
    <n v="42"/>
    <x v="152"/>
    <x v="5"/>
    <x v="0"/>
    <x v="1"/>
    <s v="DA202"/>
    <x v="0"/>
    <n v="79999"/>
    <x v="56"/>
    <s v="Data analytics"/>
  </r>
  <r>
    <n v="1065"/>
    <s v="404-5423228"/>
    <s v="54232"/>
    <x v="1"/>
    <n v="34"/>
    <x v="152"/>
    <x v="5"/>
    <x v="0"/>
    <x v="2"/>
    <s v="FSD103"/>
    <x v="3"/>
    <n v="109990"/>
    <x v="128"/>
    <s v="Full stack development"/>
  </r>
  <r>
    <n v="1066"/>
    <s v="406-5742043"/>
    <s v="57420"/>
    <x v="1"/>
    <n v="37"/>
    <x v="152"/>
    <x v="5"/>
    <x v="0"/>
    <x v="1"/>
    <s v="FSD103"/>
    <x v="3"/>
    <n v="109990"/>
    <x v="3"/>
    <s v="Full stack development"/>
  </r>
  <r>
    <n v="1067"/>
    <s v="407-3851727"/>
    <s v="38517"/>
    <x v="1"/>
    <n v="21"/>
    <x v="153"/>
    <x v="5"/>
    <x v="0"/>
    <x v="1"/>
    <s v="DM101"/>
    <x v="2"/>
    <n v="85499"/>
    <x v="15"/>
    <s v="Digial marketing"/>
  </r>
  <r>
    <n v="1068"/>
    <s v="403-8765102"/>
    <s v="87651"/>
    <x v="0"/>
    <n v="27"/>
    <x v="153"/>
    <x v="5"/>
    <x v="0"/>
    <x v="0"/>
    <s v="BA301"/>
    <x v="1"/>
    <n v="59999"/>
    <x v="9"/>
    <s v="Business analytics"/>
  </r>
  <r>
    <n v="1069"/>
    <s v="408-9550699"/>
    <s v="95506"/>
    <x v="0"/>
    <n v="68"/>
    <x v="153"/>
    <x v="5"/>
    <x v="0"/>
    <x v="1"/>
    <s v="BA301"/>
    <x v="1"/>
    <n v="59999"/>
    <x v="9"/>
    <s v="Business analytics"/>
  </r>
  <r>
    <n v="1070"/>
    <s v="408-0268816"/>
    <s v="26881"/>
    <x v="0"/>
    <n v="31"/>
    <x v="153"/>
    <x v="5"/>
    <x v="0"/>
    <x v="0"/>
    <s v="BA301"/>
    <x v="1"/>
    <n v="59999"/>
    <x v="356"/>
    <s v="Business analytics"/>
  </r>
  <r>
    <n v="1071"/>
    <s v="402-9717860"/>
    <s v="97178"/>
    <x v="0"/>
    <n v="41"/>
    <x v="153"/>
    <x v="5"/>
    <x v="0"/>
    <x v="2"/>
    <s v="UX401"/>
    <x v="4"/>
    <n v="67990"/>
    <x v="16"/>
    <s v="UI/UX Design"/>
  </r>
  <r>
    <n v="1072"/>
    <s v="402-9921656"/>
    <s v="99216"/>
    <x v="0"/>
    <n v="27"/>
    <x v="154"/>
    <x v="5"/>
    <x v="0"/>
    <x v="1"/>
    <s v="DA202"/>
    <x v="0"/>
    <n v="79999"/>
    <x v="3"/>
    <s v="Data analytics"/>
  </r>
  <r>
    <n v="1073"/>
    <s v="405-6771151"/>
    <s v="67711"/>
    <x v="0"/>
    <n v="38"/>
    <x v="154"/>
    <x v="5"/>
    <x v="0"/>
    <x v="0"/>
    <s v="DM101"/>
    <x v="2"/>
    <n v="85499"/>
    <x v="54"/>
    <s v="Digial marketing"/>
  </r>
  <r>
    <n v="1074"/>
    <s v="402-0515372"/>
    <s v="51537"/>
    <x v="1"/>
    <n v="77"/>
    <x v="154"/>
    <x v="5"/>
    <x v="2"/>
    <x v="1"/>
    <s v="UX401"/>
    <x v="4"/>
    <n v="67990"/>
    <x v="141"/>
    <s v="UI/UX Design"/>
  </r>
  <r>
    <n v="1075"/>
    <s v="171-8023483"/>
    <s v="80234"/>
    <x v="0"/>
    <n v="54"/>
    <x v="154"/>
    <x v="5"/>
    <x v="0"/>
    <x v="0"/>
    <s v="DM101"/>
    <x v="2"/>
    <n v="85499"/>
    <x v="359"/>
    <s v="Digial marketing"/>
  </r>
  <r>
    <n v="1076"/>
    <s v="406-4791058"/>
    <s v="47910"/>
    <x v="1"/>
    <n v="25"/>
    <x v="154"/>
    <x v="5"/>
    <x v="0"/>
    <x v="1"/>
    <s v="BA301"/>
    <x v="1"/>
    <n v="59999"/>
    <x v="16"/>
    <s v="Business analytics"/>
  </r>
  <r>
    <n v="1077"/>
    <s v="403-0782644"/>
    <s v="78264"/>
    <x v="0"/>
    <n v="20"/>
    <x v="154"/>
    <x v="5"/>
    <x v="0"/>
    <x v="0"/>
    <s v="DM101"/>
    <x v="2"/>
    <n v="85499"/>
    <x v="15"/>
    <s v="Digial marketing"/>
  </r>
  <r>
    <n v="1078"/>
    <s v="404-6769344"/>
    <s v="67693"/>
    <x v="0"/>
    <n v="22"/>
    <x v="154"/>
    <x v="5"/>
    <x v="0"/>
    <x v="1"/>
    <s v="DM101"/>
    <x v="2"/>
    <n v="85499"/>
    <x v="131"/>
    <s v="Digial marketing"/>
  </r>
  <r>
    <n v="1079"/>
    <s v="402-1671558"/>
    <s v="16715"/>
    <x v="0"/>
    <n v="41"/>
    <x v="155"/>
    <x v="5"/>
    <x v="0"/>
    <x v="6"/>
    <s v="BA301"/>
    <x v="1"/>
    <n v="59999"/>
    <x v="29"/>
    <s v="Business analytics"/>
  </r>
  <r>
    <n v="1080"/>
    <s v="403-2372128"/>
    <s v="23721"/>
    <x v="0"/>
    <n v="46"/>
    <x v="155"/>
    <x v="5"/>
    <x v="0"/>
    <x v="1"/>
    <s v="DM101"/>
    <x v="2"/>
    <n v="85499"/>
    <x v="29"/>
    <s v="Digial marketing"/>
  </r>
  <r>
    <n v="1081"/>
    <s v="407-8042873"/>
    <s v="80428"/>
    <x v="0"/>
    <n v="19"/>
    <x v="155"/>
    <x v="5"/>
    <x v="0"/>
    <x v="3"/>
    <s v="UX401"/>
    <x v="4"/>
    <n v="67990"/>
    <x v="360"/>
    <s v="UI/UX Design"/>
  </r>
  <r>
    <n v="1082"/>
    <s v="408-9301686"/>
    <s v="93016"/>
    <x v="0"/>
    <n v="73"/>
    <x v="155"/>
    <x v="5"/>
    <x v="0"/>
    <x v="2"/>
    <s v="DM101"/>
    <x v="2"/>
    <n v="85499"/>
    <x v="89"/>
    <s v="Digial marketing"/>
  </r>
  <r>
    <n v="1083"/>
    <s v="408-4317647"/>
    <s v="43176"/>
    <x v="1"/>
    <n v="44"/>
    <x v="155"/>
    <x v="5"/>
    <x v="0"/>
    <x v="1"/>
    <s v="BA301"/>
    <x v="1"/>
    <n v="59999"/>
    <x v="3"/>
    <s v="Business analytics"/>
  </r>
  <r>
    <n v="1084"/>
    <s v="402-8697727"/>
    <s v="86977"/>
    <x v="0"/>
    <n v="41"/>
    <x v="156"/>
    <x v="5"/>
    <x v="0"/>
    <x v="6"/>
    <s v="DM101"/>
    <x v="2"/>
    <n v="85499"/>
    <x v="356"/>
    <s v="Digial marketing"/>
  </r>
  <r>
    <n v="1085"/>
    <s v="408-8757866"/>
    <s v="87578"/>
    <x v="0"/>
    <n v="26"/>
    <x v="156"/>
    <x v="5"/>
    <x v="0"/>
    <x v="2"/>
    <s v="DM101"/>
    <x v="2"/>
    <n v="85499"/>
    <x v="88"/>
    <s v="Digial marketing"/>
  </r>
  <r>
    <n v="1086"/>
    <s v="407-1435458"/>
    <s v="14354"/>
    <x v="1"/>
    <n v="43"/>
    <x v="156"/>
    <x v="5"/>
    <x v="0"/>
    <x v="6"/>
    <s v="DA202"/>
    <x v="0"/>
    <n v="79999"/>
    <x v="9"/>
    <s v="Data analytics"/>
  </r>
  <r>
    <n v="1087"/>
    <s v="406-0229807"/>
    <s v="22980"/>
    <x v="0"/>
    <n v="24"/>
    <x v="157"/>
    <x v="5"/>
    <x v="0"/>
    <x v="0"/>
    <s v="FSD103"/>
    <x v="3"/>
    <n v="109990"/>
    <x v="32"/>
    <s v="Full stack development"/>
  </r>
  <r>
    <n v="1088"/>
    <s v="171-6112874"/>
    <s v="61128"/>
    <x v="0"/>
    <n v="53"/>
    <x v="157"/>
    <x v="5"/>
    <x v="0"/>
    <x v="4"/>
    <s v="FSD103"/>
    <x v="3"/>
    <n v="109990"/>
    <x v="35"/>
    <s v="Full stack development"/>
  </r>
  <r>
    <n v="1089"/>
    <s v="171-3307033"/>
    <s v="33070"/>
    <x v="0"/>
    <n v="40"/>
    <x v="157"/>
    <x v="5"/>
    <x v="0"/>
    <x v="2"/>
    <s v="FSD103"/>
    <x v="3"/>
    <n v="109990"/>
    <x v="49"/>
    <s v="Full stack development"/>
  </r>
  <r>
    <n v="1090"/>
    <s v="407-8938744"/>
    <s v="89387"/>
    <x v="0"/>
    <n v="47"/>
    <x v="157"/>
    <x v="5"/>
    <x v="0"/>
    <x v="0"/>
    <s v="DM101"/>
    <x v="2"/>
    <n v="85499"/>
    <x v="185"/>
    <s v="Digial marketing"/>
  </r>
  <r>
    <n v="1091"/>
    <s v="408-2731358"/>
    <s v="27313"/>
    <x v="1"/>
    <n v="48"/>
    <x v="157"/>
    <x v="5"/>
    <x v="0"/>
    <x v="2"/>
    <s v="DM101"/>
    <x v="2"/>
    <n v="85499"/>
    <x v="16"/>
    <s v="Digial marketing"/>
  </r>
  <r>
    <n v="1092"/>
    <s v="171-5510667"/>
    <s v="55106"/>
    <x v="0"/>
    <n v="28"/>
    <x v="157"/>
    <x v="5"/>
    <x v="0"/>
    <x v="2"/>
    <s v="DM101"/>
    <x v="2"/>
    <n v="85499"/>
    <x v="340"/>
    <s v="Digial marketing"/>
  </r>
  <r>
    <n v="1093"/>
    <s v="402-5784359"/>
    <s v="57843"/>
    <x v="0"/>
    <n v="27"/>
    <x v="157"/>
    <x v="5"/>
    <x v="0"/>
    <x v="0"/>
    <s v="DA202"/>
    <x v="0"/>
    <n v="79999"/>
    <x v="24"/>
    <s v="Data analytics"/>
  </r>
  <r>
    <n v="1094"/>
    <s v="407-8671238"/>
    <s v="86712"/>
    <x v="0"/>
    <n v="48"/>
    <x v="158"/>
    <x v="5"/>
    <x v="0"/>
    <x v="1"/>
    <s v="DA202"/>
    <x v="0"/>
    <n v="79999"/>
    <x v="3"/>
    <s v="Data analytics"/>
  </r>
  <r>
    <n v="1095"/>
    <s v="402-0503522"/>
    <s v="50352"/>
    <x v="0"/>
    <n v="21"/>
    <x v="158"/>
    <x v="5"/>
    <x v="0"/>
    <x v="0"/>
    <s v="FSD103"/>
    <x v="3"/>
    <n v="109990"/>
    <x v="29"/>
    <s v="Full stack development"/>
  </r>
  <r>
    <n v="1096"/>
    <s v="404-4712891"/>
    <s v="47128"/>
    <x v="0"/>
    <n v="42"/>
    <x v="158"/>
    <x v="5"/>
    <x v="0"/>
    <x v="1"/>
    <s v="DM101"/>
    <x v="2"/>
    <n v="85499"/>
    <x v="29"/>
    <s v="Digial marketing"/>
  </r>
  <r>
    <n v="1097"/>
    <s v="403-8805448"/>
    <s v="88054"/>
    <x v="0"/>
    <n v="59"/>
    <x v="158"/>
    <x v="5"/>
    <x v="2"/>
    <x v="1"/>
    <s v="BA301"/>
    <x v="1"/>
    <n v="59999"/>
    <x v="170"/>
    <s v="Business analytics"/>
  </r>
  <r>
    <n v="1098"/>
    <s v="407-2895525"/>
    <s v="28955"/>
    <x v="0"/>
    <n v="49"/>
    <x v="158"/>
    <x v="5"/>
    <x v="0"/>
    <x v="0"/>
    <s v="DM101"/>
    <x v="2"/>
    <n v="85499"/>
    <x v="3"/>
    <s v="Digial marketing"/>
  </r>
  <r>
    <n v="1099"/>
    <s v="403-0518165"/>
    <s v="51816"/>
    <x v="0"/>
    <n v="40"/>
    <x v="158"/>
    <x v="5"/>
    <x v="0"/>
    <x v="0"/>
    <s v="DM101"/>
    <x v="2"/>
    <n v="85499"/>
    <x v="3"/>
    <s v="Digial marketing"/>
  </r>
  <r>
    <n v="1100"/>
    <s v="403-1963534"/>
    <s v="19635"/>
    <x v="0"/>
    <n v="26"/>
    <x v="158"/>
    <x v="5"/>
    <x v="0"/>
    <x v="2"/>
    <s v="DA202"/>
    <x v="0"/>
    <n v="79999"/>
    <x v="361"/>
    <s v="Data analytics"/>
  </r>
  <r>
    <n v="1101"/>
    <s v="404-7158739"/>
    <s v="71587"/>
    <x v="0"/>
    <n v="40"/>
    <x v="158"/>
    <x v="5"/>
    <x v="0"/>
    <x v="1"/>
    <s v="DM101"/>
    <x v="2"/>
    <n v="85499"/>
    <x v="15"/>
    <s v="Digial marketing"/>
  </r>
  <r>
    <n v="1102"/>
    <s v="406-4411432"/>
    <s v="44114"/>
    <x v="0"/>
    <n v="44"/>
    <x v="158"/>
    <x v="5"/>
    <x v="0"/>
    <x v="1"/>
    <s v="DM101"/>
    <x v="2"/>
    <n v="85499"/>
    <x v="15"/>
    <s v="Digial marketing"/>
  </r>
  <r>
    <n v="1103"/>
    <s v="403-0199530"/>
    <s v="19953"/>
    <x v="0"/>
    <n v="37"/>
    <x v="158"/>
    <x v="5"/>
    <x v="0"/>
    <x v="0"/>
    <s v="DA202"/>
    <x v="0"/>
    <n v="79999"/>
    <x v="100"/>
    <s v="Data analytics"/>
  </r>
  <r>
    <n v="1104"/>
    <s v="406-1795437"/>
    <s v="17954"/>
    <x v="0"/>
    <n v="75"/>
    <x v="159"/>
    <x v="5"/>
    <x v="0"/>
    <x v="0"/>
    <s v="DM101"/>
    <x v="2"/>
    <n v="85499"/>
    <x v="29"/>
    <s v="Digial marketing"/>
  </r>
  <r>
    <n v="1105"/>
    <s v="408-6054666"/>
    <s v="60546"/>
    <x v="0"/>
    <n v="49"/>
    <x v="159"/>
    <x v="5"/>
    <x v="0"/>
    <x v="5"/>
    <s v="FSD103"/>
    <x v="3"/>
    <n v="109990"/>
    <x v="362"/>
    <s v="Full stack development"/>
  </r>
  <r>
    <n v="1106"/>
    <s v="407-9433289"/>
    <s v="94332"/>
    <x v="0"/>
    <n v="37"/>
    <x v="159"/>
    <x v="5"/>
    <x v="1"/>
    <x v="0"/>
    <s v="DA202"/>
    <x v="0"/>
    <n v="79999"/>
    <x v="16"/>
    <s v="Data analytics"/>
  </r>
  <r>
    <n v="1107"/>
    <s v="404-4550349"/>
    <s v="45503"/>
    <x v="0"/>
    <n v="45"/>
    <x v="159"/>
    <x v="5"/>
    <x v="0"/>
    <x v="1"/>
    <s v="DM101"/>
    <x v="2"/>
    <n v="85499"/>
    <x v="147"/>
    <s v="Digial marketing"/>
  </r>
  <r>
    <n v="1108"/>
    <s v="408-5874128"/>
    <s v="58741"/>
    <x v="0"/>
    <n v="42"/>
    <x v="159"/>
    <x v="5"/>
    <x v="2"/>
    <x v="4"/>
    <s v="DM101"/>
    <x v="2"/>
    <n v="85499"/>
    <x v="41"/>
    <s v="Digial marketing"/>
  </r>
  <r>
    <n v="1109"/>
    <s v="405-6027008"/>
    <s v="60270"/>
    <x v="0"/>
    <n v="41"/>
    <x v="159"/>
    <x v="5"/>
    <x v="0"/>
    <x v="5"/>
    <s v="DA202"/>
    <x v="0"/>
    <n v="79999"/>
    <x v="363"/>
    <s v="Data analytics"/>
  </r>
  <r>
    <n v="1110"/>
    <s v="406-0316612"/>
    <s v="31661"/>
    <x v="0"/>
    <n v="26"/>
    <x v="159"/>
    <x v="5"/>
    <x v="0"/>
    <x v="1"/>
    <s v="DM101"/>
    <x v="2"/>
    <n v="85499"/>
    <x v="364"/>
    <s v="Digial marketing"/>
  </r>
  <r>
    <n v="1111"/>
    <s v="405-9052158"/>
    <s v="90521"/>
    <x v="1"/>
    <n v="50"/>
    <x v="159"/>
    <x v="5"/>
    <x v="0"/>
    <x v="1"/>
    <s v="DM101"/>
    <x v="2"/>
    <n v="85499"/>
    <x v="3"/>
    <s v="Digial marketing"/>
  </r>
  <r>
    <n v="1112"/>
    <s v="402-1471138"/>
    <s v="14711"/>
    <x v="0"/>
    <n v="23"/>
    <x v="159"/>
    <x v="5"/>
    <x v="0"/>
    <x v="0"/>
    <s v="DA202"/>
    <x v="0"/>
    <n v="79999"/>
    <x v="67"/>
    <s v="Data analytics"/>
  </r>
  <r>
    <n v="1113"/>
    <s v="404-2970714"/>
    <s v="29707"/>
    <x v="1"/>
    <n v="28"/>
    <x v="159"/>
    <x v="5"/>
    <x v="0"/>
    <x v="1"/>
    <s v="BA301"/>
    <x v="1"/>
    <n v="59999"/>
    <x v="365"/>
    <s v="Business analytics"/>
  </r>
  <r>
    <n v="1114"/>
    <s v="405-5706472"/>
    <s v="57064"/>
    <x v="0"/>
    <n v="39"/>
    <x v="160"/>
    <x v="5"/>
    <x v="0"/>
    <x v="1"/>
    <s v="BA301"/>
    <x v="1"/>
    <n v="59999"/>
    <x v="366"/>
    <s v="Business analytics"/>
  </r>
  <r>
    <n v="1115"/>
    <s v="407-0164727"/>
    <s v="16472"/>
    <x v="1"/>
    <n v="47"/>
    <x v="160"/>
    <x v="5"/>
    <x v="0"/>
    <x v="0"/>
    <s v="DM101"/>
    <x v="2"/>
    <n v="85499"/>
    <x v="367"/>
    <s v="Digial marketing"/>
  </r>
  <r>
    <n v="1116"/>
    <s v="403-8472414"/>
    <s v="84724"/>
    <x v="0"/>
    <n v="24"/>
    <x v="160"/>
    <x v="5"/>
    <x v="0"/>
    <x v="0"/>
    <s v="DA202"/>
    <x v="0"/>
    <n v="79999"/>
    <x v="368"/>
    <s v="Data analytics"/>
  </r>
  <r>
    <n v="1117"/>
    <s v="171-3380316"/>
    <s v="33803"/>
    <x v="1"/>
    <n v="31"/>
    <x v="160"/>
    <x v="5"/>
    <x v="0"/>
    <x v="0"/>
    <s v="FSD103"/>
    <x v="3"/>
    <n v="109990"/>
    <x v="369"/>
    <s v="Full stack development"/>
  </r>
  <r>
    <n v="1118"/>
    <s v="407-2188857"/>
    <s v="21888"/>
    <x v="0"/>
    <n v="71"/>
    <x v="160"/>
    <x v="5"/>
    <x v="0"/>
    <x v="1"/>
    <s v="DA202"/>
    <x v="0"/>
    <n v="79999"/>
    <x v="370"/>
    <s v="Data analytics"/>
  </r>
  <r>
    <n v="1119"/>
    <s v="171-4814361"/>
    <s v="48143"/>
    <x v="1"/>
    <n v="74"/>
    <x v="160"/>
    <x v="5"/>
    <x v="0"/>
    <x v="2"/>
    <s v="BA301"/>
    <x v="1"/>
    <n v="59999"/>
    <x v="3"/>
    <s v="Business analytics"/>
  </r>
  <r>
    <n v="1120"/>
    <s v="406-2601540"/>
    <s v="26015"/>
    <x v="0"/>
    <n v="72"/>
    <x v="160"/>
    <x v="5"/>
    <x v="0"/>
    <x v="1"/>
    <s v="DA202"/>
    <x v="0"/>
    <n v="79999"/>
    <x v="29"/>
    <s v="Data analytics"/>
  </r>
  <r>
    <n v="1121"/>
    <s v="403-2058521"/>
    <s v="20585"/>
    <x v="0"/>
    <n v="59"/>
    <x v="160"/>
    <x v="5"/>
    <x v="0"/>
    <x v="3"/>
    <s v="DA202"/>
    <x v="0"/>
    <n v="79999"/>
    <x v="3"/>
    <s v="Data analytics"/>
  </r>
  <r>
    <n v="1122"/>
    <s v="408-5891815"/>
    <s v="58918"/>
    <x v="0"/>
    <n v="27"/>
    <x v="160"/>
    <x v="5"/>
    <x v="0"/>
    <x v="0"/>
    <s v="DM101"/>
    <x v="2"/>
    <n v="85499"/>
    <x v="161"/>
    <s v="Digial marketing"/>
  </r>
  <r>
    <n v="1123"/>
    <s v="403-9765998"/>
    <s v="97659"/>
    <x v="1"/>
    <n v="35"/>
    <x v="160"/>
    <x v="5"/>
    <x v="0"/>
    <x v="6"/>
    <s v="UX401"/>
    <x v="4"/>
    <n v="67990"/>
    <x v="15"/>
    <s v="UI/UX Design"/>
  </r>
  <r>
    <n v="1124"/>
    <s v="408-0503857"/>
    <s v="50385"/>
    <x v="0"/>
    <n v="18"/>
    <x v="160"/>
    <x v="5"/>
    <x v="0"/>
    <x v="1"/>
    <s v="DM101"/>
    <x v="2"/>
    <n v="85499"/>
    <x v="16"/>
    <s v="Digial marketing"/>
  </r>
  <r>
    <n v="1125"/>
    <s v="405-3125559"/>
    <s v="31255"/>
    <x v="1"/>
    <n v="53"/>
    <x v="160"/>
    <x v="5"/>
    <x v="0"/>
    <x v="2"/>
    <s v="DA202"/>
    <x v="0"/>
    <n v="79999"/>
    <x v="371"/>
    <s v="Data analytics"/>
  </r>
  <r>
    <n v="1126"/>
    <s v="407-4310696"/>
    <s v="43106"/>
    <x v="1"/>
    <n v="30"/>
    <x v="160"/>
    <x v="5"/>
    <x v="0"/>
    <x v="1"/>
    <s v="DA202"/>
    <x v="0"/>
    <n v="79999"/>
    <x v="372"/>
    <s v="Data analytics"/>
  </r>
  <r>
    <n v="1127"/>
    <s v="402-5226914"/>
    <s v="52269"/>
    <x v="0"/>
    <n v="48"/>
    <x v="160"/>
    <x v="5"/>
    <x v="0"/>
    <x v="0"/>
    <s v="DM101"/>
    <x v="2"/>
    <n v="85499"/>
    <x v="49"/>
    <s v="Digial marketing"/>
  </r>
  <r>
    <n v="1128"/>
    <s v="402-0527107"/>
    <s v="52710"/>
    <x v="1"/>
    <n v="48"/>
    <x v="161"/>
    <x v="5"/>
    <x v="0"/>
    <x v="5"/>
    <s v="DA202"/>
    <x v="0"/>
    <n v="79999"/>
    <x v="373"/>
    <s v="Data analytics"/>
  </r>
  <r>
    <n v="1129"/>
    <s v="402-8204256"/>
    <s v="82042"/>
    <x v="0"/>
    <n v="60"/>
    <x v="161"/>
    <x v="5"/>
    <x v="0"/>
    <x v="1"/>
    <s v="FSD103"/>
    <x v="3"/>
    <n v="109990"/>
    <x v="374"/>
    <s v="Full stack development"/>
  </r>
  <r>
    <n v="1130"/>
    <s v="407-8150290"/>
    <s v="81502"/>
    <x v="0"/>
    <n v="49"/>
    <x v="161"/>
    <x v="5"/>
    <x v="0"/>
    <x v="2"/>
    <s v="DA202"/>
    <x v="0"/>
    <n v="79999"/>
    <x v="375"/>
    <s v="Data analytics"/>
  </r>
  <r>
    <n v="1131"/>
    <s v="405-3452817"/>
    <s v="34528"/>
    <x v="0"/>
    <n v="47"/>
    <x v="161"/>
    <x v="5"/>
    <x v="0"/>
    <x v="0"/>
    <s v="DM101"/>
    <x v="2"/>
    <n v="85499"/>
    <x v="9"/>
    <s v="Digial marketing"/>
  </r>
  <r>
    <n v="1132"/>
    <s v="402-8246040"/>
    <s v="82460"/>
    <x v="0"/>
    <n v="34"/>
    <x v="161"/>
    <x v="5"/>
    <x v="0"/>
    <x v="1"/>
    <s v="DM101"/>
    <x v="2"/>
    <n v="85499"/>
    <x v="56"/>
    <s v="Digial marketing"/>
  </r>
  <r>
    <n v="1133"/>
    <s v="408-7200684"/>
    <s v="72006"/>
    <x v="0"/>
    <n v="40"/>
    <x v="161"/>
    <x v="5"/>
    <x v="0"/>
    <x v="2"/>
    <s v="DA202"/>
    <x v="0"/>
    <n v="79999"/>
    <x v="304"/>
    <s v="Data analytics"/>
  </r>
  <r>
    <n v="1134"/>
    <s v="407-5699693"/>
    <s v="56996"/>
    <x v="0"/>
    <n v="44"/>
    <x v="161"/>
    <x v="5"/>
    <x v="0"/>
    <x v="0"/>
    <s v="DM101"/>
    <x v="2"/>
    <n v="85499"/>
    <x v="92"/>
    <s v="Digial marketing"/>
  </r>
  <r>
    <n v="1135"/>
    <s v="404-6773636"/>
    <s v="67736"/>
    <x v="0"/>
    <n v="35"/>
    <x v="161"/>
    <x v="5"/>
    <x v="0"/>
    <x v="1"/>
    <s v="BA301"/>
    <x v="1"/>
    <n v="59999"/>
    <x v="16"/>
    <s v="Business analytics"/>
  </r>
  <r>
    <n v="1136"/>
    <s v="405-5188439"/>
    <s v="51884"/>
    <x v="0"/>
    <n v="41"/>
    <x v="161"/>
    <x v="5"/>
    <x v="0"/>
    <x v="2"/>
    <s v="BA301"/>
    <x v="1"/>
    <n v="59999"/>
    <x v="29"/>
    <s v="Business analytics"/>
  </r>
  <r>
    <n v="1137"/>
    <s v="406-5135488"/>
    <s v="51354"/>
    <x v="1"/>
    <n v="25"/>
    <x v="162"/>
    <x v="5"/>
    <x v="0"/>
    <x v="1"/>
    <s v="DM101"/>
    <x v="2"/>
    <n v="85499"/>
    <x v="89"/>
    <s v="Digial marketing"/>
  </r>
  <r>
    <n v="1138"/>
    <s v="402-5469736"/>
    <s v="54697"/>
    <x v="0"/>
    <n v="55"/>
    <x v="162"/>
    <x v="5"/>
    <x v="0"/>
    <x v="6"/>
    <s v="DA202"/>
    <x v="0"/>
    <n v="79999"/>
    <x v="140"/>
    <s v="Data analytics"/>
  </r>
  <r>
    <n v="1139"/>
    <s v="406-4428832"/>
    <s v="44288"/>
    <x v="0"/>
    <n v="72"/>
    <x v="163"/>
    <x v="5"/>
    <x v="0"/>
    <x v="2"/>
    <s v="DM101"/>
    <x v="2"/>
    <n v="85499"/>
    <x v="57"/>
    <s v="Digial marketing"/>
  </r>
  <r>
    <n v="1140"/>
    <s v="403-8969167"/>
    <s v="89691"/>
    <x v="1"/>
    <n v="47"/>
    <x v="163"/>
    <x v="5"/>
    <x v="0"/>
    <x v="0"/>
    <s v="FSD103"/>
    <x v="3"/>
    <n v="109990"/>
    <x v="376"/>
    <s v="Full stack development"/>
  </r>
  <r>
    <n v="1141"/>
    <s v="406-0484200"/>
    <s v="48420"/>
    <x v="0"/>
    <n v="18"/>
    <x v="163"/>
    <x v="5"/>
    <x v="0"/>
    <x v="2"/>
    <s v="DA202"/>
    <x v="0"/>
    <n v="79999"/>
    <x v="24"/>
    <s v="Data analytics"/>
  </r>
  <r>
    <n v="1142"/>
    <s v="402-1345979"/>
    <s v="13459"/>
    <x v="1"/>
    <n v="23"/>
    <x v="163"/>
    <x v="5"/>
    <x v="0"/>
    <x v="1"/>
    <s v="DM101"/>
    <x v="2"/>
    <n v="85499"/>
    <x v="92"/>
    <s v="Digial marketing"/>
  </r>
  <r>
    <n v="1143"/>
    <s v="404-1066780"/>
    <s v="10667"/>
    <x v="0"/>
    <n v="32"/>
    <x v="164"/>
    <x v="5"/>
    <x v="0"/>
    <x v="1"/>
    <s v="DM101"/>
    <x v="2"/>
    <n v="85499"/>
    <x v="84"/>
    <s v="Digial marketing"/>
  </r>
  <r>
    <n v="1144"/>
    <s v="171-3167997"/>
    <s v="31679"/>
    <x v="1"/>
    <n v="26"/>
    <x v="165"/>
    <x v="5"/>
    <x v="0"/>
    <x v="1"/>
    <s v="DM101"/>
    <x v="2"/>
    <n v="85499"/>
    <x v="106"/>
    <s v="Digial marketing"/>
  </r>
  <r>
    <n v="1145"/>
    <s v="405-9716987"/>
    <s v="97169"/>
    <x v="1"/>
    <n v="76"/>
    <x v="165"/>
    <x v="5"/>
    <x v="0"/>
    <x v="5"/>
    <s v="DA202"/>
    <x v="0"/>
    <n v="79999"/>
    <x v="377"/>
    <s v="Data analytics"/>
  </r>
  <r>
    <n v="1146"/>
    <s v="408-7367695"/>
    <s v="73676"/>
    <x v="0"/>
    <n v="72"/>
    <x v="165"/>
    <x v="5"/>
    <x v="0"/>
    <x v="1"/>
    <s v="FSD103"/>
    <x v="3"/>
    <n v="109990"/>
    <x v="16"/>
    <s v="Full stack development"/>
  </r>
  <r>
    <n v="1147"/>
    <s v="406-8932238"/>
    <s v="89322"/>
    <x v="0"/>
    <n v="21"/>
    <x v="165"/>
    <x v="5"/>
    <x v="0"/>
    <x v="6"/>
    <s v="DA202"/>
    <x v="0"/>
    <n v="79999"/>
    <x v="15"/>
    <s v="Data analytics"/>
  </r>
  <r>
    <n v="1148"/>
    <s v="403-0398161"/>
    <s v="39816"/>
    <x v="0"/>
    <n v="48"/>
    <x v="165"/>
    <x v="5"/>
    <x v="0"/>
    <x v="0"/>
    <s v="BA301"/>
    <x v="1"/>
    <n v="59999"/>
    <x v="378"/>
    <s v="Business analytics"/>
  </r>
  <r>
    <n v="1149"/>
    <s v="407-7549923"/>
    <s v="75499"/>
    <x v="1"/>
    <n v="30"/>
    <x v="165"/>
    <x v="5"/>
    <x v="0"/>
    <x v="1"/>
    <s v="DM101"/>
    <x v="2"/>
    <n v="85499"/>
    <x v="379"/>
    <s v="Digial marketing"/>
  </r>
  <r>
    <n v="1150"/>
    <s v="171-4355521"/>
    <s v="43555"/>
    <x v="0"/>
    <n v="44"/>
    <x v="165"/>
    <x v="5"/>
    <x v="0"/>
    <x v="2"/>
    <s v="BA301"/>
    <x v="1"/>
    <n v="59999"/>
    <x v="9"/>
    <s v="Business analytics"/>
  </r>
  <r>
    <n v="1151"/>
    <s v="171-4916937"/>
    <s v="49169"/>
    <x v="1"/>
    <n v="35"/>
    <x v="165"/>
    <x v="5"/>
    <x v="0"/>
    <x v="0"/>
    <s v="DA202"/>
    <x v="0"/>
    <n v="79999"/>
    <x v="128"/>
    <s v="Data analytics"/>
  </r>
  <r>
    <n v="1152"/>
    <s v="171-2005004"/>
    <s v="20050"/>
    <x v="0"/>
    <n v="56"/>
    <x v="166"/>
    <x v="5"/>
    <x v="0"/>
    <x v="6"/>
    <s v="DM101"/>
    <x v="2"/>
    <n v="85499"/>
    <x v="9"/>
    <s v="Digial marketing"/>
  </r>
  <r>
    <n v="1153"/>
    <s v="403-9145699"/>
    <s v="91456"/>
    <x v="1"/>
    <n v="40"/>
    <x v="166"/>
    <x v="5"/>
    <x v="0"/>
    <x v="0"/>
    <s v="DA202"/>
    <x v="0"/>
    <n v="79999"/>
    <x v="15"/>
    <s v="Data analytics"/>
  </r>
  <r>
    <n v="1154"/>
    <s v="406-7046387"/>
    <s v="70463"/>
    <x v="1"/>
    <n v="40"/>
    <x v="166"/>
    <x v="5"/>
    <x v="0"/>
    <x v="4"/>
    <s v="DM101"/>
    <x v="2"/>
    <n v="85499"/>
    <x v="363"/>
    <s v="Digial marketing"/>
  </r>
  <r>
    <n v="1155"/>
    <s v="171-3524799"/>
    <s v="35247"/>
    <x v="1"/>
    <n v="70"/>
    <x v="166"/>
    <x v="5"/>
    <x v="2"/>
    <x v="3"/>
    <s v="BA301"/>
    <x v="1"/>
    <n v="59999"/>
    <x v="15"/>
    <s v="Business analytics"/>
  </r>
  <r>
    <n v="1156"/>
    <s v="171-1689736"/>
    <s v="16897"/>
    <x v="1"/>
    <n v="38"/>
    <x v="167"/>
    <x v="5"/>
    <x v="2"/>
    <x v="2"/>
    <s v="BA301"/>
    <x v="1"/>
    <n v="59999"/>
    <x v="9"/>
    <s v="Business analytics"/>
  </r>
  <r>
    <n v="1157"/>
    <s v="406-9564318"/>
    <s v="95643"/>
    <x v="0"/>
    <n v="25"/>
    <x v="167"/>
    <x v="5"/>
    <x v="0"/>
    <x v="1"/>
    <s v="UX401"/>
    <x v="4"/>
    <n v="67990"/>
    <x v="360"/>
    <s v="UI/UX Design"/>
  </r>
  <r>
    <n v="1158"/>
    <s v="406-3686141"/>
    <s v="36861"/>
    <x v="0"/>
    <n v="45"/>
    <x v="167"/>
    <x v="5"/>
    <x v="0"/>
    <x v="0"/>
    <s v="DM101"/>
    <x v="2"/>
    <n v="85499"/>
    <x v="183"/>
    <s v="Digial marketing"/>
  </r>
  <r>
    <n v="1159"/>
    <s v="171-0277041"/>
    <s v="27704"/>
    <x v="0"/>
    <n v="41"/>
    <x v="167"/>
    <x v="5"/>
    <x v="0"/>
    <x v="2"/>
    <s v="DM101"/>
    <x v="2"/>
    <n v="85499"/>
    <x v="155"/>
    <s v="Digial marketing"/>
  </r>
  <r>
    <n v="1160"/>
    <s v="403-9966375"/>
    <s v="99663"/>
    <x v="0"/>
    <n v="34"/>
    <x v="167"/>
    <x v="5"/>
    <x v="0"/>
    <x v="1"/>
    <s v="DM101"/>
    <x v="2"/>
    <n v="85499"/>
    <x v="380"/>
    <s v="Digial marketing"/>
  </r>
  <r>
    <n v="1161"/>
    <s v="403-2512276"/>
    <s v="25122"/>
    <x v="1"/>
    <n v="20"/>
    <x v="167"/>
    <x v="5"/>
    <x v="0"/>
    <x v="1"/>
    <s v="DA202"/>
    <x v="0"/>
    <n v="79999"/>
    <x v="15"/>
    <s v="Data analytics"/>
  </r>
  <r>
    <n v="1162"/>
    <s v="404-5008674"/>
    <s v="50086"/>
    <x v="1"/>
    <n v="38"/>
    <x v="167"/>
    <x v="5"/>
    <x v="0"/>
    <x v="5"/>
    <s v="DA202"/>
    <x v="0"/>
    <n v="79999"/>
    <x v="381"/>
    <s v="Data analytics"/>
  </r>
  <r>
    <n v="1163"/>
    <s v="402-5197739"/>
    <s v="51977"/>
    <x v="0"/>
    <n v="77"/>
    <x v="167"/>
    <x v="5"/>
    <x v="0"/>
    <x v="0"/>
    <s v="DM101"/>
    <x v="2"/>
    <n v="85499"/>
    <x v="3"/>
    <s v="Digial marketing"/>
  </r>
  <r>
    <n v="1164"/>
    <s v="404-0376090"/>
    <s v="37609"/>
    <x v="0"/>
    <n v="46"/>
    <x v="167"/>
    <x v="5"/>
    <x v="0"/>
    <x v="6"/>
    <s v="DA202"/>
    <x v="0"/>
    <n v="79999"/>
    <x v="377"/>
    <s v="Data analytics"/>
  </r>
  <r>
    <n v="1165"/>
    <s v="406-1765165"/>
    <s v="17651"/>
    <x v="1"/>
    <n v="33"/>
    <x v="167"/>
    <x v="5"/>
    <x v="0"/>
    <x v="0"/>
    <s v="DM101"/>
    <x v="2"/>
    <n v="85499"/>
    <x v="16"/>
    <s v="Digial marketing"/>
  </r>
  <r>
    <n v="1166"/>
    <s v="405-4012289"/>
    <s v="40122"/>
    <x v="1"/>
    <n v="71"/>
    <x v="167"/>
    <x v="5"/>
    <x v="0"/>
    <x v="1"/>
    <s v="BA301"/>
    <x v="1"/>
    <n v="59999"/>
    <x v="45"/>
    <s v="Business analytics"/>
  </r>
  <r>
    <n v="1167"/>
    <s v="404-7486678"/>
    <s v="74866"/>
    <x v="0"/>
    <n v="45"/>
    <x v="168"/>
    <x v="5"/>
    <x v="0"/>
    <x v="0"/>
    <s v="DM101"/>
    <x v="2"/>
    <n v="85499"/>
    <x v="382"/>
    <s v="Digial marketing"/>
  </r>
  <r>
    <n v="1168"/>
    <s v="407-9116204"/>
    <s v="91162"/>
    <x v="0"/>
    <n v="27"/>
    <x v="168"/>
    <x v="5"/>
    <x v="0"/>
    <x v="4"/>
    <s v="DA202"/>
    <x v="0"/>
    <n v="79999"/>
    <x v="1"/>
    <s v="Data analytics"/>
  </r>
  <r>
    <n v="1169"/>
    <s v="405-9996130"/>
    <s v="99961"/>
    <x v="1"/>
    <n v="20"/>
    <x v="168"/>
    <x v="5"/>
    <x v="0"/>
    <x v="1"/>
    <s v="BA301"/>
    <x v="1"/>
    <n v="59999"/>
    <x v="383"/>
    <s v="Business analytics"/>
  </r>
  <r>
    <n v="1170"/>
    <s v="404-0946760"/>
    <s v="94676"/>
    <x v="0"/>
    <n v="35"/>
    <x v="168"/>
    <x v="5"/>
    <x v="0"/>
    <x v="1"/>
    <s v="DA202"/>
    <x v="0"/>
    <n v="79999"/>
    <x v="110"/>
    <s v="Data analytics"/>
  </r>
  <r>
    <n v="1171"/>
    <s v="406-7039950"/>
    <s v="70399"/>
    <x v="0"/>
    <n v="34"/>
    <x v="168"/>
    <x v="5"/>
    <x v="0"/>
    <x v="1"/>
    <s v="DA202"/>
    <x v="0"/>
    <n v="79999"/>
    <x v="92"/>
    <s v="Data analytics"/>
  </r>
  <r>
    <n v="1172"/>
    <s v="402-5889974"/>
    <s v="58899"/>
    <x v="0"/>
    <n v="46"/>
    <x v="168"/>
    <x v="5"/>
    <x v="0"/>
    <x v="0"/>
    <s v="BA301"/>
    <x v="1"/>
    <n v="59999"/>
    <x v="29"/>
    <s v="Business analytics"/>
  </r>
  <r>
    <n v="1173"/>
    <s v="407-2414027"/>
    <s v="24140"/>
    <x v="0"/>
    <n v="19"/>
    <x v="169"/>
    <x v="5"/>
    <x v="0"/>
    <x v="4"/>
    <s v="DM101"/>
    <x v="2"/>
    <n v="85499"/>
    <x v="384"/>
    <s v="Digial marketing"/>
  </r>
  <r>
    <n v="1174"/>
    <s v="404-2510936"/>
    <s v="25109"/>
    <x v="0"/>
    <n v="51"/>
    <x v="169"/>
    <x v="5"/>
    <x v="0"/>
    <x v="2"/>
    <s v="DA202"/>
    <x v="0"/>
    <n v="79999"/>
    <x v="144"/>
    <s v="Data analytics"/>
  </r>
  <r>
    <n v="1175"/>
    <s v="402-6448966"/>
    <s v="64489"/>
    <x v="0"/>
    <n v="54"/>
    <x v="169"/>
    <x v="5"/>
    <x v="0"/>
    <x v="1"/>
    <s v="DM101"/>
    <x v="2"/>
    <n v="85499"/>
    <x v="3"/>
    <s v="Digial marketing"/>
  </r>
  <r>
    <n v="1176"/>
    <s v="171-5430821"/>
    <s v="54308"/>
    <x v="0"/>
    <n v="18"/>
    <x v="169"/>
    <x v="5"/>
    <x v="0"/>
    <x v="1"/>
    <s v="DA202"/>
    <x v="0"/>
    <n v="79999"/>
    <x v="138"/>
    <s v="Data analytics"/>
  </r>
  <r>
    <n v="1177"/>
    <s v="403-0294848"/>
    <s v="29484"/>
    <x v="0"/>
    <n v="19"/>
    <x v="169"/>
    <x v="5"/>
    <x v="0"/>
    <x v="2"/>
    <s v="HR201"/>
    <x v="6"/>
    <n v="41999"/>
    <x v="3"/>
    <s v="HR Analytics"/>
  </r>
  <r>
    <n v="1178"/>
    <s v="171-4327562"/>
    <s v="43275"/>
    <x v="0"/>
    <n v="36"/>
    <x v="170"/>
    <x v="5"/>
    <x v="0"/>
    <x v="2"/>
    <s v="BA301"/>
    <x v="1"/>
    <n v="59999"/>
    <x v="64"/>
    <s v="Business analytics"/>
  </r>
  <r>
    <n v="1179"/>
    <s v="408-7003662"/>
    <s v="70036"/>
    <x v="0"/>
    <n v="45"/>
    <x v="170"/>
    <x v="5"/>
    <x v="0"/>
    <x v="4"/>
    <s v="DA202"/>
    <x v="0"/>
    <n v="79999"/>
    <x v="3"/>
    <s v="Data analytics"/>
  </r>
  <r>
    <n v="1180"/>
    <s v="405-2417747"/>
    <s v="24177"/>
    <x v="0"/>
    <n v="30"/>
    <x v="170"/>
    <x v="5"/>
    <x v="0"/>
    <x v="1"/>
    <s v="DA202"/>
    <x v="0"/>
    <n v="79999"/>
    <x v="324"/>
    <s v="Data analytics"/>
  </r>
  <r>
    <n v="1181"/>
    <s v="406-9733397"/>
    <s v="97333"/>
    <x v="1"/>
    <n v="51"/>
    <x v="170"/>
    <x v="5"/>
    <x v="0"/>
    <x v="6"/>
    <s v="DM101"/>
    <x v="2"/>
    <n v="85499"/>
    <x v="243"/>
    <s v="Digial marketing"/>
  </r>
  <r>
    <n v="1182"/>
    <s v="408-3372184"/>
    <s v="33721"/>
    <x v="0"/>
    <n v="48"/>
    <x v="170"/>
    <x v="5"/>
    <x v="0"/>
    <x v="1"/>
    <s v="BA301"/>
    <x v="1"/>
    <n v="59999"/>
    <x v="9"/>
    <s v="Business analytics"/>
  </r>
  <r>
    <n v="1183"/>
    <s v="405-1529602"/>
    <s v="15296"/>
    <x v="1"/>
    <n v="27"/>
    <x v="170"/>
    <x v="5"/>
    <x v="2"/>
    <x v="2"/>
    <s v="DM101"/>
    <x v="2"/>
    <n v="85499"/>
    <x v="40"/>
    <s v="Digial marketing"/>
  </r>
  <r>
    <n v="1184"/>
    <s v="404-0513246"/>
    <s v="51324"/>
    <x v="0"/>
    <n v="34"/>
    <x v="170"/>
    <x v="5"/>
    <x v="0"/>
    <x v="1"/>
    <s v="DM101"/>
    <x v="2"/>
    <n v="85499"/>
    <x v="3"/>
    <s v="Digial marketing"/>
  </r>
  <r>
    <n v="1185"/>
    <s v="171-9083392"/>
    <s v="90833"/>
    <x v="0"/>
    <n v="31"/>
    <x v="170"/>
    <x v="5"/>
    <x v="1"/>
    <x v="5"/>
    <s v="DA202"/>
    <x v="0"/>
    <n v="79999"/>
    <x v="385"/>
    <s v="Data analytics"/>
  </r>
  <r>
    <n v="1186"/>
    <s v="404-8074358"/>
    <s v="80743"/>
    <x v="0"/>
    <n v="41"/>
    <x v="170"/>
    <x v="5"/>
    <x v="0"/>
    <x v="0"/>
    <s v="DM101"/>
    <x v="2"/>
    <n v="85499"/>
    <x v="110"/>
    <s v="Digial marketing"/>
  </r>
  <r>
    <n v="1187"/>
    <s v="171-8521454"/>
    <s v="85214"/>
    <x v="0"/>
    <n v="56"/>
    <x v="171"/>
    <x v="5"/>
    <x v="1"/>
    <x v="5"/>
    <s v="BA301"/>
    <x v="1"/>
    <n v="59999"/>
    <x v="3"/>
    <s v="Business analytics"/>
  </r>
  <r>
    <n v="1188"/>
    <s v="171-9346340"/>
    <s v="93463"/>
    <x v="1"/>
    <n v="18"/>
    <x v="171"/>
    <x v="5"/>
    <x v="0"/>
    <x v="1"/>
    <s v="DA202"/>
    <x v="0"/>
    <n v="79999"/>
    <x v="16"/>
    <s v="Data analytics"/>
  </r>
  <r>
    <n v="1189"/>
    <s v="403-5688192"/>
    <s v="56881"/>
    <x v="1"/>
    <n v="18"/>
    <x v="171"/>
    <x v="5"/>
    <x v="0"/>
    <x v="2"/>
    <s v="DM101"/>
    <x v="2"/>
    <n v="85499"/>
    <x v="386"/>
    <s v="Digial marketing"/>
  </r>
  <r>
    <n v="1190"/>
    <s v="403-0781949"/>
    <s v="78194"/>
    <x v="1"/>
    <n v="32"/>
    <x v="171"/>
    <x v="5"/>
    <x v="0"/>
    <x v="1"/>
    <s v="DM101"/>
    <x v="2"/>
    <n v="85499"/>
    <x v="387"/>
    <s v="Digial marketing"/>
  </r>
  <r>
    <n v="1191"/>
    <s v="171-4742161"/>
    <s v="47421"/>
    <x v="1"/>
    <n v="18"/>
    <x v="172"/>
    <x v="5"/>
    <x v="0"/>
    <x v="1"/>
    <s v="DM101"/>
    <x v="2"/>
    <n v="85499"/>
    <x v="19"/>
    <s v="Digial marketing"/>
  </r>
  <r>
    <n v="1192"/>
    <s v="405-1176039"/>
    <s v="11760"/>
    <x v="0"/>
    <n v="72"/>
    <x v="172"/>
    <x v="5"/>
    <x v="0"/>
    <x v="0"/>
    <s v="DM101"/>
    <x v="2"/>
    <n v="85499"/>
    <x v="16"/>
    <s v="Digial marketing"/>
  </r>
  <r>
    <n v="1193"/>
    <s v="405-3447567"/>
    <s v="34475"/>
    <x v="0"/>
    <n v="43"/>
    <x v="172"/>
    <x v="5"/>
    <x v="2"/>
    <x v="2"/>
    <s v="DA202"/>
    <x v="0"/>
    <n v="79999"/>
    <x v="17"/>
    <s v="Data analytics"/>
  </r>
  <r>
    <n v="1194"/>
    <s v="402-1771694"/>
    <s v="17716"/>
    <x v="0"/>
    <n v="60"/>
    <x v="172"/>
    <x v="5"/>
    <x v="0"/>
    <x v="4"/>
    <s v="DA202"/>
    <x v="0"/>
    <n v="79999"/>
    <x v="363"/>
    <s v="Data analytics"/>
  </r>
  <r>
    <n v="1195"/>
    <s v="171-8116972"/>
    <s v="81169"/>
    <x v="0"/>
    <n v="18"/>
    <x v="172"/>
    <x v="5"/>
    <x v="0"/>
    <x v="1"/>
    <s v="BA301"/>
    <x v="1"/>
    <n v="59999"/>
    <x v="3"/>
    <s v="Business analytics"/>
  </r>
  <r>
    <n v="1196"/>
    <s v="408-7289199"/>
    <s v="72891"/>
    <x v="0"/>
    <n v="43"/>
    <x v="172"/>
    <x v="5"/>
    <x v="0"/>
    <x v="2"/>
    <s v="DA202"/>
    <x v="0"/>
    <n v="79999"/>
    <x v="57"/>
    <s v="Data analytics"/>
  </r>
  <r>
    <n v="1197"/>
    <s v="171-2937790"/>
    <s v="29377"/>
    <x v="0"/>
    <n v="46"/>
    <x v="172"/>
    <x v="5"/>
    <x v="0"/>
    <x v="0"/>
    <s v="BA301"/>
    <x v="1"/>
    <n v="59999"/>
    <x v="49"/>
    <s v="Business analytics"/>
  </r>
  <r>
    <n v="1198"/>
    <s v="171-4143249"/>
    <s v="41432"/>
    <x v="0"/>
    <n v="41"/>
    <x v="172"/>
    <x v="5"/>
    <x v="2"/>
    <x v="1"/>
    <s v="DA202"/>
    <x v="0"/>
    <n v="79999"/>
    <x v="141"/>
    <s v="Data analytics"/>
  </r>
  <r>
    <n v="1199"/>
    <s v="403-8957216"/>
    <s v="89572"/>
    <x v="0"/>
    <n v="33"/>
    <x v="173"/>
    <x v="5"/>
    <x v="0"/>
    <x v="0"/>
    <s v="DA202"/>
    <x v="0"/>
    <n v="79999"/>
    <x v="9"/>
    <s v="Data analytics"/>
  </r>
  <r>
    <n v="1200"/>
    <s v="171-3889816"/>
    <s v="38898"/>
    <x v="1"/>
    <n v="41"/>
    <x v="173"/>
    <x v="5"/>
    <x v="0"/>
    <x v="4"/>
    <s v="DM101"/>
    <x v="2"/>
    <n v="85499"/>
    <x v="16"/>
    <s v="Digial marketing"/>
  </r>
  <r>
    <n v="1201"/>
    <s v="171-9433123"/>
    <s v="94331"/>
    <x v="0"/>
    <n v="35"/>
    <x v="173"/>
    <x v="5"/>
    <x v="0"/>
    <x v="1"/>
    <s v="DA202"/>
    <x v="0"/>
    <n v="79999"/>
    <x v="388"/>
    <s v="Data analytics"/>
  </r>
  <r>
    <n v="1202"/>
    <s v="171-6686550"/>
    <s v="66865"/>
    <x v="0"/>
    <n v="45"/>
    <x v="173"/>
    <x v="5"/>
    <x v="0"/>
    <x v="2"/>
    <s v="DM101"/>
    <x v="2"/>
    <n v="85499"/>
    <x v="389"/>
    <s v="Digial marketing"/>
  </r>
  <r>
    <n v="1203"/>
    <s v="408-5336706"/>
    <s v="53367"/>
    <x v="1"/>
    <n v="50"/>
    <x v="173"/>
    <x v="5"/>
    <x v="0"/>
    <x v="1"/>
    <s v="BA301"/>
    <x v="1"/>
    <n v="59999"/>
    <x v="89"/>
    <s v="Business analytics"/>
  </r>
  <r>
    <n v="1204"/>
    <s v="402-5430785"/>
    <s v="54307"/>
    <x v="0"/>
    <n v="32"/>
    <x v="173"/>
    <x v="5"/>
    <x v="0"/>
    <x v="2"/>
    <s v="DM101"/>
    <x v="2"/>
    <n v="85499"/>
    <x v="40"/>
    <s v="Digial marketing"/>
  </r>
  <r>
    <n v="1205"/>
    <s v="403-7872661"/>
    <s v="78726"/>
    <x v="1"/>
    <n v="35"/>
    <x v="173"/>
    <x v="5"/>
    <x v="0"/>
    <x v="0"/>
    <s v="DM101"/>
    <x v="2"/>
    <n v="85499"/>
    <x v="29"/>
    <s v="Digial marketing"/>
  </r>
  <r>
    <n v="1206"/>
    <s v="405-8908397"/>
    <s v="89083"/>
    <x v="0"/>
    <n v="36"/>
    <x v="173"/>
    <x v="5"/>
    <x v="0"/>
    <x v="5"/>
    <s v="DM101"/>
    <x v="2"/>
    <n v="85499"/>
    <x v="390"/>
    <s v="Digial marketing"/>
  </r>
  <r>
    <n v="1207"/>
    <s v="407-0239074"/>
    <s v="23907"/>
    <x v="1"/>
    <n v="58"/>
    <x v="173"/>
    <x v="5"/>
    <x v="2"/>
    <x v="2"/>
    <s v="DA202"/>
    <x v="0"/>
    <n v="79999"/>
    <x v="9"/>
    <s v="Data analytics"/>
  </r>
  <r>
    <n v="1208"/>
    <s v="402-9761430"/>
    <s v="97614"/>
    <x v="0"/>
    <n v="51"/>
    <x v="173"/>
    <x v="5"/>
    <x v="0"/>
    <x v="0"/>
    <s v="DM101"/>
    <x v="2"/>
    <n v="85499"/>
    <x v="3"/>
    <s v="Digial marketing"/>
  </r>
  <r>
    <n v="1209"/>
    <s v="403-5650934"/>
    <s v="56509"/>
    <x v="0"/>
    <n v="37"/>
    <x v="173"/>
    <x v="5"/>
    <x v="0"/>
    <x v="2"/>
    <s v="DM101"/>
    <x v="2"/>
    <n v="85499"/>
    <x v="391"/>
    <s v="Digial marketing"/>
  </r>
  <r>
    <n v="1210"/>
    <s v="405-3222704"/>
    <s v="32227"/>
    <x v="0"/>
    <n v="37"/>
    <x v="174"/>
    <x v="5"/>
    <x v="0"/>
    <x v="0"/>
    <s v="DA202"/>
    <x v="0"/>
    <n v="79999"/>
    <x v="109"/>
    <s v="Data analytics"/>
  </r>
  <r>
    <n v="1211"/>
    <s v="171-5802744"/>
    <s v="58027"/>
    <x v="0"/>
    <n v="19"/>
    <x v="174"/>
    <x v="5"/>
    <x v="0"/>
    <x v="4"/>
    <s v="DM101"/>
    <x v="2"/>
    <n v="85499"/>
    <x v="9"/>
    <s v="Digial marketing"/>
  </r>
  <r>
    <n v="1212"/>
    <s v="171-2146247"/>
    <s v="21462"/>
    <x v="0"/>
    <n v="23"/>
    <x v="174"/>
    <x v="5"/>
    <x v="2"/>
    <x v="1"/>
    <s v="BA301"/>
    <x v="1"/>
    <n v="59999"/>
    <x v="141"/>
    <s v="Business analytics"/>
  </r>
  <r>
    <n v="1213"/>
    <s v="402-4828724"/>
    <s v="48287"/>
    <x v="0"/>
    <n v="44"/>
    <x v="174"/>
    <x v="5"/>
    <x v="0"/>
    <x v="5"/>
    <s v="DA202"/>
    <x v="0"/>
    <n v="79999"/>
    <x v="49"/>
    <s v="Data analytics"/>
  </r>
  <r>
    <n v="1214"/>
    <s v="402-1170013"/>
    <s v="11700"/>
    <x v="0"/>
    <n v="59"/>
    <x v="174"/>
    <x v="5"/>
    <x v="0"/>
    <x v="1"/>
    <s v="DA202"/>
    <x v="0"/>
    <n v="79999"/>
    <x v="392"/>
    <s v="Data analytics"/>
  </r>
  <r>
    <n v="1215"/>
    <s v="408-9603437"/>
    <s v="96034"/>
    <x v="0"/>
    <n v="26"/>
    <x v="174"/>
    <x v="5"/>
    <x v="0"/>
    <x v="0"/>
    <s v="DA202"/>
    <x v="0"/>
    <n v="79999"/>
    <x v="122"/>
    <s v="Data analytics"/>
  </r>
  <r>
    <n v="1216"/>
    <s v="406-1500526"/>
    <s v="15005"/>
    <x v="0"/>
    <n v="38"/>
    <x v="175"/>
    <x v="5"/>
    <x v="0"/>
    <x v="1"/>
    <s v="DM101"/>
    <x v="2"/>
    <n v="85499"/>
    <x v="196"/>
    <s v="Digial marketing"/>
  </r>
  <r>
    <n v="1217"/>
    <s v="405-1760693"/>
    <s v="17606"/>
    <x v="0"/>
    <n v="43"/>
    <x v="175"/>
    <x v="5"/>
    <x v="0"/>
    <x v="1"/>
    <s v="DA202"/>
    <x v="0"/>
    <n v="79999"/>
    <x v="16"/>
    <s v="Data analytics"/>
  </r>
  <r>
    <n v="1218"/>
    <s v="408-4810346"/>
    <s v="48103"/>
    <x v="0"/>
    <n v="62"/>
    <x v="175"/>
    <x v="5"/>
    <x v="2"/>
    <x v="2"/>
    <s v="DA202"/>
    <x v="0"/>
    <n v="79999"/>
    <x v="393"/>
    <s v="Data analytics"/>
  </r>
  <r>
    <n v="1219"/>
    <s v="408-0057017"/>
    <s v="57017"/>
    <x v="0"/>
    <n v="32"/>
    <x v="175"/>
    <x v="5"/>
    <x v="0"/>
    <x v="2"/>
    <s v="DM101"/>
    <x v="2"/>
    <n v="85499"/>
    <x v="25"/>
    <s v="Digial marketing"/>
  </r>
  <r>
    <n v="1220"/>
    <s v="403-3974058"/>
    <s v="39740"/>
    <x v="0"/>
    <n v="31"/>
    <x v="175"/>
    <x v="5"/>
    <x v="0"/>
    <x v="6"/>
    <s v="FSD103"/>
    <x v="3"/>
    <n v="109990"/>
    <x v="240"/>
    <s v="Full stack development"/>
  </r>
  <r>
    <n v="1221"/>
    <s v="405-7457952"/>
    <s v="74579"/>
    <x v="0"/>
    <n v="39"/>
    <x v="175"/>
    <x v="5"/>
    <x v="0"/>
    <x v="1"/>
    <s v="AI001"/>
    <x v="5"/>
    <n v="119990"/>
    <x v="3"/>
    <s v="AI &amp; ML"/>
  </r>
  <r>
    <n v="1222"/>
    <s v="407-9469929"/>
    <s v="94699"/>
    <x v="1"/>
    <n v="73"/>
    <x v="175"/>
    <x v="5"/>
    <x v="0"/>
    <x v="1"/>
    <s v="DM101"/>
    <x v="2"/>
    <n v="85499"/>
    <x v="15"/>
    <s v="Digial marketing"/>
  </r>
  <r>
    <n v="1223"/>
    <s v="408-8258103"/>
    <s v="82581"/>
    <x v="1"/>
    <n v="24"/>
    <x v="175"/>
    <x v="5"/>
    <x v="0"/>
    <x v="0"/>
    <s v="DA202"/>
    <x v="0"/>
    <n v="79999"/>
    <x v="47"/>
    <s v="Data analytics"/>
  </r>
  <r>
    <n v="1224"/>
    <s v="407-4222006"/>
    <s v="42220"/>
    <x v="0"/>
    <n v="41"/>
    <x v="175"/>
    <x v="5"/>
    <x v="0"/>
    <x v="3"/>
    <s v="DA202"/>
    <x v="0"/>
    <n v="79999"/>
    <x v="94"/>
    <s v="Data analytics"/>
  </r>
  <r>
    <n v="1225"/>
    <s v="407-2242010"/>
    <s v="22420"/>
    <x v="0"/>
    <n v="62"/>
    <x v="175"/>
    <x v="5"/>
    <x v="0"/>
    <x v="1"/>
    <s v="DA202"/>
    <x v="0"/>
    <n v="79999"/>
    <x v="167"/>
    <s v="Data analytics"/>
  </r>
  <r>
    <n v="1226"/>
    <s v="406-3480586"/>
    <s v="34805"/>
    <x v="0"/>
    <n v="20"/>
    <x v="175"/>
    <x v="5"/>
    <x v="2"/>
    <x v="1"/>
    <s v="DM101"/>
    <x v="2"/>
    <n v="85499"/>
    <x v="183"/>
    <s v="Digial marketing"/>
  </r>
  <r>
    <n v="1227"/>
    <s v="407-9757738"/>
    <s v="97577"/>
    <x v="0"/>
    <n v="28"/>
    <x v="176"/>
    <x v="5"/>
    <x v="0"/>
    <x v="3"/>
    <s v="UX401"/>
    <x v="4"/>
    <n v="67990"/>
    <x v="29"/>
    <s v="UI/UX Design"/>
  </r>
  <r>
    <n v="1228"/>
    <s v="171-6600771"/>
    <s v="66007"/>
    <x v="1"/>
    <n v="60"/>
    <x v="176"/>
    <x v="5"/>
    <x v="0"/>
    <x v="0"/>
    <s v="UX401"/>
    <x v="4"/>
    <n v="67990"/>
    <x v="394"/>
    <s v="UI/UX Design"/>
  </r>
  <r>
    <n v="1229"/>
    <s v="171-0015353"/>
    <s v="15353"/>
    <x v="0"/>
    <n v="44"/>
    <x v="176"/>
    <x v="5"/>
    <x v="0"/>
    <x v="1"/>
    <s v="DA202"/>
    <x v="0"/>
    <n v="79999"/>
    <x v="92"/>
    <s v="Data analytics"/>
  </r>
  <r>
    <n v="1230"/>
    <s v="407-2637799"/>
    <s v="26377"/>
    <x v="0"/>
    <n v="46"/>
    <x v="176"/>
    <x v="5"/>
    <x v="0"/>
    <x v="5"/>
    <s v="DM101"/>
    <x v="2"/>
    <n v="85499"/>
    <x v="255"/>
    <s v="Digial marketing"/>
  </r>
  <r>
    <n v="1231"/>
    <s v="406-6164255"/>
    <s v="61642"/>
    <x v="0"/>
    <n v="32"/>
    <x v="176"/>
    <x v="5"/>
    <x v="0"/>
    <x v="0"/>
    <s v="DA202"/>
    <x v="0"/>
    <n v="79999"/>
    <x v="128"/>
    <s v="Data analytics"/>
  </r>
  <r>
    <n v="1232"/>
    <s v="403-4576812"/>
    <s v="45768"/>
    <x v="1"/>
    <n v="45"/>
    <x v="176"/>
    <x v="5"/>
    <x v="0"/>
    <x v="2"/>
    <s v="DM101"/>
    <x v="2"/>
    <n v="85499"/>
    <x v="54"/>
    <s v="Digial marketing"/>
  </r>
  <r>
    <n v="1233"/>
    <s v="403-3889110"/>
    <s v="38891"/>
    <x v="0"/>
    <n v="46"/>
    <x v="177"/>
    <x v="5"/>
    <x v="0"/>
    <x v="3"/>
    <s v="DA202"/>
    <x v="0"/>
    <n v="79999"/>
    <x v="147"/>
    <s v="Data analytics"/>
  </r>
  <r>
    <n v="1234"/>
    <s v="404-3781773"/>
    <s v="37817"/>
    <x v="1"/>
    <n v="23"/>
    <x v="177"/>
    <x v="5"/>
    <x v="0"/>
    <x v="0"/>
    <s v="DA202"/>
    <x v="0"/>
    <n v="79999"/>
    <x v="29"/>
    <s v="Data analytics"/>
  </r>
  <r>
    <n v="1235"/>
    <s v="405-1837325"/>
    <s v="18373"/>
    <x v="0"/>
    <n v="71"/>
    <x v="177"/>
    <x v="5"/>
    <x v="0"/>
    <x v="1"/>
    <s v="DM101"/>
    <x v="2"/>
    <n v="85499"/>
    <x v="3"/>
    <s v="Digial marketing"/>
  </r>
  <r>
    <n v="1236"/>
    <s v="171-9174115"/>
    <s v="91741"/>
    <x v="0"/>
    <n v="48"/>
    <x v="177"/>
    <x v="5"/>
    <x v="0"/>
    <x v="2"/>
    <s v="DM101"/>
    <x v="2"/>
    <n v="85499"/>
    <x v="100"/>
    <s v="Digial marketing"/>
  </r>
  <r>
    <n v="1237"/>
    <s v="402-2264729"/>
    <s v="22647"/>
    <x v="0"/>
    <n v="36"/>
    <x v="177"/>
    <x v="5"/>
    <x v="0"/>
    <x v="1"/>
    <s v="DA202"/>
    <x v="0"/>
    <n v="79999"/>
    <x v="395"/>
    <s v="Data analytics"/>
  </r>
  <r>
    <n v="1238"/>
    <s v="406-6667637"/>
    <s v="66676"/>
    <x v="0"/>
    <n v="31"/>
    <x v="178"/>
    <x v="5"/>
    <x v="0"/>
    <x v="3"/>
    <s v="DA202"/>
    <x v="0"/>
    <n v="79999"/>
    <x v="16"/>
    <s v="Data analytics"/>
  </r>
  <r>
    <n v="1239"/>
    <s v="402-5215751"/>
    <s v="52157"/>
    <x v="1"/>
    <n v="40"/>
    <x v="178"/>
    <x v="5"/>
    <x v="0"/>
    <x v="2"/>
    <s v="DA202"/>
    <x v="0"/>
    <n v="79999"/>
    <x v="225"/>
    <s v="Data analytics"/>
  </r>
  <r>
    <n v="1240"/>
    <s v="404-6410912"/>
    <s v="64109"/>
    <x v="0"/>
    <n v="49"/>
    <x v="178"/>
    <x v="5"/>
    <x v="0"/>
    <x v="0"/>
    <s v="BA301"/>
    <x v="1"/>
    <n v="59999"/>
    <x v="16"/>
    <s v="Business analytics"/>
  </r>
  <r>
    <n v="1241"/>
    <s v="402-8472372"/>
    <s v="84723"/>
    <x v="1"/>
    <n v="42"/>
    <x v="178"/>
    <x v="5"/>
    <x v="0"/>
    <x v="2"/>
    <s v="DA202"/>
    <x v="0"/>
    <n v="79999"/>
    <x v="3"/>
    <s v="Data analytics"/>
  </r>
  <r>
    <n v="1242"/>
    <s v="405-9220332"/>
    <s v="92203"/>
    <x v="0"/>
    <n v="35"/>
    <x v="178"/>
    <x v="5"/>
    <x v="0"/>
    <x v="2"/>
    <s v="DM101"/>
    <x v="2"/>
    <n v="85499"/>
    <x v="89"/>
    <s v="Digial marketing"/>
  </r>
  <r>
    <n v="1243"/>
    <s v="408-5454943"/>
    <s v="54549"/>
    <x v="1"/>
    <n v="32"/>
    <x v="178"/>
    <x v="5"/>
    <x v="0"/>
    <x v="2"/>
    <s v="FSD103"/>
    <x v="3"/>
    <n v="109990"/>
    <x v="15"/>
    <s v="Full stack development"/>
  </r>
  <r>
    <n v="1244"/>
    <s v="402-9720670"/>
    <s v="97206"/>
    <x v="1"/>
    <n v="34"/>
    <x v="179"/>
    <x v="5"/>
    <x v="0"/>
    <x v="2"/>
    <s v="DA202"/>
    <x v="0"/>
    <n v="79999"/>
    <x v="3"/>
    <s v="Data analytics"/>
  </r>
  <r>
    <n v="1245"/>
    <s v="406-0593440"/>
    <s v="59344"/>
    <x v="0"/>
    <n v="52"/>
    <x v="179"/>
    <x v="5"/>
    <x v="0"/>
    <x v="1"/>
    <s v="BA301"/>
    <x v="1"/>
    <n v="59999"/>
    <x v="56"/>
    <s v="Business analytics"/>
  </r>
  <r>
    <n v="1246"/>
    <s v="402-7957062"/>
    <s v="79570"/>
    <x v="1"/>
    <n v="44"/>
    <x v="179"/>
    <x v="5"/>
    <x v="0"/>
    <x v="0"/>
    <s v="DM101"/>
    <x v="2"/>
    <n v="85499"/>
    <x v="15"/>
    <s v="Digial marketing"/>
  </r>
  <r>
    <n v="1247"/>
    <s v="402-5940075"/>
    <s v="59400"/>
    <x v="1"/>
    <n v="30"/>
    <x v="179"/>
    <x v="5"/>
    <x v="0"/>
    <x v="0"/>
    <s v="DM101"/>
    <x v="2"/>
    <n v="85499"/>
    <x v="189"/>
    <s v="Digial marketing"/>
  </r>
  <r>
    <n v="1248"/>
    <s v="406-3937078"/>
    <s v="39370"/>
    <x v="0"/>
    <n v="42"/>
    <x v="179"/>
    <x v="5"/>
    <x v="0"/>
    <x v="2"/>
    <s v="DM101"/>
    <x v="2"/>
    <n v="85499"/>
    <x v="63"/>
    <s v="Digial marketing"/>
  </r>
  <r>
    <n v="1249"/>
    <s v="408-0663922"/>
    <s v="66392"/>
    <x v="0"/>
    <n v="42"/>
    <x v="179"/>
    <x v="5"/>
    <x v="0"/>
    <x v="1"/>
    <s v="DA202"/>
    <x v="0"/>
    <n v="79999"/>
    <x v="396"/>
    <s v="Data analytics"/>
  </r>
  <r>
    <n v="1250"/>
    <s v="171-8884869"/>
    <s v="88848"/>
    <x v="0"/>
    <n v="25"/>
    <x v="179"/>
    <x v="5"/>
    <x v="0"/>
    <x v="2"/>
    <s v="DA202"/>
    <x v="0"/>
    <n v="79999"/>
    <x v="28"/>
    <s v="Data analytics"/>
  </r>
  <r>
    <n v="1251"/>
    <s v="408-0796625"/>
    <s v="79662"/>
    <x v="0"/>
    <n v="32"/>
    <x v="179"/>
    <x v="5"/>
    <x v="0"/>
    <x v="2"/>
    <s v="DA202"/>
    <x v="0"/>
    <n v="79999"/>
    <x v="29"/>
    <s v="Data analytics"/>
  </r>
  <r>
    <n v="1252"/>
    <s v="404-1893839"/>
    <s v="18938"/>
    <x v="0"/>
    <n v="49"/>
    <x v="180"/>
    <x v="5"/>
    <x v="0"/>
    <x v="0"/>
    <s v="DM101"/>
    <x v="2"/>
    <n v="85499"/>
    <x v="3"/>
    <s v="Digial marketing"/>
  </r>
  <r>
    <n v="1253"/>
    <s v="406-6254187"/>
    <s v="62541"/>
    <x v="1"/>
    <n v="68"/>
    <x v="180"/>
    <x v="5"/>
    <x v="0"/>
    <x v="4"/>
    <s v="DA202"/>
    <x v="0"/>
    <n v="79999"/>
    <x v="3"/>
    <s v="Data analytics"/>
  </r>
  <r>
    <n v="1254"/>
    <s v="407-6094602"/>
    <s v="60946"/>
    <x v="1"/>
    <n v="32"/>
    <x v="180"/>
    <x v="5"/>
    <x v="0"/>
    <x v="2"/>
    <s v="DA202"/>
    <x v="0"/>
    <n v="79999"/>
    <x v="397"/>
    <s v="Data analytics"/>
  </r>
  <r>
    <n v="1255"/>
    <s v="407-9083581"/>
    <s v="90835"/>
    <x v="1"/>
    <n v="34"/>
    <x v="180"/>
    <x v="5"/>
    <x v="0"/>
    <x v="2"/>
    <s v="FSD103"/>
    <x v="3"/>
    <n v="109990"/>
    <x v="25"/>
    <s v="Full stack development"/>
  </r>
  <r>
    <n v="1256"/>
    <s v="171-4515605"/>
    <s v="45156"/>
    <x v="1"/>
    <n v="34"/>
    <x v="180"/>
    <x v="5"/>
    <x v="0"/>
    <x v="0"/>
    <s v="DA202"/>
    <x v="0"/>
    <n v="79999"/>
    <x v="95"/>
    <s v="Data analytics"/>
  </r>
  <r>
    <n v="1257"/>
    <s v="171-4687128"/>
    <s v="46871"/>
    <x v="1"/>
    <n v="44"/>
    <x v="180"/>
    <x v="5"/>
    <x v="0"/>
    <x v="1"/>
    <s v="DA202"/>
    <x v="0"/>
    <n v="79999"/>
    <x v="161"/>
    <s v="Data analytics"/>
  </r>
  <r>
    <n v="1258"/>
    <s v="402-9075872"/>
    <s v="90758"/>
    <x v="0"/>
    <n v="35"/>
    <x v="181"/>
    <x v="5"/>
    <x v="0"/>
    <x v="1"/>
    <s v="DM101"/>
    <x v="2"/>
    <n v="85499"/>
    <x v="29"/>
    <s v="Digial marketing"/>
  </r>
  <r>
    <n v="1259"/>
    <s v="406-7839747"/>
    <s v="78397"/>
    <x v="0"/>
    <n v="18"/>
    <x v="181"/>
    <x v="5"/>
    <x v="1"/>
    <x v="1"/>
    <s v="UX401"/>
    <x v="4"/>
    <n v="67990"/>
    <x v="15"/>
    <s v="UI/UX Design"/>
  </r>
  <r>
    <n v="1260"/>
    <s v="171-8361049"/>
    <s v="83610"/>
    <x v="1"/>
    <n v="31"/>
    <x v="181"/>
    <x v="5"/>
    <x v="0"/>
    <x v="3"/>
    <s v="DM101"/>
    <x v="2"/>
    <n v="85499"/>
    <x v="398"/>
    <s v="Digial marketing"/>
  </r>
  <r>
    <n v="1261"/>
    <s v="402-5824818"/>
    <s v="58248"/>
    <x v="0"/>
    <n v="44"/>
    <x v="181"/>
    <x v="5"/>
    <x v="0"/>
    <x v="1"/>
    <s v="DM101"/>
    <x v="2"/>
    <n v="85499"/>
    <x v="255"/>
    <s v="Digial marketing"/>
  </r>
  <r>
    <n v="1262"/>
    <s v="408-2271895"/>
    <s v="22718"/>
    <x v="1"/>
    <n v="43"/>
    <x v="181"/>
    <x v="5"/>
    <x v="0"/>
    <x v="0"/>
    <s v="BA301"/>
    <x v="1"/>
    <n v="59999"/>
    <x v="29"/>
    <s v="Business analytics"/>
  </r>
  <r>
    <n v="1263"/>
    <s v="402-2356450"/>
    <s v="23564"/>
    <x v="1"/>
    <n v="26"/>
    <x v="181"/>
    <x v="5"/>
    <x v="0"/>
    <x v="3"/>
    <s v="DM101"/>
    <x v="2"/>
    <n v="85499"/>
    <x v="35"/>
    <s v="Digial marketing"/>
  </r>
  <r>
    <n v="1264"/>
    <s v="407-3613368"/>
    <s v="36133"/>
    <x v="1"/>
    <n v="43"/>
    <x v="182"/>
    <x v="6"/>
    <x v="0"/>
    <x v="1"/>
    <s v="DA202"/>
    <x v="0"/>
    <n v="79999"/>
    <x v="399"/>
    <s v="Data analytics"/>
  </r>
  <r>
    <n v="1265"/>
    <s v="171-3696494"/>
    <s v="36964"/>
    <x v="0"/>
    <n v="44"/>
    <x v="182"/>
    <x v="6"/>
    <x v="0"/>
    <x v="4"/>
    <s v="DM101"/>
    <x v="2"/>
    <n v="85499"/>
    <x v="255"/>
    <s v="Digial marketing"/>
  </r>
  <r>
    <n v="1266"/>
    <s v="406-9307927"/>
    <s v="93079"/>
    <x v="1"/>
    <n v="35"/>
    <x v="182"/>
    <x v="6"/>
    <x v="0"/>
    <x v="1"/>
    <s v="DM101"/>
    <x v="2"/>
    <n v="85499"/>
    <x v="9"/>
    <s v="Digial marketing"/>
  </r>
  <r>
    <n v="1267"/>
    <s v="408-5853281"/>
    <s v="58532"/>
    <x v="0"/>
    <n v="59"/>
    <x v="182"/>
    <x v="6"/>
    <x v="0"/>
    <x v="2"/>
    <s v="DA202"/>
    <x v="0"/>
    <n v="79999"/>
    <x v="41"/>
    <s v="Data analytics"/>
  </r>
  <r>
    <n v="1268"/>
    <s v="408-1314434"/>
    <s v="13144"/>
    <x v="0"/>
    <n v="20"/>
    <x v="183"/>
    <x v="6"/>
    <x v="0"/>
    <x v="5"/>
    <s v="DM101"/>
    <x v="2"/>
    <n v="85499"/>
    <x v="400"/>
    <s v="Digial marketing"/>
  </r>
  <r>
    <n v="1269"/>
    <s v="406-2740509"/>
    <s v="27405"/>
    <x v="1"/>
    <n v="36"/>
    <x v="183"/>
    <x v="6"/>
    <x v="2"/>
    <x v="4"/>
    <s v="DA202"/>
    <x v="0"/>
    <n v="79999"/>
    <x v="74"/>
    <s v="Data analytics"/>
  </r>
  <r>
    <n v="1270"/>
    <s v="171-0647937"/>
    <s v="64793"/>
    <x v="0"/>
    <n v="38"/>
    <x v="183"/>
    <x v="6"/>
    <x v="0"/>
    <x v="1"/>
    <s v="DM101"/>
    <x v="2"/>
    <n v="85499"/>
    <x v="29"/>
    <s v="Digial marketing"/>
  </r>
  <r>
    <n v="1271"/>
    <s v="403-2636084"/>
    <s v="26360"/>
    <x v="0"/>
    <n v="45"/>
    <x v="183"/>
    <x v="6"/>
    <x v="0"/>
    <x v="2"/>
    <s v="BA301"/>
    <x v="1"/>
    <n v="59999"/>
    <x v="38"/>
    <s v="Business analytics"/>
  </r>
  <r>
    <n v="1272"/>
    <s v="408-4137842"/>
    <s v="41378"/>
    <x v="1"/>
    <n v="39"/>
    <x v="183"/>
    <x v="6"/>
    <x v="0"/>
    <x v="2"/>
    <s v="DM101"/>
    <x v="2"/>
    <n v="85499"/>
    <x v="14"/>
    <s v="Digial marketing"/>
  </r>
  <r>
    <n v="1273"/>
    <s v="404-4183054"/>
    <s v="41830"/>
    <x v="1"/>
    <n v="22"/>
    <x v="183"/>
    <x v="6"/>
    <x v="0"/>
    <x v="5"/>
    <s v="DM101"/>
    <x v="2"/>
    <n v="85499"/>
    <x v="92"/>
    <s v="Digial marketing"/>
  </r>
  <r>
    <n v="1274"/>
    <s v="407-7883244"/>
    <s v="78832"/>
    <x v="0"/>
    <n v="49"/>
    <x v="183"/>
    <x v="6"/>
    <x v="0"/>
    <x v="5"/>
    <s v="DM101"/>
    <x v="2"/>
    <n v="85499"/>
    <x v="323"/>
    <s v="Digial marketing"/>
  </r>
  <r>
    <n v="1275"/>
    <s v="407-2801236"/>
    <s v="28012"/>
    <x v="1"/>
    <n v="33"/>
    <x v="183"/>
    <x v="6"/>
    <x v="0"/>
    <x v="4"/>
    <s v="UX401"/>
    <x v="4"/>
    <n v="67990"/>
    <x v="255"/>
    <s v="UI/UX Design"/>
  </r>
  <r>
    <n v="1276"/>
    <s v="171-8033179"/>
    <s v="80331"/>
    <x v="0"/>
    <n v="45"/>
    <x v="183"/>
    <x v="6"/>
    <x v="0"/>
    <x v="5"/>
    <s v="BA301"/>
    <x v="1"/>
    <n v="59999"/>
    <x v="15"/>
    <s v="Business analytics"/>
  </r>
  <r>
    <n v="1277"/>
    <s v="403-3565978"/>
    <s v="35659"/>
    <x v="1"/>
    <n v="48"/>
    <x v="183"/>
    <x v="6"/>
    <x v="0"/>
    <x v="6"/>
    <s v="DM101"/>
    <x v="2"/>
    <n v="85499"/>
    <x v="14"/>
    <s v="Digial marketing"/>
  </r>
  <r>
    <n v="1278"/>
    <s v="405-8584979"/>
    <s v="85849"/>
    <x v="1"/>
    <n v="33"/>
    <x v="183"/>
    <x v="6"/>
    <x v="0"/>
    <x v="2"/>
    <s v="DM101"/>
    <x v="2"/>
    <n v="85499"/>
    <x v="9"/>
    <s v="Digial marketing"/>
  </r>
  <r>
    <n v="1279"/>
    <s v="403-2038407"/>
    <s v="20384"/>
    <x v="0"/>
    <n v="33"/>
    <x v="184"/>
    <x v="6"/>
    <x v="0"/>
    <x v="0"/>
    <s v="DA202"/>
    <x v="0"/>
    <n v="79999"/>
    <x v="401"/>
    <s v="Data analytics"/>
  </r>
  <r>
    <n v="1280"/>
    <s v="403-1347567"/>
    <s v="13475"/>
    <x v="0"/>
    <n v="26"/>
    <x v="184"/>
    <x v="6"/>
    <x v="2"/>
    <x v="1"/>
    <s v="DA202"/>
    <x v="0"/>
    <n v="79999"/>
    <x v="402"/>
    <s v="Data analytics"/>
  </r>
  <r>
    <n v="1281"/>
    <s v="407-1425428"/>
    <s v="14254"/>
    <x v="1"/>
    <n v="30"/>
    <x v="184"/>
    <x v="6"/>
    <x v="0"/>
    <x v="0"/>
    <s v="BA301"/>
    <x v="1"/>
    <n v="59999"/>
    <x v="403"/>
    <s v="Business analytics"/>
  </r>
  <r>
    <n v="1282"/>
    <s v="404-9068158"/>
    <s v="90681"/>
    <x v="1"/>
    <n v="40"/>
    <x v="184"/>
    <x v="6"/>
    <x v="1"/>
    <x v="1"/>
    <s v="DA202"/>
    <x v="0"/>
    <n v="79999"/>
    <x v="244"/>
    <s v="Data analytics"/>
  </r>
  <r>
    <n v="1283"/>
    <s v="171-4863134"/>
    <s v="48631"/>
    <x v="0"/>
    <n v="30"/>
    <x v="184"/>
    <x v="6"/>
    <x v="0"/>
    <x v="1"/>
    <s v="BA301"/>
    <x v="1"/>
    <n v="59999"/>
    <x v="14"/>
    <s v="Business analytics"/>
  </r>
  <r>
    <n v="1284"/>
    <s v="402-6994962"/>
    <s v="69949"/>
    <x v="0"/>
    <n v="58"/>
    <x v="184"/>
    <x v="6"/>
    <x v="0"/>
    <x v="0"/>
    <s v="DM101"/>
    <x v="2"/>
    <n v="85499"/>
    <x v="3"/>
    <s v="Digial marketing"/>
  </r>
  <r>
    <n v="1285"/>
    <s v="405-0869581"/>
    <s v="86958"/>
    <x v="0"/>
    <n v="40"/>
    <x v="184"/>
    <x v="6"/>
    <x v="0"/>
    <x v="0"/>
    <s v="DA202"/>
    <x v="0"/>
    <n v="79999"/>
    <x v="404"/>
    <s v="Data analytics"/>
  </r>
  <r>
    <n v="1286"/>
    <s v="407-6684597"/>
    <s v="66845"/>
    <x v="0"/>
    <n v="58"/>
    <x v="184"/>
    <x v="6"/>
    <x v="0"/>
    <x v="0"/>
    <s v="DM101"/>
    <x v="2"/>
    <n v="85499"/>
    <x v="312"/>
    <s v="Digial marketing"/>
  </r>
  <r>
    <n v="1287"/>
    <s v="402-6487063"/>
    <s v="64870"/>
    <x v="1"/>
    <n v="72"/>
    <x v="184"/>
    <x v="6"/>
    <x v="0"/>
    <x v="2"/>
    <s v="DM101"/>
    <x v="2"/>
    <n v="85499"/>
    <x v="56"/>
    <s v="Digial marketing"/>
  </r>
  <r>
    <n v="1288"/>
    <s v="403-7297499"/>
    <s v="72974"/>
    <x v="0"/>
    <n v="39"/>
    <x v="184"/>
    <x v="6"/>
    <x v="0"/>
    <x v="1"/>
    <s v="DM101"/>
    <x v="2"/>
    <n v="85499"/>
    <x v="385"/>
    <s v="Digial marketing"/>
  </r>
  <r>
    <n v="1289"/>
    <s v="407-4402561"/>
    <s v="44025"/>
    <x v="0"/>
    <n v="67"/>
    <x v="184"/>
    <x v="6"/>
    <x v="0"/>
    <x v="1"/>
    <s v="BA301"/>
    <x v="1"/>
    <n v="59999"/>
    <x v="405"/>
    <s v="Business analytics"/>
  </r>
  <r>
    <n v="1290"/>
    <s v="407-9987929"/>
    <s v="99879"/>
    <x v="0"/>
    <n v="66"/>
    <x v="185"/>
    <x v="6"/>
    <x v="0"/>
    <x v="2"/>
    <s v="UX401"/>
    <x v="4"/>
    <n v="67990"/>
    <x v="141"/>
    <s v="UI/UX Design"/>
  </r>
  <r>
    <n v="1291"/>
    <s v="402-9176179"/>
    <s v="91761"/>
    <x v="0"/>
    <n v="45"/>
    <x v="185"/>
    <x v="6"/>
    <x v="0"/>
    <x v="1"/>
    <s v="BA301"/>
    <x v="1"/>
    <n v="59999"/>
    <x v="406"/>
    <s v="Business analytics"/>
  </r>
  <r>
    <n v="1292"/>
    <s v="407-3358416"/>
    <s v="33584"/>
    <x v="1"/>
    <n v="41"/>
    <x v="186"/>
    <x v="6"/>
    <x v="0"/>
    <x v="1"/>
    <s v="DA202"/>
    <x v="0"/>
    <n v="79999"/>
    <x v="102"/>
    <s v="Data analytics"/>
  </r>
  <r>
    <n v="1293"/>
    <s v="403-9147880"/>
    <s v="91478"/>
    <x v="1"/>
    <n v="33"/>
    <x v="186"/>
    <x v="6"/>
    <x v="0"/>
    <x v="0"/>
    <s v="DA202"/>
    <x v="0"/>
    <n v="79999"/>
    <x v="17"/>
    <s v="Data analytics"/>
  </r>
  <r>
    <n v="1294"/>
    <s v="403-5896566"/>
    <s v="58965"/>
    <x v="0"/>
    <n v="34"/>
    <x v="186"/>
    <x v="6"/>
    <x v="0"/>
    <x v="2"/>
    <s v="DA202"/>
    <x v="0"/>
    <n v="79999"/>
    <x v="92"/>
    <s v="Data analytics"/>
  </r>
  <r>
    <n v="1295"/>
    <s v="171-2645108"/>
    <s v="26451"/>
    <x v="1"/>
    <n v="39"/>
    <x v="186"/>
    <x v="6"/>
    <x v="0"/>
    <x v="0"/>
    <s v="UX401"/>
    <x v="4"/>
    <n v="67990"/>
    <x v="407"/>
    <s v="UI/UX Design"/>
  </r>
  <r>
    <n v="1296"/>
    <s v="408-0446578"/>
    <s v="44657"/>
    <x v="0"/>
    <n v="27"/>
    <x v="186"/>
    <x v="6"/>
    <x v="0"/>
    <x v="0"/>
    <s v="DA202"/>
    <x v="0"/>
    <n v="79999"/>
    <x v="32"/>
    <s v="Data analytics"/>
  </r>
  <r>
    <n v="1297"/>
    <s v="406-1770281"/>
    <s v="17702"/>
    <x v="1"/>
    <n v="47"/>
    <x v="186"/>
    <x v="6"/>
    <x v="0"/>
    <x v="1"/>
    <s v="DA202"/>
    <x v="0"/>
    <n v="79999"/>
    <x v="5"/>
    <s v="Data analytics"/>
  </r>
  <r>
    <n v="1298"/>
    <s v="171-1641533"/>
    <s v="16415"/>
    <x v="0"/>
    <n v="67"/>
    <x v="186"/>
    <x v="6"/>
    <x v="0"/>
    <x v="0"/>
    <s v="HR201"/>
    <x v="6"/>
    <n v="41999"/>
    <x v="49"/>
    <s v="HR Analytics"/>
  </r>
  <r>
    <n v="1299"/>
    <s v="405-1310118"/>
    <s v="13101"/>
    <x v="0"/>
    <n v="23"/>
    <x v="186"/>
    <x v="6"/>
    <x v="0"/>
    <x v="1"/>
    <s v="DM101"/>
    <x v="2"/>
    <n v="85499"/>
    <x v="31"/>
    <s v="Digial marketing"/>
  </r>
  <r>
    <n v="1300"/>
    <s v="405-8411773"/>
    <s v="84117"/>
    <x v="1"/>
    <n v="41"/>
    <x v="186"/>
    <x v="6"/>
    <x v="0"/>
    <x v="1"/>
    <s v="DA202"/>
    <x v="0"/>
    <n v="79999"/>
    <x v="32"/>
    <s v="Data analytics"/>
  </r>
  <r>
    <n v="1301"/>
    <s v="404-3138434"/>
    <s v="31384"/>
    <x v="0"/>
    <n v="33"/>
    <x v="186"/>
    <x v="6"/>
    <x v="0"/>
    <x v="0"/>
    <s v="DA202"/>
    <x v="0"/>
    <n v="79999"/>
    <x v="3"/>
    <s v="Data analytics"/>
  </r>
  <r>
    <n v="1302"/>
    <s v="407-8886284"/>
    <s v="88862"/>
    <x v="0"/>
    <n v="71"/>
    <x v="186"/>
    <x v="6"/>
    <x v="0"/>
    <x v="0"/>
    <s v="DM101"/>
    <x v="2"/>
    <n v="85499"/>
    <x v="15"/>
    <s v="Digial marketing"/>
  </r>
  <r>
    <n v="1303"/>
    <s v="408-3548568"/>
    <s v="35485"/>
    <x v="1"/>
    <n v="38"/>
    <x v="186"/>
    <x v="6"/>
    <x v="0"/>
    <x v="2"/>
    <s v="DA202"/>
    <x v="0"/>
    <n v="79999"/>
    <x v="57"/>
    <s v="Data analytics"/>
  </r>
  <r>
    <n v="1304"/>
    <s v="407-1534388"/>
    <s v="15343"/>
    <x v="1"/>
    <n v="37"/>
    <x v="186"/>
    <x v="6"/>
    <x v="0"/>
    <x v="1"/>
    <s v="DM101"/>
    <x v="2"/>
    <n v="85499"/>
    <x v="35"/>
    <s v="Digial marketing"/>
  </r>
  <r>
    <n v="1305"/>
    <s v="406-4783523"/>
    <s v="47835"/>
    <x v="0"/>
    <n v="74"/>
    <x v="186"/>
    <x v="6"/>
    <x v="0"/>
    <x v="0"/>
    <s v="DM101"/>
    <x v="2"/>
    <n v="85499"/>
    <x v="408"/>
    <s v="Digial marketing"/>
  </r>
  <r>
    <n v="1306"/>
    <s v="404-6550827"/>
    <s v="65508"/>
    <x v="0"/>
    <n v="45"/>
    <x v="186"/>
    <x v="6"/>
    <x v="0"/>
    <x v="1"/>
    <s v="DM101"/>
    <x v="2"/>
    <n v="85499"/>
    <x v="167"/>
    <s v="Digial marketing"/>
  </r>
  <r>
    <n v="1307"/>
    <s v="171-2202539"/>
    <s v="22025"/>
    <x v="0"/>
    <n v="29"/>
    <x v="187"/>
    <x v="6"/>
    <x v="0"/>
    <x v="0"/>
    <s v="BA301"/>
    <x v="1"/>
    <n v="59999"/>
    <x v="358"/>
    <s v="Business analytics"/>
  </r>
  <r>
    <n v="1308"/>
    <s v="402-3179429"/>
    <s v="31794"/>
    <x v="1"/>
    <n v="42"/>
    <x v="187"/>
    <x v="6"/>
    <x v="0"/>
    <x v="1"/>
    <s v="DM101"/>
    <x v="2"/>
    <n v="85499"/>
    <x v="178"/>
    <s v="Digial marketing"/>
  </r>
  <r>
    <n v="1309"/>
    <s v="404-0239841"/>
    <s v="23984"/>
    <x v="1"/>
    <n v="35"/>
    <x v="187"/>
    <x v="6"/>
    <x v="0"/>
    <x v="2"/>
    <s v="DM101"/>
    <x v="2"/>
    <n v="85499"/>
    <x v="15"/>
    <s v="Digial marketing"/>
  </r>
  <r>
    <n v="1310"/>
    <s v="408-0103546"/>
    <s v="10354"/>
    <x v="0"/>
    <n v="47"/>
    <x v="187"/>
    <x v="6"/>
    <x v="0"/>
    <x v="5"/>
    <s v="DA202"/>
    <x v="0"/>
    <n v="79999"/>
    <x v="7"/>
    <s v="Data analytics"/>
  </r>
  <r>
    <n v="1311"/>
    <s v="402-8911203"/>
    <s v="89112"/>
    <x v="0"/>
    <n v="57"/>
    <x v="187"/>
    <x v="6"/>
    <x v="0"/>
    <x v="0"/>
    <s v="DA202"/>
    <x v="0"/>
    <n v="79999"/>
    <x v="409"/>
    <s v="Data analytics"/>
  </r>
  <r>
    <n v="1312"/>
    <s v="403-6922099"/>
    <s v="69220"/>
    <x v="0"/>
    <n v="24"/>
    <x v="187"/>
    <x v="6"/>
    <x v="0"/>
    <x v="1"/>
    <s v="DM101"/>
    <x v="2"/>
    <n v="85499"/>
    <x v="57"/>
    <s v="Digial marketing"/>
  </r>
  <r>
    <n v="1313"/>
    <s v="405-9516807"/>
    <s v="95168"/>
    <x v="0"/>
    <n v="66"/>
    <x v="187"/>
    <x v="6"/>
    <x v="0"/>
    <x v="1"/>
    <s v="DM101"/>
    <x v="2"/>
    <n v="85499"/>
    <x v="25"/>
    <s v="Digial marketing"/>
  </r>
  <r>
    <n v="1314"/>
    <s v="407-6265625"/>
    <s v="62656"/>
    <x v="0"/>
    <n v="19"/>
    <x v="187"/>
    <x v="6"/>
    <x v="0"/>
    <x v="1"/>
    <s v="DM101"/>
    <x v="2"/>
    <n v="85499"/>
    <x v="128"/>
    <s v="Digial marketing"/>
  </r>
  <r>
    <n v="1315"/>
    <s v="408-6947187"/>
    <s v="69471"/>
    <x v="0"/>
    <n v="30"/>
    <x v="188"/>
    <x v="6"/>
    <x v="1"/>
    <x v="1"/>
    <s v="DA202"/>
    <x v="0"/>
    <n v="79999"/>
    <x v="92"/>
    <s v="Data analytics"/>
  </r>
  <r>
    <n v="1316"/>
    <s v="407-2354254"/>
    <s v="23542"/>
    <x v="0"/>
    <n v="30"/>
    <x v="188"/>
    <x v="6"/>
    <x v="0"/>
    <x v="1"/>
    <s v="DM101"/>
    <x v="2"/>
    <n v="85499"/>
    <x v="410"/>
    <s v="Digial marketing"/>
  </r>
  <r>
    <n v="1317"/>
    <s v="406-8670216"/>
    <s v="86702"/>
    <x v="0"/>
    <n v="18"/>
    <x v="188"/>
    <x v="6"/>
    <x v="0"/>
    <x v="2"/>
    <s v="DA202"/>
    <x v="0"/>
    <n v="79999"/>
    <x v="29"/>
    <s v="Data analytics"/>
  </r>
  <r>
    <n v="1318"/>
    <s v="405-4093694"/>
    <s v="40936"/>
    <x v="0"/>
    <n v="23"/>
    <x v="189"/>
    <x v="6"/>
    <x v="0"/>
    <x v="0"/>
    <s v="DM101"/>
    <x v="2"/>
    <n v="85499"/>
    <x v="72"/>
    <s v="Digial marketing"/>
  </r>
  <r>
    <n v="1319"/>
    <s v="408-4909240"/>
    <s v="49092"/>
    <x v="1"/>
    <n v="34"/>
    <x v="189"/>
    <x v="6"/>
    <x v="0"/>
    <x v="0"/>
    <s v="DA202"/>
    <x v="0"/>
    <n v="79999"/>
    <x v="29"/>
    <s v="Data analytics"/>
  </r>
  <r>
    <n v="1320"/>
    <s v="404-7985215"/>
    <s v="79852"/>
    <x v="1"/>
    <n v="44"/>
    <x v="189"/>
    <x v="6"/>
    <x v="0"/>
    <x v="3"/>
    <s v="DA202"/>
    <x v="0"/>
    <n v="79999"/>
    <x v="139"/>
    <s v="Data analytics"/>
  </r>
  <r>
    <n v="1321"/>
    <s v="402-3056745"/>
    <s v="30567"/>
    <x v="0"/>
    <n v="45"/>
    <x v="190"/>
    <x v="6"/>
    <x v="0"/>
    <x v="1"/>
    <s v="DM101"/>
    <x v="2"/>
    <n v="85499"/>
    <x v="57"/>
    <s v="Digial marketing"/>
  </r>
  <r>
    <n v="1322"/>
    <s v="402-7716939"/>
    <s v="77169"/>
    <x v="0"/>
    <n v="61"/>
    <x v="190"/>
    <x v="6"/>
    <x v="0"/>
    <x v="2"/>
    <s v="DM101"/>
    <x v="2"/>
    <n v="85499"/>
    <x v="29"/>
    <s v="Digial marketing"/>
  </r>
  <r>
    <n v="1323"/>
    <s v="171-2155121"/>
    <s v="21551"/>
    <x v="0"/>
    <n v="63"/>
    <x v="190"/>
    <x v="6"/>
    <x v="0"/>
    <x v="1"/>
    <s v="FSD103"/>
    <x v="3"/>
    <n v="109990"/>
    <x v="15"/>
    <s v="Full stack development"/>
  </r>
  <r>
    <n v="1324"/>
    <s v="407-8582057"/>
    <s v="85820"/>
    <x v="0"/>
    <n v="25"/>
    <x v="190"/>
    <x v="6"/>
    <x v="0"/>
    <x v="1"/>
    <s v="BA301"/>
    <x v="1"/>
    <n v="59999"/>
    <x v="3"/>
    <s v="Business analytics"/>
  </r>
  <r>
    <n v="1325"/>
    <s v="407-4831861"/>
    <s v="48318"/>
    <x v="0"/>
    <n v="26"/>
    <x v="190"/>
    <x v="6"/>
    <x v="0"/>
    <x v="0"/>
    <s v="DM101"/>
    <x v="2"/>
    <n v="85499"/>
    <x v="9"/>
    <s v="Digial marketing"/>
  </r>
  <r>
    <n v="1326"/>
    <s v="408-6634361"/>
    <s v="66343"/>
    <x v="1"/>
    <n v="34"/>
    <x v="190"/>
    <x v="6"/>
    <x v="0"/>
    <x v="1"/>
    <s v="BA301"/>
    <x v="1"/>
    <n v="59999"/>
    <x v="15"/>
    <s v="Business analytics"/>
  </r>
  <r>
    <n v="1327"/>
    <s v="404-3936304"/>
    <s v="39363"/>
    <x v="0"/>
    <n v="46"/>
    <x v="191"/>
    <x v="6"/>
    <x v="2"/>
    <x v="1"/>
    <s v="DA202"/>
    <x v="0"/>
    <n v="79999"/>
    <x v="411"/>
    <s v="Data analytics"/>
  </r>
  <r>
    <n v="1328"/>
    <s v="406-8813179"/>
    <s v="88131"/>
    <x v="0"/>
    <n v="32"/>
    <x v="191"/>
    <x v="6"/>
    <x v="0"/>
    <x v="0"/>
    <s v="DM101"/>
    <x v="2"/>
    <n v="85499"/>
    <x v="367"/>
    <s v="Digial marketing"/>
  </r>
  <r>
    <n v="1329"/>
    <s v="402-3734047"/>
    <s v="37340"/>
    <x v="1"/>
    <n v="19"/>
    <x v="191"/>
    <x v="6"/>
    <x v="0"/>
    <x v="1"/>
    <s v="DM101"/>
    <x v="2"/>
    <n v="85499"/>
    <x v="29"/>
    <s v="Digial marketing"/>
  </r>
  <r>
    <n v="1330"/>
    <s v="403-3223681"/>
    <s v="32236"/>
    <x v="0"/>
    <n v="27"/>
    <x v="191"/>
    <x v="6"/>
    <x v="0"/>
    <x v="2"/>
    <s v="DM101"/>
    <x v="2"/>
    <n v="85499"/>
    <x v="54"/>
    <s v="Digial marketing"/>
  </r>
  <r>
    <n v="1331"/>
    <s v="405-5543621"/>
    <s v="55436"/>
    <x v="0"/>
    <n v="39"/>
    <x v="191"/>
    <x v="6"/>
    <x v="0"/>
    <x v="1"/>
    <s v="BA301"/>
    <x v="1"/>
    <n v="59999"/>
    <x v="240"/>
    <s v="Business analytics"/>
  </r>
  <r>
    <n v="1332"/>
    <s v="403-1397993"/>
    <s v="13979"/>
    <x v="1"/>
    <n v="54"/>
    <x v="191"/>
    <x v="6"/>
    <x v="0"/>
    <x v="1"/>
    <s v="BA301"/>
    <x v="1"/>
    <n v="59999"/>
    <x v="15"/>
    <s v="Business analytics"/>
  </r>
  <r>
    <n v="1333"/>
    <s v="402-1781950"/>
    <s v="17819"/>
    <x v="0"/>
    <n v="30"/>
    <x v="191"/>
    <x v="6"/>
    <x v="0"/>
    <x v="2"/>
    <s v="AI001"/>
    <x v="5"/>
    <n v="119990"/>
    <x v="0"/>
    <s v="AI &amp; ML"/>
  </r>
  <r>
    <n v="1334"/>
    <s v="405-3314563"/>
    <s v="33145"/>
    <x v="0"/>
    <n v="19"/>
    <x v="191"/>
    <x v="6"/>
    <x v="0"/>
    <x v="2"/>
    <s v="DA202"/>
    <x v="0"/>
    <n v="79999"/>
    <x v="57"/>
    <s v="Data analytics"/>
  </r>
  <r>
    <n v="1335"/>
    <s v="408-2087565"/>
    <s v="20875"/>
    <x v="0"/>
    <n v="30"/>
    <x v="191"/>
    <x v="6"/>
    <x v="0"/>
    <x v="5"/>
    <s v="BA301"/>
    <x v="1"/>
    <n v="59999"/>
    <x v="412"/>
    <s v="Business analytics"/>
  </r>
  <r>
    <n v="1336"/>
    <s v="408-5037643"/>
    <s v="50376"/>
    <x v="0"/>
    <n v="68"/>
    <x v="192"/>
    <x v="6"/>
    <x v="0"/>
    <x v="0"/>
    <s v="DM101"/>
    <x v="2"/>
    <n v="85499"/>
    <x v="413"/>
    <s v="Digial marketing"/>
  </r>
  <r>
    <n v="1337"/>
    <s v="408-3289264"/>
    <s v="32892"/>
    <x v="1"/>
    <n v="39"/>
    <x v="192"/>
    <x v="6"/>
    <x v="0"/>
    <x v="2"/>
    <s v="BA301"/>
    <x v="1"/>
    <n v="59999"/>
    <x v="183"/>
    <s v="Business analytics"/>
  </r>
  <r>
    <n v="1338"/>
    <s v="403-2001250"/>
    <s v="20012"/>
    <x v="1"/>
    <n v="46"/>
    <x v="192"/>
    <x v="6"/>
    <x v="0"/>
    <x v="0"/>
    <s v="BA301"/>
    <x v="1"/>
    <n v="59999"/>
    <x v="414"/>
    <s v="Business analytics"/>
  </r>
  <r>
    <n v="1339"/>
    <s v="171-9616735"/>
    <s v="96167"/>
    <x v="0"/>
    <n v="45"/>
    <x v="192"/>
    <x v="6"/>
    <x v="0"/>
    <x v="5"/>
    <s v="DM101"/>
    <x v="2"/>
    <n v="85499"/>
    <x v="415"/>
    <s v="Digial marketing"/>
  </r>
  <r>
    <n v="1340"/>
    <s v="406-0540223"/>
    <s v="54022"/>
    <x v="0"/>
    <n v="56"/>
    <x v="192"/>
    <x v="6"/>
    <x v="0"/>
    <x v="0"/>
    <s v="DA202"/>
    <x v="0"/>
    <n v="79999"/>
    <x v="67"/>
    <s v="Data analytics"/>
  </r>
  <r>
    <n v="1341"/>
    <s v="402-6788161"/>
    <s v="67881"/>
    <x v="0"/>
    <n v="21"/>
    <x v="192"/>
    <x v="6"/>
    <x v="0"/>
    <x v="2"/>
    <s v="DA202"/>
    <x v="0"/>
    <n v="79999"/>
    <x v="80"/>
    <s v="Data analytics"/>
  </r>
  <r>
    <n v="1342"/>
    <s v="405-2953945"/>
    <s v="29539"/>
    <x v="0"/>
    <n v="39"/>
    <x v="192"/>
    <x v="6"/>
    <x v="0"/>
    <x v="6"/>
    <s v="DA202"/>
    <x v="0"/>
    <n v="79999"/>
    <x v="3"/>
    <s v="Data analytics"/>
  </r>
  <r>
    <n v="1343"/>
    <s v="405-6780117"/>
    <s v="67801"/>
    <x v="1"/>
    <n v="48"/>
    <x v="192"/>
    <x v="6"/>
    <x v="0"/>
    <x v="0"/>
    <s v="BA301"/>
    <x v="1"/>
    <n v="59999"/>
    <x v="416"/>
    <s v="Business analytics"/>
  </r>
  <r>
    <n v="1344"/>
    <s v="407-8127937"/>
    <s v="81279"/>
    <x v="0"/>
    <n v="42"/>
    <x v="192"/>
    <x v="6"/>
    <x v="0"/>
    <x v="1"/>
    <s v="DA202"/>
    <x v="0"/>
    <n v="79999"/>
    <x v="41"/>
    <s v="Data analytics"/>
  </r>
  <r>
    <n v="1345"/>
    <s v="171-9354893"/>
    <s v="93548"/>
    <x v="0"/>
    <n v="19"/>
    <x v="193"/>
    <x v="6"/>
    <x v="0"/>
    <x v="1"/>
    <s v="DA202"/>
    <x v="0"/>
    <n v="79999"/>
    <x v="3"/>
    <s v="Data analytics"/>
  </r>
  <r>
    <n v="1346"/>
    <s v="408-2553867"/>
    <s v="25538"/>
    <x v="0"/>
    <n v="30"/>
    <x v="193"/>
    <x v="6"/>
    <x v="0"/>
    <x v="4"/>
    <s v="DM101"/>
    <x v="2"/>
    <n v="85499"/>
    <x v="356"/>
    <s v="Digial marketing"/>
  </r>
  <r>
    <n v="1347"/>
    <s v="403-6755027"/>
    <s v="67550"/>
    <x v="0"/>
    <n v="20"/>
    <x v="193"/>
    <x v="6"/>
    <x v="0"/>
    <x v="0"/>
    <s v="DM101"/>
    <x v="2"/>
    <n v="85499"/>
    <x v="9"/>
    <s v="Digial marketing"/>
  </r>
  <r>
    <n v="1348"/>
    <s v="171-6428243"/>
    <s v="64282"/>
    <x v="1"/>
    <n v="44"/>
    <x v="193"/>
    <x v="6"/>
    <x v="0"/>
    <x v="0"/>
    <s v="DM101"/>
    <x v="2"/>
    <n v="85499"/>
    <x v="417"/>
    <s v="Digial marketing"/>
  </r>
  <r>
    <n v="1349"/>
    <s v="407-1701431"/>
    <s v="17014"/>
    <x v="0"/>
    <n v="26"/>
    <x v="193"/>
    <x v="6"/>
    <x v="0"/>
    <x v="5"/>
    <s v="DM101"/>
    <x v="2"/>
    <n v="85499"/>
    <x v="1"/>
    <s v="Digial marketing"/>
  </r>
  <r>
    <n v="1350"/>
    <s v="405-5941447"/>
    <s v="59414"/>
    <x v="0"/>
    <n v="25"/>
    <x v="193"/>
    <x v="6"/>
    <x v="0"/>
    <x v="3"/>
    <s v="BA301"/>
    <x v="1"/>
    <n v="59999"/>
    <x v="418"/>
    <s v="Business analytics"/>
  </r>
  <r>
    <n v="1351"/>
    <s v="408-7430776"/>
    <s v="74307"/>
    <x v="0"/>
    <n v="37"/>
    <x v="193"/>
    <x v="6"/>
    <x v="0"/>
    <x v="5"/>
    <s v="DM101"/>
    <x v="2"/>
    <n v="85499"/>
    <x v="49"/>
    <s v="Digial marketing"/>
  </r>
  <r>
    <n v="1352"/>
    <s v="408-8985896"/>
    <s v="89858"/>
    <x v="1"/>
    <n v="29"/>
    <x v="194"/>
    <x v="6"/>
    <x v="0"/>
    <x v="1"/>
    <s v="HR201"/>
    <x v="6"/>
    <n v="41999"/>
    <x v="29"/>
    <s v="HR Analytics"/>
  </r>
  <r>
    <n v="1353"/>
    <s v="171-6368906"/>
    <s v="63689"/>
    <x v="0"/>
    <n v="48"/>
    <x v="194"/>
    <x v="6"/>
    <x v="0"/>
    <x v="2"/>
    <s v="DA202"/>
    <x v="0"/>
    <n v="79999"/>
    <x v="106"/>
    <s v="Data analytics"/>
  </r>
  <r>
    <n v="1354"/>
    <s v="171-9416091"/>
    <s v="94160"/>
    <x v="0"/>
    <n v="24"/>
    <x v="194"/>
    <x v="6"/>
    <x v="0"/>
    <x v="1"/>
    <s v="DA202"/>
    <x v="0"/>
    <n v="79999"/>
    <x v="15"/>
    <s v="Data analytics"/>
  </r>
  <r>
    <n v="1355"/>
    <s v="403-1545835"/>
    <s v="15458"/>
    <x v="0"/>
    <n v="31"/>
    <x v="195"/>
    <x v="6"/>
    <x v="0"/>
    <x v="0"/>
    <s v="FSD103"/>
    <x v="3"/>
    <n v="109990"/>
    <x v="419"/>
    <s v="Full stack development"/>
  </r>
  <r>
    <n v="1356"/>
    <s v="402-5458137"/>
    <s v="54581"/>
    <x v="1"/>
    <n v="34"/>
    <x v="195"/>
    <x v="6"/>
    <x v="0"/>
    <x v="3"/>
    <s v="FSD103"/>
    <x v="3"/>
    <n v="109990"/>
    <x v="3"/>
    <s v="Full stack development"/>
  </r>
  <r>
    <n v="1357"/>
    <s v="406-6801416"/>
    <s v="68014"/>
    <x v="1"/>
    <n v="35"/>
    <x v="195"/>
    <x v="6"/>
    <x v="0"/>
    <x v="4"/>
    <s v="DA202"/>
    <x v="0"/>
    <n v="79999"/>
    <x v="29"/>
    <s v="Data analytics"/>
  </r>
  <r>
    <n v="1358"/>
    <s v="171-3404913"/>
    <s v="34049"/>
    <x v="0"/>
    <n v="42"/>
    <x v="195"/>
    <x v="6"/>
    <x v="2"/>
    <x v="0"/>
    <s v="DM101"/>
    <x v="2"/>
    <n v="85499"/>
    <x v="125"/>
    <s v="Digial marketing"/>
  </r>
  <r>
    <n v="1359"/>
    <s v="407-6188815"/>
    <s v="61888"/>
    <x v="0"/>
    <n v="25"/>
    <x v="195"/>
    <x v="6"/>
    <x v="0"/>
    <x v="1"/>
    <s v="DA202"/>
    <x v="0"/>
    <n v="79999"/>
    <x v="391"/>
    <s v="Data analytics"/>
  </r>
  <r>
    <n v="1360"/>
    <s v="403-0775906"/>
    <s v="77590"/>
    <x v="0"/>
    <n v="55"/>
    <x v="195"/>
    <x v="6"/>
    <x v="0"/>
    <x v="2"/>
    <s v="DA202"/>
    <x v="0"/>
    <n v="79999"/>
    <x v="3"/>
    <s v="Data analytics"/>
  </r>
  <r>
    <n v="1361"/>
    <s v="405-6251660"/>
    <s v="62516"/>
    <x v="0"/>
    <n v="18"/>
    <x v="195"/>
    <x v="6"/>
    <x v="0"/>
    <x v="1"/>
    <s v="DM101"/>
    <x v="2"/>
    <n v="85499"/>
    <x v="74"/>
    <s v="Digial marketing"/>
  </r>
  <r>
    <n v="1362"/>
    <s v="406-8535930"/>
    <s v="85359"/>
    <x v="0"/>
    <n v="77"/>
    <x v="195"/>
    <x v="6"/>
    <x v="0"/>
    <x v="2"/>
    <s v="DA202"/>
    <x v="0"/>
    <n v="79999"/>
    <x v="3"/>
    <s v="Data analytics"/>
  </r>
  <r>
    <n v="1363"/>
    <s v="406-4990719"/>
    <s v="49907"/>
    <x v="0"/>
    <n v="50"/>
    <x v="196"/>
    <x v="6"/>
    <x v="0"/>
    <x v="2"/>
    <s v="DM101"/>
    <x v="2"/>
    <n v="85499"/>
    <x v="9"/>
    <s v="Digial marketing"/>
  </r>
  <r>
    <n v="1364"/>
    <s v="403-6309348"/>
    <s v="63093"/>
    <x v="0"/>
    <n v="30"/>
    <x v="196"/>
    <x v="6"/>
    <x v="0"/>
    <x v="0"/>
    <s v="DM101"/>
    <x v="2"/>
    <n v="85499"/>
    <x v="219"/>
    <s v="Digial marketing"/>
  </r>
  <r>
    <n v="1365"/>
    <s v="402-2421881"/>
    <s v="24218"/>
    <x v="1"/>
    <n v="34"/>
    <x v="196"/>
    <x v="6"/>
    <x v="0"/>
    <x v="1"/>
    <s v="DM101"/>
    <x v="2"/>
    <n v="85499"/>
    <x v="84"/>
    <s v="Digial marketing"/>
  </r>
  <r>
    <n v="1366"/>
    <s v="408-9334589"/>
    <s v="93345"/>
    <x v="0"/>
    <n v="25"/>
    <x v="196"/>
    <x v="6"/>
    <x v="0"/>
    <x v="0"/>
    <s v="DM101"/>
    <x v="2"/>
    <n v="85499"/>
    <x v="420"/>
    <s v="Digial marketing"/>
  </r>
  <r>
    <n v="1367"/>
    <s v="405-0370914"/>
    <s v="37091"/>
    <x v="0"/>
    <n v="35"/>
    <x v="196"/>
    <x v="6"/>
    <x v="0"/>
    <x v="0"/>
    <s v="DM101"/>
    <x v="2"/>
    <n v="85499"/>
    <x v="92"/>
    <s v="Digial marketing"/>
  </r>
  <r>
    <n v="1368"/>
    <s v="406-5993087"/>
    <s v="59930"/>
    <x v="1"/>
    <n v="25"/>
    <x v="196"/>
    <x v="6"/>
    <x v="0"/>
    <x v="1"/>
    <s v="DM101"/>
    <x v="2"/>
    <n v="85499"/>
    <x v="95"/>
    <s v="Digial marketing"/>
  </r>
  <r>
    <n v="1369"/>
    <s v="408-4528595"/>
    <s v="45285"/>
    <x v="1"/>
    <n v="37"/>
    <x v="197"/>
    <x v="6"/>
    <x v="0"/>
    <x v="4"/>
    <s v="DM101"/>
    <x v="2"/>
    <n v="85499"/>
    <x v="421"/>
    <s v="Digial marketing"/>
  </r>
  <r>
    <n v="1370"/>
    <s v="171-8990017"/>
    <s v="89900"/>
    <x v="1"/>
    <n v="47"/>
    <x v="197"/>
    <x v="6"/>
    <x v="0"/>
    <x v="0"/>
    <s v="DM101"/>
    <x v="2"/>
    <n v="85499"/>
    <x v="422"/>
    <s v="Digial marketing"/>
  </r>
  <r>
    <n v="1371"/>
    <s v="402-3864052"/>
    <s v="38640"/>
    <x v="1"/>
    <n v="57"/>
    <x v="197"/>
    <x v="6"/>
    <x v="0"/>
    <x v="2"/>
    <s v="DM101"/>
    <x v="2"/>
    <n v="85499"/>
    <x v="15"/>
    <s v="Digial marketing"/>
  </r>
  <r>
    <n v="1372"/>
    <s v="406-0346755"/>
    <s v="34675"/>
    <x v="1"/>
    <n v="77"/>
    <x v="197"/>
    <x v="6"/>
    <x v="2"/>
    <x v="0"/>
    <s v="DA202"/>
    <x v="0"/>
    <n v="79999"/>
    <x v="205"/>
    <s v="Data analytics"/>
  </r>
  <r>
    <n v="1373"/>
    <s v="402-3349726"/>
    <s v="33497"/>
    <x v="0"/>
    <n v="18"/>
    <x v="198"/>
    <x v="6"/>
    <x v="0"/>
    <x v="5"/>
    <s v="DM101"/>
    <x v="2"/>
    <n v="85499"/>
    <x v="22"/>
    <s v="Digial marketing"/>
  </r>
  <r>
    <n v="1374"/>
    <s v="408-9104567"/>
    <s v="91045"/>
    <x v="0"/>
    <n v="49"/>
    <x v="198"/>
    <x v="6"/>
    <x v="0"/>
    <x v="1"/>
    <s v="DM101"/>
    <x v="2"/>
    <n v="85499"/>
    <x v="3"/>
    <s v="Digial marketing"/>
  </r>
  <r>
    <n v="1375"/>
    <s v="408-5409618"/>
    <s v="54096"/>
    <x v="0"/>
    <n v="49"/>
    <x v="198"/>
    <x v="6"/>
    <x v="0"/>
    <x v="3"/>
    <s v="DM101"/>
    <x v="2"/>
    <n v="85499"/>
    <x v="92"/>
    <s v="Digial marketing"/>
  </r>
  <r>
    <n v="1376"/>
    <s v="408-1954821"/>
    <s v="19548"/>
    <x v="1"/>
    <n v="38"/>
    <x v="198"/>
    <x v="6"/>
    <x v="0"/>
    <x v="2"/>
    <s v="UX401"/>
    <x v="4"/>
    <n v="67990"/>
    <x v="423"/>
    <s v="UI/UX Design"/>
  </r>
  <r>
    <n v="1377"/>
    <s v="404-2557224"/>
    <s v="25572"/>
    <x v="1"/>
    <n v="42"/>
    <x v="198"/>
    <x v="6"/>
    <x v="0"/>
    <x v="2"/>
    <s v="UX401"/>
    <x v="4"/>
    <n v="67990"/>
    <x v="363"/>
    <s v="UI/UX Design"/>
  </r>
  <r>
    <n v="1378"/>
    <s v="406-1344754"/>
    <s v="13447"/>
    <x v="0"/>
    <n v="24"/>
    <x v="198"/>
    <x v="6"/>
    <x v="0"/>
    <x v="0"/>
    <s v="DM101"/>
    <x v="2"/>
    <n v="85499"/>
    <x v="16"/>
    <s v="Digial marketing"/>
  </r>
  <r>
    <n v="1379"/>
    <s v="171-3644782"/>
    <s v="36447"/>
    <x v="1"/>
    <n v="20"/>
    <x v="198"/>
    <x v="6"/>
    <x v="0"/>
    <x v="6"/>
    <s v="DM101"/>
    <x v="2"/>
    <n v="85499"/>
    <x v="3"/>
    <s v="Digial marketing"/>
  </r>
  <r>
    <n v="1380"/>
    <s v="403-6043726"/>
    <s v="60437"/>
    <x v="0"/>
    <n v="47"/>
    <x v="198"/>
    <x v="6"/>
    <x v="1"/>
    <x v="1"/>
    <s v="DA202"/>
    <x v="0"/>
    <n v="79999"/>
    <x v="92"/>
    <s v="Data analytics"/>
  </r>
  <r>
    <n v="1381"/>
    <s v="402-1051038"/>
    <s v="10510"/>
    <x v="0"/>
    <n v="44"/>
    <x v="198"/>
    <x v="6"/>
    <x v="0"/>
    <x v="6"/>
    <s v="DM101"/>
    <x v="2"/>
    <n v="85499"/>
    <x v="24"/>
    <s v="Digial marketing"/>
  </r>
  <r>
    <n v="1382"/>
    <s v="403-2491930"/>
    <s v="24919"/>
    <x v="1"/>
    <n v="30"/>
    <x v="199"/>
    <x v="6"/>
    <x v="0"/>
    <x v="2"/>
    <s v="FSD103"/>
    <x v="3"/>
    <n v="109990"/>
    <x v="9"/>
    <s v="Full stack development"/>
  </r>
  <r>
    <n v="1383"/>
    <s v="402-6590291"/>
    <s v="65902"/>
    <x v="1"/>
    <n v="22"/>
    <x v="199"/>
    <x v="6"/>
    <x v="0"/>
    <x v="2"/>
    <s v="BA301"/>
    <x v="1"/>
    <n v="59999"/>
    <x v="424"/>
    <s v="Business analytics"/>
  </r>
  <r>
    <n v="1384"/>
    <s v="407-2351291"/>
    <s v="23512"/>
    <x v="0"/>
    <n v="35"/>
    <x v="199"/>
    <x v="6"/>
    <x v="0"/>
    <x v="1"/>
    <s v="BA301"/>
    <x v="1"/>
    <n v="59999"/>
    <x v="425"/>
    <s v="Business analytics"/>
  </r>
  <r>
    <n v="1385"/>
    <s v="403-4408079"/>
    <s v="44080"/>
    <x v="0"/>
    <n v="30"/>
    <x v="199"/>
    <x v="6"/>
    <x v="0"/>
    <x v="6"/>
    <s v="DM101"/>
    <x v="2"/>
    <n v="85499"/>
    <x v="213"/>
    <s v="Digial marketing"/>
  </r>
  <r>
    <n v="1386"/>
    <s v="403-7788476"/>
    <s v="77884"/>
    <x v="1"/>
    <n v="20"/>
    <x v="199"/>
    <x v="6"/>
    <x v="0"/>
    <x v="1"/>
    <s v="DA202"/>
    <x v="0"/>
    <n v="79999"/>
    <x v="15"/>
    <s v="Data analytics"/>
  </r>
  <r>
    <n v="1387"/>
    <s v="403-0921785"/>
    <s v="92178"/>
    <x v="1"/>
    <n v="59"/>
    <x v="199"/>
    <x v="6"/>
    <x v="0"/>
    <x v="2"/>
    <s v="DA202"/>
    <x v="0"/>
    <n v="79999"/>
    <x v="49"/>
    <s v="Data analytics"/>
  </r>
  <r>
    <n v="1388"/>
    <s v="403-3231386"/>
    <s v="32313"/>
    <x v="0"/>
    <n v="38"/>
    <x v="199"/>
    <x v="6"/>
    <x v="0"/>
    <x v="0"/>
    <s v="BA301"/>
    <x v="1"/>
    <n v="59999"/>
    <x v="426"/>
    <s v="Business analytics"/>
  </r>
  <r>
    <n v="1389"/>
    <s v="402-3599543"/>
    <s v="35995"/>
    <x v="0"/>
    <n v="33"/>
    <x v="200"/>
    <x v="6"/>
    <x v="0"/>
    <x v="1"/>
    <s v="DM101"/>
    <x v="2"/>
    <n v="85499"/>
    <x v="128"/>
    <s v="Digial marketing"/>
  </r>
  <r>
    <n v="1390"/>
    <s v="404-6651430"/>
    <s v="66514"/>
    <x v="0"/>
    <n v="31"/>
    <x v="200"/>
    <x v="6"/>
    <x v="0"/>
    <x v="5"/>
    <s v="DA202"/>
    <x v="0"/>
    <n v="79999"/>
    <x v="16"/>
    <s v="Data analytics"/>
  </r>
  <r>
    <n v="1391"/>
    <s v="407-2341297"/>
    <s v="23412"/>
    <x v="0"/>
    <n v="26"/>
    <x v="200"/>
    <x v="6"/>
    <x v="0"/>
    <x v="0"/>
    <s v="DM101"/>
    <x v="2"/>
    <n v="85499"/>
    <x v="427"/>
    <s v="Digial marketing"/>
  </r>
  <r>
    <n v="1392"/>
    <s v="405-3569714"/>
    <s v="35697"/>
    <x v="0"/>
    <n v="27"/>
    <x v="200"/>
    <x v="6"/>
    <x v="0"/>
    <x v="2"/>
    <s v="DM101"/>
    <x v="2"/>
    <n v="85499"/>
    <x v="279"/>
    <s v="Digial marketing"/>
  </r>
  <r>
    <n v="1393"/>
    <s v="405-1540301"/>
    <s v="15403"/>
    <x v="1"/>
    <n v="71"/>
    <x v="200"/>
    <x v="6"/>
    <x v="0"/>
    <x v="5"/>
    <s v="DM101"/>
    <x v="2"/>
    <n v="85499"/>
    <x v="428"/>
    <s v="Digial marketing"/>
  </r>
  <r>
    <n v="1394"/>
    <s v="171-2515774"/>
    <s v="25157"/>
    <x v="0"/>
    <n v="29"/>
    <x v="201"/>
    <x v="6"/>
    <x v="2"/>
    <x v="1"/>
    <s v="DA202"/>
    <x v="0"/>
    <n v="79999"/>
    <x v="164"/>
    <s v="Data analytics"/>
  </r>
  <r>
    <n v="1395"/>
    <s v="406-5482239"/>
    <s v="54822"/>
    <x v="1"/>
    <n v="61"/>
    <x v="201"/>
    <x v="6"/>
    <x v="0"/>
    <x v="1"/>
    <s v="DM101"/>
    <x v="2"/>
    <n v="85499"/>
    <x v="9"/>
    <s v="Digial marketing"/>
  </r>
  <r>
    <n v="1396"/>
    <s v="402-9887651"/>
    <s v="98876"/>
    <x v="0"/>
    <n v="28"/>
    <x v="201"/>
    <x v="6"/>
    <x v="0"/>
    <x v="1"/>
    <s v="DM101"/>
    <x v="2"/>
    <n v="85499"/>
    <x v="429"/>
    <s v="Digial marketing"/>
  </r>
  <r>
    <n v="1397"/>
    <s v="406-5231583"/>
    <s v="52315"/>
    <x v="0"/>
    <n v="73"/>
    <x v="201"/>
    <x v="6"/>
    <x v="0"/>
    <x v="4"/>
    <s v="DA202"/>
    <x v="0"/>
    <n v="79999"/>
    <x v="16"/>
    <s v="Data analytics"/>
  </r>
  <r>
    <n v="1398"/>
    <s v="402-5072022"/>
    <s v="50720"/>
    <x v="1"/>
    <n v="49"/>
    <x v="201"/>
    <x v="6"/>
    <x v="2"/>
    <x v="4"/>
    <s v="DA202"/>
    <x v="0"/>
    <n v="79999"/>
    <x v="155"/>
    <s v="Data analytics"/>
  </r>
  <r>
    <n v="1399"/>
    <s v="404-6648811"/>
    <s v="66488"/>
    <x v="1"/>
    <n v="21"/>
    <x v="201"/>
    <x v="6"/>
    <x v="0"/>
    <x v="1"/>
    <s v="DA202"/>
    <x v="0"/>
    <n v="79999"/>
    <x v="75"/>
    <s v="Data analytics"/>
  </r>
  <r>
    <n v="1400"/>
    <s v="406-1127090"/>
    <s v="11270"/>
    <x v="0"/>
    <n v="42"/>
    <x v="201"/>
    <x v="6"/>
    <x v="2"/>
    <x v="5"/>
    <s v="DA202"/>
    <x v="0"/>
    <n v="79999"/>
    <x v="80"/>
    <s v="Data analytics"/>
  </r>
  <r>
    <n v="1401"/>
    <s v="404-8703996"/>
    <s v="87039"/>
    <x v="0"/>
    <n v="40"/>
    <x v="201"/>
    <x v="6"/>
    <x v="0"/>
    <x v="2"/>
    <s v="BA301"/>
    <x v="1"/>
    <n v="59999"/>
    <x v="120"/>
    <s v="Business analytics"/>
  </r>
  <r>
    <n v="1402"/>
    <s v="407-7085813"/>
    <s v="70858"/>
    <x v="0"/>
    <n v="36"/>
    <x v="201"/>
    <x v="6"/>
    <x v="0"/>
    <x v="5"/>
    <s v="DM101"/>
    <x v="2"/>
    <n v="85499"/>
    <x v="1"/>
    <s v="Digial marketing"/>
  </r>
  <r>
    <n v="1403"/>
    <s v="404-9512559"/>
    <s v="95125"/>
    <x v="0"/>
    <n v="30"/>
    <x v="201"/>
    <x v="6"/>
    <x v="0"/>
    <x v="4"/>
    <s v="DA202"/>
    <x v="0"/>
    <n v="79999"/>
    <x v="15"/>
    <s v="Data analytics"/>
  </r>
  <r>
    <n v="1404"/>
    <s v="408-3434507"/>
    <s v="34345"/>
    <x v="0"/>
    <n v="50"/>
    <x v="201"/>
    <x v="6"/>
    <x v="0"/>
    <x v="0"/>
    <s v="DA202"/>
    <x v="0"/>
    <n v="79999"/>
    <x v="41"/>
    <s v="Data analytics"/>
  </r>
  <r>
    <n v="1405"/>
    <s v="402-0147526"/>
    <s v="14752"/>
    <x v="0"/>
    <n v="47"/>
    <x v="202"/>
    <x v="6"/>
    <x v="0"/>
    <x v="2"/>
    <s v="UX401"/>
    <x v="4"/>
    <n v="67990"/>
    <x v="24"/>
    <s v="UI/UX Design"/>
  </r>
  <r>
    <n v="1406"/>
    <s v="408-8949420"/>
    <s v="89494"/>
    <x v="0"/>
    <n v="39"/>
    <x v="202"/>
    <x v="6"/>
    <x v="0"/>
    <x v="5"/>
    <s v="DA202"/>
    <x v="0"/>
    <n v="79999"/>
    <x v="430"/>
    <s v="Data analytics"/>
  </r>
  <r>
    <n v="1407"/>
    <s v="171-1378241"/>
    <s v="13782"/>
    <x v="0"/>
    <n v="29"/>
    <x v="202"/>
    <x v="6"/>
    <x v="0"/>
    <x v="0"/>
    <s v="DM101"/>
    <x v="2"/>
    <n v="85499"/>
    <x v="17"/>
    <s v="Digial marketing"/>
  </r>
  <r>
    <n v="1408"/>
    <s v="407-8721295"/>
    <s v="87212"/>
    <x v="0"/>
    <n v="43"/>
    <x v="202"/>
    <x v="6"/>
    <x v="0"/>
    <x v="4"/>
    <s v="DM101"/>
    <x v="2"/>
    <n v="85499"/>
    <x v="62"/>
    <s v="Digial marketing"/>
  </r>
  <r>
    <n v="1409"/>
    <s v="403-4611409"/>
    <s v="46114"/>
    <x v="0"/>
    <n v="27"/>
    <x v="203"/>
    <x v="6"/>
    <x v="0"/>
    <x v="4"/>
    <s v="FSD103"/>
    <x v="3"/>
    <n v="109990"/>
    <x v="100"/>
    <s v="Full stack development"/>
  </r>
  <r>
    <n v="1410"/>
    <s v="406-4724790"/>
    <s v="47247"/>
    <x v="1"/>
    <n v="31"/>
    <x v="203"/>
    <x v="6"/>
    <x v="0"/>
    <x v="1"/>
    <s v="DA202"/>
    <x v="0"/>
    <n v="79999"/>
    <x v="5"/>
    <s v="Data analytics"/>
  </r>
  <r>
    <n v="1411"/>
    <s v="408-5346506"/>
    <s v="53465"/>
    <x v="1"/>
    <n v="28"/>
    <x v="203"/>
    <x v="6"/>
    <x v="0"/>
    <x v="0"/>
    <s v="BA301"/>
    <x v="1"/>
    <n v="59999"/>
    <x v="3"/>
    <s v="Business analytics"/>
  </r>
  <r>
    <n v="1412"/>
    <s v="408-9511590"/>
    <s v="95115"/>
    <x v="1"/>
    <n v="27"/>
    <x v="203"/>
    <x v="6"/>
    <x v="0"/>
    <x v="4"/>
    <s v="DM101"/>
    <x v="2"/>
    <n v="85499"/>
    <x v="54"/>
    <s v="Digial marketing"/>
  </r>
  <r>
    <n v="1413"/>
    <s v="406-2728887"/>
    <s v="27288"/>
    <x v="0"/>
    <n v="48"/>
    <x v="203"/>
    <x v="6"/>
    <x v="0"/>
    <x v="1"/>
    <s v="DA202"/>
    <x v="0"/>
    <n v="79999"/>
    <x v="431"/>
    <s v="Data analytics"/>
  </r>
  <r>
    <n v="1414"/>
    <s v="407-2174317"/>
    <s v="21743"/>
    <x v="0"/>
    <n v="45"/>
    <x v="203"/>
    <x v="6"/>
    <x v="0"/>
    <x v="1"/>
    <s v="DA202"/>
    <x v="0"/>
    <n v="79999"/>
    <x v="82"/>
    <s v="Data analytics"/>
  </r>
  <r>
    <n v="1415"/>
    <s v="402-6834677"/>
    <s v="68346"/>
    <x v="0"/>
    <n v="32"/>
    <x v="203"/>
    <x v="6"/>
    <x v="0"/>
    <x v="1"/>
    <s v="DA202"/>
    <x v="0"/>
    <n v="79999"/>
    <x v="143"/>
    <s v="Data analytics"/>
  </r>
  <r>
    <n v="1416"/>
    <s v="405-1263646"/>
    <s v="12636"/>
    <x v="1"/>
    <n v="20"/>
    <x v="204"/>
    <x v="6"/>
    <x v="0"/>
    <x v="1"/>
    <s v="DA202"/>
    <x v="0"/>
    <n v="79999"/>
    <x v="3"/>
    <s v="Data analytics"/>
  </r>
  <r>
    <n v="1417"/>
    <s v="403-6260896"/>
    <s v="62608"/>
    <x v="0"/>
    <n v="36"/>
    <x v="204"/>
    <x v="6"/>
    <x v="0"/>
    <x v="4"/>
    <s v="BA301"/>
    <x v="1"/>
    <n v="59999"/>
    <x v="432"/>
    <s v="Business analytics"/>
  </r>
  <r>
    <n v="1418"/>
    <s v="404-2176014"/>
    <s v="21760"/>
    <x v="0"/>
    <n v="70"/>
    <x v="204"/>
    <x v="6"/>
    <x v="0"/>
    <x v="2"/>
    <s v="BA301"/>
    <x v="1"/>
    <n v="59999"/>
    <x v="17"/>
    <s v="Business analytics"/>
  </r>
  <r>
    <n v="1419"/>
    <s v="171-0655354"/>
    <s v="65535"/>
    <x v="1"/>
    <n v="47"/>
    <x v="204"/>
    <x v="6"/>
    <x v="0"/>
    <x v="0"/>
    <s v="BA301"/>
    <x v="1"/>
    <n v="59999"/>
    <x v="433"/>
    <s v="Business analytics"/>
  </r>
  <r>
    <n v="1420"/>
    <s v="403-1058337"/>
    <s v="10583"/>
    <x v="0"/>
    <n v="28"/>
    <x v="204"/>
    <x v="6"/>
    <x v="0"/>
    <x v="2"/>
    <s v="DM101"/>
    <x v="2"/>
    <n v="85499"/>
    <x v="24"/>
    <s v="Digial marketing"/>
  </r>
  <r>
    <n v="1421"/>
    <s v="408-3238001"/>
    <s v="32380"/>
    <x v="0"/>
    <n v="29"/>
    <x v="204"/>
    <x v="6"/>
    <x v="0"/>
    <x v="0"/>
    <s v="AI001"/>
    <x v="5"/>
    <n v="119990"/>
    <x v="240"/>
    <s v="AI &amp; ML"/>
  </r>
  <r>
    <n v="1422"/>
    <s v="405-8823859"/>
    <s v="88238"/>
    <x v="0"/>
    <n v="37"/>
    <x v="204"/>
    <x v="6"/>
    <x v="2"/>
    <x v="2"/>
    <s v="DM101"/>
    <x v="2"/>
    <n v="85499"/>
    <x v="28"/>
    <s v="Digial marketing"/>
  </r>
  <r>
    <n v="1423"/>
    <s v="405-4785342"/>
    <s v="47853"/>
    <x v="0"/>
    <n v="21"/>
    <x v="204"/>
    <x v="6"/>
    <x v="0"/>
    <x v="2"/>
    <s v="BA301"/>
    <x v="1"/>
    <n v="59999"/>
    <x v="434"/>
    <s v="Business analytics"/>
  </r>
  <r>
    <n v="1424"/>
    <s v="408-4409416"/>
    <s v="44094"/>
    <x v="0"/>
    <n v="21"/>
    <x v="204"/>
    <x v="6"/>
    <x v="0"/>
    <x v="1"/>
    <s v="BA301"/>
    <x v="1"/>
    <n v="59999"/>
    <x v="435"/>
    <s v="Business analytics"/>
  </r>
  <r>
    <n v="1425"/>
    <s v="404-3384826"/>
    <s v="33848"/>
    <x v="1"/>
    <n v="37"/>
    <x v="204"/>
    <x v="6"/>
    <x v="0"/>
    <x v="0"/>
    <s v="DA202"/>
    <x v="0"/>
    <n v="79999"/>
    <x v="436"/>
    <s v="Data analytics"/>
  </r>
  <r>
    <n v="1426"/>
    <s v="402-8259194"/>
    <s v="82591"/>
    <x v="0"/>
    <n v="34"/>
    <x v="205"/>
    <x v="6"/>
    <x v="0"/>
    <x v="0"/>
    <s v="DA202"/>
    <x v="0"/>
    <n v="79999"/>
    <x v="2"/>
    <s v="Data analytics"/>
  </r>
  <r>
    <n v="1427"/>
    <s v="408-0269442"/>
    <s v="26944"/>
    <x v="1"/>
    <n v="29"/>
    <x v="205"/>
    <x v="6"/>
    <x v="0"/>
    <x v="1"/>
    <s v="DM101"/>
    <x v="2"/>
    <n v="85499"/>
    <x v="104"/>
    <s v="Digial marketing"/>
  </r>
  <r>
    <n v="1428"/>
    <s v="408-9128996"/>
    <s v="91289"/>
    <x v="1"/>
    <n v="18"/>
    <x v="205"/>
    <x v="6"/>
    <x v="0"/>
    <x v="4"/>
    <s v="DM101"/>
    <x v="2"/>
    <n v="85499"/>
    <x v="5"/>
    <s v="Digial marketing"/>
  </r>
  <r>
    <n v="1429"/>
    <s v="171-1008629"/>
    <s v="10086"/>
    <x v="0"/>
    <n v="19"/>
    <x v="205"/>
    <x v="6"/>
    <x v="0"/>
    <x v="0"/>
    <s v="DA202"/>
    <x v="0"/>
    <n v="79999"/>
    <x v="437"/>
    <s v="Data analytics"/>
  </r>
  <r>
    <n v="1430"/>
    <s v="171-7361613"/>
    <s v="73616"/>
    <x v="0"/>
    <n v="33"/>
    <x v="205"/>
    <x v="6"/>
    <x v="0"/>
    <x v="1"/>
    <s v="DA202"/>
    <x v="0"/>
    <n v="79999"/>
    <x v="156"/>
    <s v="Data analytics"/>
  </r>
  <r>
    <n v="1431"/>
    <s v="402-8867348"/>
    <s v="88673"/>
    <x v="0"/>
    <n v="70"/>
    <x v="206"/>
    <x v="6"/>
    <x v="0"/>
    <x v="2"/>
    <s v="DA202"/>
    <x v="0"/>
    <n v="79999"/>
    <x v="183"/>
    <s v="Data analytics"/>
  </r>
  <r>
    <n v="1432"/>
    <s v="403-3316263"/>
    <s v="33162"/>
    <x v="0"/>
    <n v="49"/>
    <x v="206"/>
    <x v="6"/>
    <x v="1"/>
    <x v="2"/>
    <s v="UX401"/>
    <x v="4"/>
    <n v="67990"/>
    <x v="15"/>
    <s v="UI/UX Design"/>
  </r>
  <r>
    <n v="1433"/>
    <s v="404-5222467"/>
    <s v="52224"/>
    <x v="0"/>
    <n v="34"/>
    <x v="206"/>
    <x v="6"/>
    <x v="0"/>
    <x v="1"/>
    <s v="DA202"/>
    <x v="0"/>
    <n v="79999"/>
    <x v="56"/>
    <s v="Data analytics"/>
  </r>
  <r>
    <n v="1434"/>
    <s v="404-6595570"/>
    <s v="65955"/>
    <x v="0"/>
    <n v="19"/>
    <x v="206"/>
    <x v="6"/>
    <x v="0"/>
    <x v="5"/>
    <s v="UX401"/>
    <x v="4"/>
    <n v="67990"/>
    <x v="11"/>
    <s v="UI/UX Design"/>
  </r>
  <r>
    <n v="1435"/>
    <s v="405-1151228"/>
    <s v="11512"/>
    <x v="0"/>
    <n v="29"/>
    <x v="206"/>
    <x v="6"/>
    <x v="0"/>
    <x v="2"/>
    <s v="DA202"/>
    <x v="0"/>
    <n v="79999"/>
    <x v="12"/>
    <s v="Data analytics"/>
  </r>
  <r>
    <n v="1436"/>
    <s v="408-8305931"/>
    <s v="83059"/>
    <x v="0"/>
    <n v="38"/>
    <x v="206"/>
    <x v="6"/>
    <x v="0"/>
    <x v="0"/>
    <s v="FSD103"/>
    <x v="3"/>
    <n v="109990"/>
    <x v="29"/>
    <s v="Full stack development"/>
  </r>
  <r>
    <n v="1437"/>
    <s v="405-3062466"/>
    <s v="30624"/>
    <x v="1"/>
    <n v="20"/>
    <x v="206"/>
    <x v="6"/>
    <x v="0"/>
    <x v="1"/>
    <s v="DM101"/>
    <x v="2"/>
    <n v="85499"/>
    <x v="24"/>
    <s v="Digial marketing"/>
  </r>
  <r>
    <n v="1438"/>
    <s v="171-9100889"/>
    <s v="91008"/>
    <x v="1"/>
    <n v="44"/>
    <x v="206"/>
    <x v="6"/>
    <x v="0"/>
    <x v="0"/>
    <s v="FSD103"/>
    <x v="3"/>
    <n v="109990"/>
    <x v="29"/>
    <s v="Full stack development"/>
  </r>
  <r>
    <n v="1439"/>
    <s v="408-3278847"/>
    <s v="32788"/>
    <x v="1"/>
    <n v="77"/>
    <x v="207"/>
    <x v="6"/>
    <x v="0"/>
    <x v="6"/>
    <s v="DA202"/>
    <x v="0"/>
    <n v="79999"/>
    <x v="438"/>
    <s v="Data analytics"/>
  </r>
  <r>
    <n v="1440"/>
    <s v="408-6574940"/>
    <s v="65749"/>
    <x v="0"/>
    <n v="37"/>
    <x v="207"/>
    <x v="6"/>
    <x v="0"/>
    <x v="1"/>
    <s v="DA202"/>
    <x v="0"/>
    <n v="79999"/>
    <x v="424"/>
    <s v="Data analytics"/>
  </r>
  <r>
    <n v="1441"/>
    <s v="404-9015378"/>
    <s v="90153"/>
    <x v="0"/>
    <n v="19"/>
    <x v="207"/>
    <x v="6"/>
    <x v="0"/>
    <x v="1"/>
    <s v="DM101"/>
    <x v="2"/>
    <n v="85499"/>
    <x v="392"/>
    <s v="Digial marketing"/>
  </r>
  <r>
    <n v="1442"/>
    <s v="408-4554593"/>
    <s v="45545"/>
    <x v="1"/>
    <n v="22"/>
    <x v="207"/>
    <x v="6"/>
    <x v="0"/>
    <x v="1"/>
    <s v="DM101"/>
    <x v="2"/>
    <n v="85499"/>
    <x v="24"/>
    <s v="Digial marketing"/>
  </r>
  <r>
    <n v="1443"/>
    <s v="408-0873349"/>
    <s v="87334"/>
    <x v="0"/>
    <n v="23"/>
    <x v="207"/>
    <x v="6"/>
    <x v="0"/>
    <x v="4"/>
    <s v="BA301"/>
    <x v="1"/>
    <n v="59999"/>
    <x v="29"/>
    <s v="Business analytics"/>
  </r>
  <r>
    <n v="1444"/>
    <s v="404-4527691"/>
    <s v="45276"/>
    <x v="0"/>
    <n v="39"/>
    <x v="207"/>
    <x v="6"/>
    <x v="0"/>
    <x v="0"/>
    <s v="DM101"/>
    <x v="2"/>
    <n v="85499"/>
    <x v="439"/>
    <s v="Digial marketing"/>
  </r>
  <r>
    <n v="1445"/>
    <s v="404-0955853"/>
    <s v="95585"/>
    <x v="0"/>
    <n v="45"/>
    <x v="207"/>
    <x v="6"/>
    <x v="0"/>
    <x v="1"/>
    <s v="DM101"/>
    <x v="2"/>
    <n v="85499"/>
    <x v="80"/>
    <s v="Digial marketing"/>
  </r>
  <r>
    <n v="1446"/>
    <s v="402-5292483"/>
    <s v="52924"/>
    <x v="0"/>
    <n v="52"/>
    <x v="207"/>
    <x v="6"/>
    <x v="2"/>
    <x v="1"/>
    <s v="DA202"/>
    <x v="0"/>
    <n v="79999"/>
    <x v="440"/>
    <s v="Data analytics"/>
  </r>
  <r>
    <n v="1447"/>
    <s v="171-7363366"/>
    <s v="73633"/>
    <x v="0"/>
    <n v="22"/>
    <x v="207"/>
    <x v="6"/>
    <x v="0"/>
    <x v="2"/>
    <s v="DA202"/>
    <x v="0"/>
    <n v="79999"/>
    <x v="441"/>
    <s v="Data analytics"/>
  </r>
  <r>
    <n v="1448"/>
    <s v="406-7740700"/>
    <s v="77407"/>
    <x v="1"/>
    <n v="46"/>
    <x v="207"/>
    <x v="6"/>
    <x v="0"/>
    <x v="0"/>
    <s v="DA202"/>
    <x v="0"/>
    <n v="79999"/>
    <x v="110"/>
    <s v="Data analytics"/>
  </r>
  <r>
    <n v="1449"/>
    <s v="406-7900281"/>
    <s v="79002"/>
    <x v="1"/>
    <n v="25"/>
    <x v="208"/>
    <x v="6"/>
    <x v="0"/>
    <x v="5"/>
    <s v="BA301"/>
    <x v="1"/>
    <n v="59999"/>
    <x v="16"/>
    <s v="Business analytics"/>
  </r>
  <r>
    <n v="1450"/>
    <s v="402-3275012"/>
    <s v="32750"/>
    <x v="0"/>
    <n v="49"/>
    <x v="208"/>
    <x v="6"/>
    <x v="0"/>
    <x v="0"/>
    <s v="DA202"/>
    <x v="0"/>
    <n v="79999"/>
    <x v="92"/>
    <s v="Data analytics"/>
  </r>
  <r>
    <n v="1451"/>
    <s v="408-5490746"/>
    <s v="54907"/>
    <x v="0"/>
    <n v="29"/>
    <x v="208"/>
    <x v="6"/>
    <x v="0"/>
    <x v="4"/>
    <s v="AI001"/>
    <x v="5"/>
    <n v="119990"/>
    <x v="442"/>
    <s v="AI &amp; ML"/>
  </r>
  <r>
    <n v="1452"/>
    <s v="404-5005753"/>
    <s v="50057"/>
    <x v="1"/>
    <n v="31"/>
    <x v="208"/>
    <x v="6"/>
    <x v="0"/>
    <x v="0"/>
    <s v="FSD103"/>
    <x v="3"/>
    <n v="109990"/>
    <x v="22"/>
    <s v="Full stack development"/>
  </r>
  <r>
    <n v="1453"/>
    <s v="171-8635299"/>
    <s v="86352"/>
    <x v="0"/>
    <n v="32"/>
    <x v="208"/>
    <x v="6"/>
    <x v="0"/>
    <x v="0"/>
    <s v="DM101"/>
    <x v="2"/>
    <n v="85499"/>
    <x v="15"/>
    <s v="Digial marketing"/>
  </r>
  <r>
    <n v="1454"/>
    <s v="407-5916244"/>
    <s v="59162"/>
    <x v="1"/>
    <n v="36"/>
    <x v="208"/>
    <x v="6"/>
    <x v="0"/>
    <x v="5"/>
    <s v="DA202"/>
    <x v="0"/>
    <n v="79999"/>
    <x v="255"/>
    <s v="Data analytics"/>
  </r>
  <r>
    <n v="1455"/>
    <s v="406-3601491"/>
    <s v="36014"/>
    <x v="0"/>
    <n v="27"/>
    <x v="209"/>
    <x v="6"/>
    <x v="0"/>
    <x v="2"/>
    <s v="DA202"/>
    <x v="0"/>
    <n v="79999"/>
    <x v="332"/>
    <s v="Data analytics"/>
  </r>
  <r>
    <n v="1456"/>
    <s v="406-7762087"/>
    <s v="77620"/>
    <x v="1"/>
    <n v="32"/>
    <x v="209"/>
    <x v="6"/>
    <x v="0"/>
    <x v="4"/>
    <s v="DA202"/>
    <x v="0"/>
    <n v="79999"/>
    <x v="74"/>
    <s v="Data analytics"/>
  </r>
  <r>
    <n v="1457"/>
    <s v="406-4955354"/>
    <s v="49553"/>
    <x v="1"/>
    <n v="22"/>
    <x v="209"/>
    <x v="6"/>
    <x v="0"/>
    <x v="6"/>
    <s v="DM101"/>
    <x v="2"/>
    <n v="85499"/>
    <x v="443"/>
    <s v="Digial marketing"/>
  </r>
  <r>
    <n v="1458"/>
    <s v="405-2568440"/>
    <s v="25684"/>
    <x v="1"/>
    <n v="48"/>
    <x v="209"/>
    <x v="6"/>
    <x v="0"/>
    <x v="1"/>
    <s v="DM101"/>
    <x v="2"/>
    <n v="85499"/>
    <x v="444"/>
    <s v="Digial marketing"/>
  </r>
  <r>
    <n v="1459"/>
    <s v="407-0381154"/>
    <s v="38115"/>
    <x v="1"/>
    <n v="33"/>
    <x v="209"/>
    <x v="6"/>
    <x v="0"/>
    <x v="2"/>
    <s v="BA301"/>
    <x v="1"/>
    <n v="59999"/>
    <x v="15"/>
    <s v="Business analytics"/>
  </r>
  <r>
    <n v="1460"/>
    <s v="406-7668594"/>
    <s v="76685"/>
    <x v="0"/>
    <n v="27"/>
    <x v="209"/>
    <x v="6"/>
    <x v="0"/>
    <x v="0"/>
    <s v="DM101"/>
    <x v="2"/>
    <n v="85499"/>
    <x v="445"/>
    <s v="Digial marketing"/>
  </r>
  <r>
    <n v="1461"/>
    <s v="407-5384199"/>
    <s v="53841"/>
    <x v="0"/>
    <n v="46"/>
    <x v="209"/>
    <x v="6"/>
    <x v="2"/>
    <x v="1"/>
    <s v="BA301"/>
    <x v="1"/>
    <n v="59999"/>
    <x v="84"/>
    <s v="Business analytics"/>
  </r>
  <r>
    <n v="1462"/>
    <s v="404-1218698"/>
    <s v="12186"/>
    <x v="0"/>
    <n v="28"/>
    <x v="209"/>
    <x v="6"/>
    <x v="0"/>
    <x v="0"/>
    <s v="DA202"/>
    <x v="0"/>
    <n v="79999"/>
    <x v="446"/>
    <s v="Data analytics"/>
  </r>
  <r>
    <n v="1463"/>
    <s v="402-7723019"/>
    <s v="77230"/>
    <x v="1"/>
    <n v="22"/>
    <x v="209"/>
    <x v="6"/>
    <x v="0"/>
    <x v="0"/>
    <s v="DA202"/>
    <x v="0"/>
    <n v="79999"/>
    <x v="447"/>
    <s v="Data analytics"/>
  </r>
  <r>
    <n v="1464"/>
    <s v="408-4031724"/>
    <s v="40317"/>
    <x v="0"/>
    <n v="49"/>
    <x v="209"/>
    <x v="6"/>
    <x v="0"/>
    <x v="6"/>
    <s v="DM101"/>
    <x v="2"/>
    <n v="85499"/>
    <x v="17"/>
    <s v="Digial marketing"/>
  </r>
  <r>
    <n v="1465"/>
    <s v="171-3370081"/>
    <s v="33700"/>
    <x v="0"/>
    <n v="47"/>
    <x v="210"/>
    <x v="6"/>
    <x v="0"/>
    <x v="3"/>
    <s v="DM101"/>
    <x v="2"/>
    <n v="85499"/>
    <x v="24"/>
    <s v="Digial marketing"/>
  </r>
  <r>
    <n v="1466"/>
    <s v="408-2943352"/>
    <s v="29433"/>
    <x v="1"/>
    <n v="75"/>
    <x v="210"/>
    <x v="6"/>
    <x v="0"/>
    <x v="3"/>
    <s v="DA202"/>
    <x v="0"/>
    <n v="79999"/>
    <x v="5"/>
    <s v="Data analytics"/>
  </r>
  <r>
    <n v="1467"/>
    <s v="408-2415258"/>
    <s v="24152"/>
    <x v="0"/>
    <n v="33"/>
    <x v="210"/>
    <x v="6"/>
    <x v="0"/>
    <x v="2"/>
    <s v="DM101"/>
    <x v="2"/>
    <n v="85499"/>
    <x v="240"/>
    <s v="Digial marketing"/>
  </r>
  <r>
    <n v="1468"/>
    <s v="408-7696413"/>
    <s v="76964"/>
    <x v="1"/>
    <n v="45"/>
    <x v="210"/>
    <x v="6"/>
    <x v="0"/>
    <x v="4"/>
    <s v="DA202"/>
    <x v="0"/>
    <n v="79999"/>
    <x v="448"/>
    <s v="Data analytics"/>
  </r>
  <r>
    <n v="1469"/>
    <s v="171-9245976"/>
    <s v="92459"/>
    <x v="0"/>
    <n v="45"/>
    <x v="210"/>
    <x v="6"/>
    <x v="0"/>
    <x v="0"/>
    <s v="DM101"/>
    <x v="2"/>
    <n v="85499"/>
    <x v="9"/>
    <s v="Digial marketing"/>
  </r>
  <r>
    <n v="1470"/>
    <s v="408-6026640"/>
    <s v="60266"/>
    <x v="0"/>
    <n v="34"/>
    <x v="210"/>
    <x v="6"/>
    <x v="0"/>
    <x v="0"/>
    <s v="DA202"/>
    <x v="0"/>
    <n v="79999"/>
    <x v="449"/>
    <s v="Data analytics"/>
  </r>
  <r>
    <n v="1471"/>
    <s v="408-9927049"/>
    <s v="99270"/>
    <x v="0"/>
    <n v="40"/>
    <x v="210"/>
    <x v="6"/>
    <x v="0"/>
    <x v="1"/>
    <s v="UX401"/>
    <x v="4"/>
    <n v="67990"/>
    <x v="450"/>
    <s v="UI/UX Design"/>
  </r>
  <r>
    <n v="1472"/>
    <s v="406-8251437"/>
    <s v="82514"/>
    <x v="0"/>
    <n v="28"/>
    <x v="210"/>
    <x v="6"/>
    <x v="0"/>
    <x v="3"/>
    <s v="DM101"/>
    <x v="2"/>
    <n v="85499"/>
    <x v="29"/>
    <s v="Digial marketing"/>
  </r>
  <r>
    <n v="1473"/>
    <s v="402-2561398"/>
    <s v="25613"/>
    <x v="0"/>
    <n v="30"/>
    <x v="210"/>
    <x v="6"/>
    <x v="0"/>
    <x v="0"/>
    <s v="DM101"/>
    <x v="2"/>
    <n v="85499"/>
    <x v="1"/>
    <s v="Digial marketing"/>
  </r>
  <r>
    <n v="1474"/>
    <s v="403-4620975"/>
    <s v="46209"/>
    <x v="1"/>
    <n v="44"/>
    <x v="210"/>
    <x v="6"/>
    <x v="0"/>
    <x v="0"/>
    <s v="DA202"/>
    <x v="0"/>
    <n v="79999"/>
    <x v="368"/>
    <s v="Data analytics"/>
  </r>
  <r>
    <n v="1475"/>
    <s v="171-1185779"/>
    <s v="11857"/>
    <x v="0"/>
    <n v="59"/>
    <x v="211"/>
    <x v="6"/>
    <x v="0"/>
    <x v="0"/>
    <s v="DA202"/>
    <x v="0"/>
    <n v="79999"/>
    <x v="451"/>
    <s v="Data analytics"/>
  </r>
  <r>
    <n v="1476"/>
    <s v="406-7301854"/>
    <s v="73018"/>
    <x v="0"/>
    <n v="22"/>
    <x v="211"/>
    <x v="6"/>
    <x v="0"/>
    <x v="1"/>
    <s v="DA202"/>
    <x v="0"/>
    <n v="79999"/>
    <x v="29"/>
    <s v="Data analytics"/>
  </r>
  <r>
    <n v="1477"/>
    <s v="171-4483599"/>
    <s v="44835"/>
    <x v="0"/>
    <n v="29"/>
    <x v="211"/>
    <x v="6"/>
    <x v="0"/>
    <x v="1"/>
    <s v="DA202"/>
    <x v="0"/>
    <n v="79999"/>
    <x v="205"/>
    <s v="Data analytics"/>
  </r>
  <r>
    <n v="1478"/>
    <s v="402-8283237"/>
    <s v="82832"/>
    <x v="1"/>
    <n v="66"/>
    <x v="211"/>
    <x v="6"/>
    <x v="0"/>
    <x v="0"/>
    <s v="DM101"/>
    <x v="2"/>
    <n v="85499"/>
    <x v="229"/>
    <s v="Digial marketing"/>
  </r>
  <r>
    <n v="1479"/>
    <s v="403-4240320"/>
    <s v="42403"/>
    <x v="1"/>
    <n v="70"/>
    <x v="211"/>
    <x v="6"/>
    <x v="0"/>
    <x v="1"/>
    <s v="BA301"/>
    <x v="1"/>
    <n v="59999"/>
    <x v="9"/>
    <s v="Business analytics"/>
  </r>
  <r>
    <n v="1480"/>
    <s v="404-8725769"/>
    <s v="87257"/>
    <x v="0"/>
    <n v="31"/>
    <x v="211"/>
    <x v="6"/>
    <x v="0"/>
    <x v="1"/>
    <s v="DM101"/>
    <x v="2"/>
    <n v="85499"/>
    <x v="3"/>
    <s v="Digial marketing"/>
  </r>
  <r>
    <n v="1481"/>
    <s v="408-3931013"/>
    <s v="39310"/>
    <x v="0"/>
    <n v="42"/>
    <x v="212"/>
    <x v="6"/>
    <x v="1"/>
    <x v="6"/>
    <s v="BA301"/>
    <x v="1"/>
    <n v="59999"/>
    <x v="5"/>
    <s v="Business analytics"/>
  </r>
  <r>
    <n v="1482"/>
    <s v="407-8215845"/>
    <s v="82158"/>
    <x v="1"/>
    <n v="64"/>
    <x v="212"/>
    <x v="6"/>
    <x v="0"/>
    <x v="2"/>
    <s v="DM101"/>
    <x v="2"/>
    <n v="85499"/>
    <x v="426"/>
    <s v="Digial marketing"/>
  </r>
  <r>
    <n v="1483"/>
    <s v="405-0927296"/>
    <s v="92729"/>
    <x v="0"/>
    <n v="23"/>
    <x v="212"/>
    <x v="6"/>
    <x v="0"/>
    <x v="0"/>
    <s v="DA202"/>
    <x v="0"/>
    <n v="79999"/>
    <x v="84"/>
    <s v="Data analytics"/>
  </r>
  <r>
    <n v="1484"/>
    <s v="405-3935093"/>
    <s v="39350"/>
    <x v="0"/>
    <n v="19"/>
    <x v="212"/>
    <x v="6"/>
    <x v="0"/>
    <x v="5"/>
    <s v="DM101"/>
    <x v="2"/>
    <n v="85499"/>
    <x v="120"/>
    <s v="Digial marketing"/>
  </r>
  <r>
    <n v="1485"/>
    <s v="402-7904316"/>
    <s v="79043"/>
    <x v="0"/>
    <n v="69"/>
    <x v="212"/>
    <x v="6"/>
    <x v="0"/>
    <x v="2"/>
    <s v="DM101"/>
    <x v="2"/>
    <n v="85499"/>
    <x v="54"/>
    <s v="Digial marketing"/>
  </r>
  <r>
    <n v="1486"/>
    <s v="405-6316840"/>
    <s v="63168"/>
    <x v="0"/>
    <n v="26"/>
    <x v="212"/>
    <x v="6"/>
    <x v="0"/>
    <x v="2"/>
    <s v="BA301"/>
    <x v="1"/>
    <n v="59999"/>
    <x v="7"/>
    <s v="Business analytics"/>
  </r>
  <r>
    <n v="1487"/>
    <s v="403-0904304"/>
    <s v="90430"/>
    <x v="0"/>
    <n v="23"/>
    <x v="212"/>
    <x v="6"/>
    <x v="0"/>
    <x v="2"/>
    <s v="BA301"/>
    <x v="1"/>
    <n v="59999"/>
    <x v="9"/>
    <s v="Business analytics"/>
  </r>
  <r>
    <n v="1488"/>
    <s v="407-9803581"/>
    <s v="98035"/>
    <x v="0"/>
    <n v="49"/>
    <x v="212"/>
    <x v="6"/>
    <x v="0"/>
    <x v="2"/>
    <s v="FSD103"/>
    <x v="3"/>
    <n v="109990"/>
    <x v="452"/>
    <s v="Full stack development"/>
  </r>
  <r>
    <n v="1489"/>
    <s v="407-2274005"/>
    <s v="22740"/>
    <x v="0"/>
    <n v="55"/>
    <x v="213"/>
    <x v="7"/>
    <x v="0"/>
    <x v="1"/>
    <s v="DM101"/>
    <x v="2"/>
    <n v="85499"/>
    <x v="24"/>
    <s v="Digial marketing"/>
  </r>
  <r>
    <n v="1490"/>
    <s v="408-9417709"/>
    <s v="94177"/>
    <x v="0"/>
    <n v="72"/>
    <x v="213"/>
    <x v="7"/>
    <x v="0"/>
    <x v="2"/>
    <s v="DM101"/>
    <x v="2"/>
    <n v="85499"/>
    <x v="128"/>
    <s v="Digial marketing"/>
  </r>
  <r>
    <n v="1491"/>
    <s v="403-4047131"/>
    <s v="40471"/>
    <x v="0"/>
    <n v="42"/>
    <x v="213"/>
    <x v="7"/>
    <x v="0"/>
    <x v="2"/>
    <s v="DM101"/>
    <x v="2"/>
    <n v="85499"/>
    <x v="15"/>
    <s v="Digial marketing"/>
  </r>
  <r>
    <n v="1492"/>
    <s v="406-0703797"/>
    <s v="70379"/>
    <x v="0"/>
    <n v="41"/>
    <x v="213"/>
    <x v="7"/>
    <x v="0"/>
    <x v="1"/>
    <s v="DA202"/>
    <x v="0"/>
    <n v="79999"/>
    <x v="100"/>
    <s v="Data analytics"/>
  </r>
  <r>
    <n v="1493"/>
    <s v="405-4197439"/>
    <s v="41974"/>
    <x v="0"/>
    <n v="19"/>
    <x v="213"/>
    <x v="7"/>
    <x v="0"/>
    <x v="0"/>
    <s v="DA202"/>
    <x v="0"/>
    <n v="79999"/>
    <x v="3"/>
    <s v="Data analytics"/>
  </r>
  <r>
    <n v="1494"/>
    <s v="403-1620002"/>
    <s v="16200"/>
    <x v="0"/>
    <n v="56"/>
    <x v="214"/>
    <x v="7"/>
    <x v="0"/>
    <x v="1"/>
    <s v="DM101"/>
    <x v="2"/>
    <n v="85499"/>
    <x v="453"/>
    <s v="Digial marketing"/>
  </r>
  <r>
    <n v="1495"/>
    <s v="404-3488493"/>
    <s v="34884"/>
    <x v="1"/>
    <n v="27"/>
    <x v="214"/>
    <x v="7"/>
    <x v="0"/>
    <x v="0"/>
    <s v="DA202"/>
    <x v="0"/>
    <n v="79999"/>
    <x v="35"/>
    <s v="Data analytics"/>
  </r>
  <r>
    <n v="1496"/>
    <s v="406-1182528"/>
    <s v="11825"/>
    <x v="1"/>
    <n v="39"/>
    <x v="214"/>
    <x v="7"/>
    <x v="0"/>
    <x v="1"/>
    <s v="DA202"/>
    <x v="0"/>
    <n v="79999"/>
    <x v="15"/>
    <s v="Data analytics"/>
  </r>
  <r>
    <n v="1497"/>
    <s v="171-5392191"/>
    <s v="53921"/>
    <x v="0"/>
    <n v="25"/>
    <x v="214"/>
    <x v="7"/>
    <x v="0"/>
    <x v="3"/>
    <s v="DM101"/>
    <x v="2"/>
    <n v="85499"/>
    <x v="146"/>
    <s v="Digial marketing"/>
  </r>
  <r>
    <n v="1498"/>
    <s v="408-9813537"/>
    <s v="98135"/>
    <x v="0"/>
    <n v="44"/>
    <x v="214"/>
    <x v="7"/>
    <x v="0"/>
    <x v="0"/>
    <s v="BA301"/>
    <x v="1"/>
    <n v="59999"/>
    <x v="15"/>
    <s v="Business analytics"/>
  </r>
  <r>
    <n v="1499"/>
    <s v="406-1472994"/>
    <s v="14729"/>
    <x v="0"/>
    <n v="40"/>
    <x v="214"/>
    <x v="7"/>
    <x v="0"/>
    <x v="1"/>
    <s v="DM101"/>
    <x v="2"/>
    <n v="85499"/>
    <x v="80"/>
    <s v="Digial marketing"/>
  </r>
  <r>
    <n v="1500"/>
    <s v="171-5044615"/>
    <s v="50446"/>
    <x v="0"/>
    <n v="22"/>
    <x v="214"/>
    <x v="7"/>
    <x v="0"/>
    <x v="2"/>
    <s v="DM101"/>
    <x v="2"/>
    <n v="85499"/>
    <x v="183"/>
    <s v="Digial marketing"/>
  </r>
  <r>
    <n v="1501"/>
    <s v="406-9753106"/>
    <s v="97531"/>
    <x v="0"/>
    <n v="46"/>
    <x v="214"/>
    <x v="7"/>
    <x v="0"/>
    <x v="2"/>
    <s v="FSD103"/>
    <x v="3"/>
    <n v="109990"/>
    <x v="49"/>
    <s v="Full stack development"/>
  </r>
  <r>
    <n v="1502"/>
    <s v="403-9100897"/>
    <s v="91008"/>
    <x v="0"/>
    <n v="27"/>
    <x v="214"/>
    <x v="7"/>
    <x v="0"/>
    <x v="0"/>
    <s v="DA202"/>
    <x v="0"/>
    <n v="79999"/>
    <x v="49"/>
    <s v="Data analytics"/>
  </r>
  <r>
    <n v="1503"/>
    <s v="403-9984929"/>
    <s v="99849"/>
    <x v="0"/>
    <n v="32"/>
    <x v="214"/>
    <x v="7"/>
    <x v="0"/>
    <x v="4"/>
    <s v="DM101"/>
    <x v="2"/>
    <n v="85499"/>
    <x v="15"/>
    <s v="Digial marketing"/>
  </r>
  <r>
    <n v="1504"/>
    <s v="403-3861713"/>
    <s v="38617"/>
    <x v="0"/>
    <n v="35"/>
    <x v="214"/>
    <x v="7"/>
    <x v="0"/>
    <x v="2"/>
    <s v="DM101"/>
    <x v="2"/>
    <n v="85499"/>
    <x v="3"/>
    <s v="Digial marketing"/>
  </r>
  <r>
    <n v="1505"/>
    <s v="403-8096144"/>
    <s v="80961"/>
    <x v="0"/>
    <n v="74"/>
    <x v="215"/>
    <x v="7"/>
    <x v="0"/>
    <x v="2"/>
    <s v="DA202"/>
    <x v="0"/>
    <n v="79999"/>
    <x v="264"/>
    <s v="Data analytics"/>
  </r>
  <r>
    <n v="1506"/>
    <s v="406-1430610"/>
    <s v="14306"/>
    <x v="0"/>
    <n v="48"/>
    <x v="215"/>
    <x v="7"/>
    <x v="0"/>
    <x v="0"/>
    <s v="BA301"/>
    <x v="1"/>
    <n v="59999"/>
    <x v="454"/>
    <s v="Business analytics"/>
  </r>
  <r>
    <n v="1507"/>
    <s v="406-5897731"/>
    <s v="58977"/>
    <x v="0"/>
    <n v="49"/>
    <x v="215"/>
    <x v="7"/>
    <x v="0"/>
    <x v="0"/>
    <s v="DA202"/>
    <x v="0"/>
    <n v="79999"/>
    <x v="80"/>
    <s v="Data analytics"/>
  </r>
  <r>
    <n v="1508"/>
    <s v="406-8674741"/>
    <s v="86747"/>
    <x v="1"/>
    <n v="45"/>
    <x v="215"/>
    <x v="7"/>
    <x v="0"/>
    <x v="1"/>
    <s v="DA202"/>
    <x v="0"/>
    <n v="79999"/>
    <x v="352"/>
    <s v="Data analytics"/>
  </r>
  <r>
    <n v="1509"/>
    <s v="407-2608213"/>
    <s v="26082"/>
    <x v="0"/>
    <n v="76"/>
    <x v="215"/>
    <x v="7"/>
    <x v="1"/>
    <x v="0"/>
    <s v="DM101"/>
    <x v="2"/>
    <n v="85499"/>
    <x v="29"/>
    <s v="Digial marketing"/>
  </r>
  <r>
    <n v="1510"/>
    <s v="402-9430508"/>
    <s v="94305"/>
    <x v="0"/>
    <n v="28"/>
    <x v="215"/>
    <x v="7"/>
    <x v="0"/>
    <x v="1"/>
    <s v="UX401"/>
    <x v="4"/>
    <n v="67990"/>
    <x v="16"/>
    <s v="UI/UX Design"/>
  </r>
  <r>
    <n v="1511"/>
    <s v="408-5432916"/>
    <s v="54329"/>
    <x v="0"/>
    <n v="37"/>
    <x v="215"/>
    <x v="7"/>
    <x v="0"/>
    <x v="1"/>
    <s v="DA202"/>
    <x v="0"/>
    <n v="79999"/>
    <x v="320"/>
    <s v="Data analytics"/>
  </r>
  <r>
    <n v="1512"/>
    <s v="404-5682661"/>
    <s v="56826"/>
    <x v="0"/>
    <n v="47"/>
    <x v="216"/>
    <x v="7"/>
    <x v="0"/>
    <x v="1"/>
    <s v="DM101"/>
    <x v="2"/>
    <n v="85499"/>
    <x v="12"/>
    <s v="Digial marketing"/>
  </r>
  <r>
    <n v="1513"/>
    <s v="406-9792025"/>
    <s v="97920"/>
    <x v="0"/>
    <n v="25"/>
    <x v="216"/>
    <x v="7"/>
    <x v="0"/>
    <x v="1"/>
    <s v="BA301"/>
    <x v="1"/>
    <n v="59999"/>
    <x v="3"/>
    <s v="Business analytics"/>
  </r>
  <r>
    <n v="1514"/>
    <s v="403-7016652"/>
    <s v="70166"/>
    <x v="1"/>
    <n v="55"/>
    <x v="216"/>
    <x v="7"/>
    <x v="0"/>
    <x v="0"/>
    <s v="BA301"/>
    <x v="1"/>
    <n v="59999"/>
    <x v="3"/>
    <s v="Business analytics"/>
  </r>
  <r>
    <n v="1515"/>
    <s v="404-9927746"/>
    <s v="99277"/>
    <x v="0"/>
    <n v="26"/>
    <x v="216"/>
    <x v="7"/>
    <x v="0"/>
    <x v="3"/>
    <s v="DA202"/>
    <x v="0"/>
    <n v="79999"/>
    <x v="167"/>
    <s v="Data analytics"/>
  </r>
  <r>
    <n v="1516"/>
    <s v="405-7789314"/>
    <s v="77893"/>
    <x v="0"/>
    <n v="21"/>
    <x v="216"/>
    <x v="7"/>
    <x v="0"/>
    <x v="1"/>
    <s v="DA202"/>
    <x v="0"/>
    <n v="79999"/>
    <x v="455"/>
    <s v="Data analytics"/>
  </r>
  <r>
    <n v="1517"/>
    <s v="408-8845408"/>
    <s v="88454"/>
    <x v="1"/>
    <n v="20"/>
    <x v="217"/>
    <x v="7"/>
    <x v="0"/>
    <x v="1"/>
    <s v="DM101"/>
    <x v="2"/>
    <n v="85499"/>
    <x v="16"/>
    <s v="Digial marketing"/>
  </r>
  <r>
    <n v="1518"/>
    <s v="406-8501111"/>
    <s v="85011"/>
    <x v="0"/>
    <n v="21"/>
    <x v="217"/>
    <x v="7"/>
    <x v="0"/>
    <x v="1"/>
    <s v="UX401"/>
    <x v="4"/>
    <n v="67990"/>
    <x v="456"/>
    <s v="UI/UX Design"/>
  </r>
  <r>
    <n v="1519"/>
    <s v="404-6549846"/>
    <s v="65498"/>
    <x v="0"/>
    <n v="43"/>
    <x v="217"/>
    <x v="7"/>
    <x v="0"/>
    <x v="2"/>
    <s v="UX401"/>
    <x v="4"/>
    <n v="67990"/>
    <x v="457"/>
    <s v="UI/UX Design"/>
  </r>
  <r>
    <n v="1520"/>
    <s v="403-3013384"/>
    <s v="30133"/>
    <x v="0"/>
    <n v="21"/>
    <x v="217"/>
    <x v="7"/>
    <x v="0"/>
    <x v="1"/>
    <s v="DA202"/>
    <x v="0"/>
    <n v="79999"/>
    <x v="316"/>
    <s v="Data analytics"/>
  </r>
  <r>
    <n v="1521"/>
    <s v="171-6805432"/>
    <s v="68054"/>
    <x v="0"/>
    <n v="19"/>
    <x v="217"/>
    <x v="7"/>
    <x v="0"/>
    <x v="0"/>
    <s v="BA301"/>
    <x v="1"/>
    <n v="59999"/>
    <x v="458"/>
    <s v="Business analytics"/>
  </r>
  <r>
    <n v="1522"/>
    <s v="171-5506310"/>
    <s v="55063"/>
    <x v="0"/>
    <n v="37"/>
    <x v="218"/>
    <x v="7"/>
    <x v="0"/>
    <x v="2"/>
    <s v="DM101"/>
    <x v="2"/>
    <n v="85499"/>
    <x v="122"/>
    <s v="Digial marketing"/>
  </r>
  <r>
    <n v="1523"/>
    <s v="405-2402262"/>
    <s v="24022"/>
    <x v="1"/>
    <n v="28"/>
    <x v="218"/>
    <x v="7"/>
    <x v="0"/>
    <x v="1"/>
    <s v="UX401"/>
    <x v="4"/>
    <n v="67990"/>
    <x v="15"/>
    <s v="UI/UX Design"/>
  </r>
  <r>
    <n v="1524"/>
    <s v="402-9376118"/>
    <s v="93761"/>
    <x v="0"/>
    <n v="29"/>
    <x v="218"/>
    <x v="7"/>
    <x v="2"/>
    <x v="2"/>
    <s v="DM101"/>
    <x v="2"/>
    <n v="85499"/>
    <x v="459"/>
    <s v="Digial marketing"/>
  </r>
  <r>
    <n v="1525"/>
    <s v="405-6555766"/>
    <s v="65557"/>
    <x v="0"/>
    <n v="20"/>
    <x v="218"/>
    <x v="7"/>
    <x v="0"/>
    <x v="0"/>
    <s v="DA202"/>
    <x v="0"/>
    <n v="79999"/>
    <x v="7"/>
    <s v="Data analytics"/>
  </r>
  <r>
    <n v="1526"/>
    <s v="171-3389220"/>
    <s v="33892"/>
    <x v="0"/>
    <n v="39"/>
    <x v="218"/>
    <x v="7"/>
    <x v="0"/>
    <x v="2"/>
    <s v="BA301"/>
    <x v="1"/>
    <n v="59999"/>
    <x v="84"/>
    <s v="Business analytics"/>
  </r>
  <r>
    <n v="1527"/>
    <s v="404-6465978"/>
    <s v="64659"/>
    <x v="0"/>
    <n v="41"/>
    <x v="218"/>
    <x v="7"/>
    <x v="0"/>
    <x v="4"/>
    <s v="DA202"/>
    <x v="0"/>
    <n v="79999"/>
    <x v="270"/>
    <s v="Data analytics"/>
  </r>
  <r>
    <n v="1528"/>
    <s v="404-0921791"/>
    <s v="92179"/>
    <x v="1"/>
    <n v="76"/>
    <x v="218"/>
    <x v="7"/>
    <x v="0"/>
    <x v="2"/>
    <s v="DA202"/>
    <x v="0"/>
    <n v="79999"/>
    <x v="367"/>
    <s v="Data analytics"/>
  </r>
  <r>
    <n v="1529"/>
    <s v="402-0380972"/>
    <s v="38097"/>
    <x v="0"/>
    <n v="25"/>
    <x v="218"/>
    <x v="7"/>
    <x v="0"/>
    <x v="1"/>
    <s v="DM101"/>
    <x v="2"/>
    <n v="85499"/>
    <x v="9"/>
    <s v="Digial marketing"/>
  </r>
  <r>
    <n v="1530"/>
    <s v="171-1683340"/>
    <s v="16833"/>
    <x v="0"/>
    <n v="48"/>
    <x v="218"/>
    <x v="7"/>
    <x v="0"/>
    <x v="1"/>
    <s v="BA301"/>
    <x v="1"/>
    <n v="59999"/>
    <x v="24"/>
    <s v="Business analytics"/>
  </r>
  <r>
    <n v="1531"/>
    <s v="171-3119448"/>
    <s v="31194"/>
    <x v="0"/>
    <n v="71"/>
    <x v="219"/>
    <x v="7"/>
    <x v="0"/>
    <x v="5"/>
    <s v="DA202"/>
    <x v="0"/>
    <n v="79999"/>
    <x v="24"/>
    <s v="Data analytics"/>
  </r>
  <r>
    <n v="1532"/>
    <s v="171-3355614"/>
    <s v="33556"/>
    <x v="0"/>
    <n v="30"/>
    <x v="219"/>
    <x v="7"/>
    <x v="0"/>
    <x v="2"/>
    <s v="DA202"/>
    <x v="0"/>
    <n v="79999"/>
    <x v="9"/>
    <s v="Data analytics"/>
  </r>
  <r>
    <n v="1533"/>
    <s v="405-0011746"/>
    <s v="11746"/>
    <x v="1"/>
    <n v="47"/>
    <x v="219"/>
    <x v="7"/>
    <x v="0"/>
    <x v="4"/>
    <s v="DM101"/>
    <x v="2"/>
    <n v="85499"/>
    <x v="226"/>
    <s v="Digial marketing"/>
  </r>
  <r>
    <n v="1534"/>
    <s v="407-6254467"/>
    <s v="62544"/>
    <x v="0"/>
    <n v="32"/>
    <x v="219"/>
    <x v="7"/>
    <x v="0"/>
    <x v="1"/>
    <s v="DA202"/>
    <x v="0"/>
    <n v="79999"/>
    <x v="29"/>
    <s v="Data analytics"/>
  </r>
  <r>
    <n v="1535"/>
    <s v="171-6409670"/>
    <s v="64096"/>
    <x v="0"/>
    <n v="48"/>
    <x v="219"/>
    <x v="7"/>
    <x v="0"/>
    <x v="2"/>
    <s v="DM101"/>
    <x v="2"/>
    <n v="85499"/>
    <x v="209"/>
    <s v="Digial marketing"/>
  </r>
  <r>
    <n v="1536"/>
    <s v="407-0809437"/>
    <s v="80943"/>
    <x v="0"/>
    <n v="45"/>
    <x v="220"/>
    <x v="7"/>
    <x v="0"/>
    <x v="0"/>
    <s v="DM101"/>
    <x v="2"/>
    <n v="85499"/>
    <x v="3"/>
    <s v="Digial marketing"/>
  </r>
  <r>
    <n v="1537"/>
    <s v="171-9880082"/>
    <s v="98800"/>
    <x v="0"/>
    <n v="75"/>
    <x v="220"/>
    <x v="7"/>
    <x v="0"/>
    <x v="1"/>
    <s v="DA202"/>
    <x v="0"/>
    <n v="79999"/>
    <x v="16"/>
    <s v="Data analytics"/>
  </r>
  <r>
    <n v="1538"/>
    <s v="408-0152464"/>
    <s v="15246"/>
    <x v="0"/>
    <n v="43"/>
    <x v="220"/>
    <x v="7"/>
    <x v="0"/>
    <x v="2"/>
    <s v="DM101"/>
    <x v="2"/>
    <n v="85499"/>
    <x v="24"/>
    <s v="Digial marketing"/>
  </r>
  <r>
    <n v="1539"/>
    <s v="406-6929795"/>
    <s v="69297"/>
    <x v="0"/>
    <n v="25"/>
    <x v="220"/>
    <x v="7"/>
    <x v="0"/>
    <x v="1"/>
    <s v="DM101"/>
    <x v="2"/>
    <n v="85499"/>
    <x v="3"/>
    <s v="Digial marketing"/>
  </r>
  <r>
    <n v="1540"/>
    <s v="403-7214213"/>
    <s v="72142"/>
    <x v="0"/>
    <n v="21"/>
    <x v="220"/>
    <x v="7"/>
    <x v="0"/>
    <x v="1"/>
    <s v="DA202"/>
    <x v="0"/>
    <n v="79999"/>
    <x v="183"/>
    <s v="Data analytics"/>
  </r>
  <r>
    <n v="1541"/>
    <s v="404-0771809"/>
    <s v="77180"/>
    <x v="0"/>
    <n v="48"/>
    <x v="220"/>
    <x v="7"/>
    <x v="0"/>
    <x v="1"/>
    <s v="DM101"/>
    <x v="2"/>
    <n v="85499"/>
    <x v="41"/>
    <s v="Digial marketing"/>
  </r>
  <r>
    <n v="1542"/>
    <s v="407-6387359"/>
    <s v="63873"/>
    <x v="0"/>
    <n v="33"/>
    <x v="221"/>
    <x v="7"/>
    <x v="0"/>
    <x v="1"/>
    <s v="DA202"/>
    <x v="0"/>
    <n v="79999"/>
    <x v="49"/>
    <s v="Data analytics"/>
  </r>
  <r>
    <n v="1543"/>
    <s v="403-1063479"/>
    <s v="10634"/>
    <x v="1"/>
    <n v="46"/>
    <x v="221"/>
    <x v="7"/>
    <x v="0"/>
    <x v="1"/>
    <s v="BA301"/>
    <x v="1"/>
    <n v="59999"/>
    <x v="16"/>
    <s v="Business analytics"/>
  </r>
  <r>
    <n v="1544"/>
    <s v="406-8543679"/>
    <s v="85436"/>
    <x v="0"/>
    <n v="35"/>
    <x v="221"/>
    <x v="7"/>
    <x v="0"/>
    <x v="1"/>
    <s v="DM101"/>
    <x v="2"/>
    <n v="85499"/>
    <x v="460"/>
    <s v="Digial marketing"/>
  </r>
  <r>
    <n v="1545"/>
    <s v="408-7496693"/>
    <s v="74966"/>
    <x v="0"/>
    <n v="43"/>
    <x v="221"/>
    <x v="7"/>
    <x v="0"/>
    <x v="1"/>
    <s v="DA202"/>
    <x v="0"/>
    <n v="79999"/>
    <x v="1"/>
    <s v="Data analytics"/>
  </r>
  <r>
    <n v="1546"/>
    <s v="408-1540731"/>
    <s v="15407"/>
    <x v="0"/>
    <n v="44"/>
    <x v="221"/>
    <x v="7"/>
    <x v="0"/>
    <x v="4"/>
    <s v="BA301"/>
    <x v="1"/>
    <n v="59999"/>
    <x v="9"/>
    <s v="Business analytics"/>
  </r>
  <r>
    <n v="1547"/>
    <s v="405-9438810"/>
    <s v="94388"/>
    <x v="0"/>
    <n v="34"/>
    <x v="221"/>
    <x v="7"/>
    <x v="0"/>
    <x v="1"/>
    <s v="DM101"/>
    <x v="2"/>
    <n v="85499"/>
    <x v="49"/>
    <s v="Digial marketing"/>
  </r>
  <r>
    <n v="1548"/>
    <s v="408-4232662"/>
    <s v="42326"/>
    <x v="0"/>
    <n v="26"/>
    <x v="221"/>
    <x v="7"/>
    <x v="0"/>
    <x v="0"/>
    <s v="BA301"/>
    <x v="1"/>
    <n v="59999"/>
    <x v="16"/>
    <s v="Business analytics"/>
  </r>
  <r>
    <n v="1549"/>
    <s v="406-1107968"/>
    <s v="11079"/>
    <x v="1"/>
    <n v="49"/>
    <x v="221"/>
    <x v="7"/>
    <x v="0"/>
    <x v="0"/>
    <s v="DM101"/>
    <x v="2"/>
    <n v="85499"/>
    <x v="304"/>
    <s v="Digial marketing"/>
  </r>
  <r>
    <n v="1550"/>
    <s v="403-1674578"/>
    <s v="16745"/>
    <x v="0"/>
    <n v="37"/>
    <x v="222"/>
    <x v="7"/>
    <x v="0"/>
    <x v="0"/>
    <s v="DA202"/>
    <x v="0"/>
    <n v="79999"/>
    <x v="40"/>
    <s v="Data analytics"/>
  </r>
  <r>
    <n v="1551"/>
    <s v="406-4744674"/>
    <s v="47446"/>
    <x v="1"/>
    <n v="31"/>
    <x v="222"/>
    <x v="7"/>
    <x v="0"/>
    <x v="1"/>
    <s v="DM101"/>
    <x v="2"/>
    <n v="85499"/>
    <x v="135"/>
    <s v="Digial marketing"/>
  </r>
  <r>
    <n v="1552"/>
    <s v="407-7470368"/>
    <s v="74703"/>
    <x v="0"/>
    <n v="18"/>
    <x v="222"/>
    <x v="7"/>
    <x v="0"/>
    <x v="1"/>
    <s v="DA202"/>
    <x v="0"/>
    <n v="79999"/>
    <x v="9"/>
    <s v="Data analytics"/>
  </r>
  <r>
    <n v="1553"/>
    <s v="408-5533867"/>
    <s v="55338"/>
    <x v="0"/>
    <n v="18"/>
    <x v="222"/>
    <x v="7"/>
    <x v="0"/>
    <x v="1"/>
    <s v="DA202"/>
    <x v="0"/>
    <n v="79999"/>
    <x v="29"/>
    <s v="Data analytics"/>
  </r>
  <r>
    <n v="1554"/>
    <s v="406-2618598"/>
    <s v="26185"/>
    <x v="0"/>
    <n v="20"/>
    <x v="222"/>
    <x v="7"/>
    <x v="0"/>
    <x v="1"/>
    <s v="DA202"/>
    <x v="0"/>
    <n v="79999"/>
    <x v="461"/>
    <s v="Data analytics"/>
  </r>
  <r>
    <n v="1555"/>
    <s v="402-2303396"/>
    <s v="23033"/>
    <x v="1"/>
    <n v="53"/>
    <x v="222"/>
    <x v="7"/>
    <x v="0"/>
    <x v="0"/>
    <s v="AI001"/>
    <x v="5"/>
    <n v="119990"/>
    <x v="462"/>
    <s v="AI &amp; ML"/>
  </r>
  <r>
    <n v="1556"/>
    <s v="403-7874774"/>
    <s v="78747"/>
    <x v="0"/>
    <n v="45"/>
    <x v="222"/>
    <x v="7"/>
    <x v="0"/>
    <x v="1"/>
    <s v="DM101"/>
    <x v="2"/>
    <n v="85499"/>
    <x v="3"/>
    <s v="Digial marketing"/>
  </r>
  <r>
    <n v="1557"/>
    <s v="403-6300874"/>
    <s v="63008"/>
    <x v="0"/>
    <n v="60"/>
    <x v="222"/>
    <x v="7"/>
    <x v="0"/>
    <x v="2"/>
    <s v="DM101"/>
    <x v="2"/>
    <n v="85499"/>
    <x v="16"/>
    <s v="Digial marketing"/>
  </r>
  <r>
    <n v="1558"/>
    <s v="403-4995069"/>
    <s v="49950"/>
    <x v="0"/>
    <n v="23"/>
    <x v="222"/>
    <x v="7"/>
    <x v="2"/>
    <x v="2"/>
    <s v="UX401"/>
    <x v="4"/>
    <n v="67990"/>
    <x v="463"/>
    <s v="UI/UX Design"/>
  </r>
  <r>
    <n v="1559"/>
    <s v="407-1935006"/>
    <s v="19350"/>
    <x v="0"/>
    <n v="61"/>
    <x v="223"/>
    <x v="7"/>
    <x v="0"/>
    <x v="0"/>
    <s v="DA202"/>
    <x v="0"/>
    <n v="79999"/>
    <x v="102"/>
    <s v="Data analytics"/>
  </r>
  <r>
    <n v="1560"/>
    <s v="171-0233887"/>
    <s v="23388"/>
    <x v="0"/>
    <n v="72"/>
    <x v="223"/>
    <x v="7"/>
    <x v="0"/>
    <x v="2"/>
    <s v="DA202"/>
    <x v="0"/>
    <n v="79999"/>
    <x v="341"/>
    <s v="Data analytics"/>
  </r>
  <r>
    <n v="1561"/>
    <s v="406-8116400"/>
    <s v="81164"/>
    <x v="0"/>
    <n v="33"/>
    <x v="224"/>
    <x v="7"/>
    <x v="0"/>
    <x v="5"/>
    <s v="DM101"/>
    <x v="2"/>
    <n v="85499"/>
    <x v="464"/>
    <s v="Digial marketing"/>
  </r>
  <r>
    <n v="1562"/>
    <s v="404-1834485"/>
    <s v="18344"/>
    <x v="1"/>
    <n v="77"/>
    <x v="224"/>
    <x v="7"/>
    <x v="0"/>
    <x v="1"/>
    <s v="UX401"/>
    <x v="4"/>
    <n v="67990"/>
    <x v="15"/>
    <s v="UI/UX Design"/>
  </r>
  <r>
    <n v="1563"/>
    <s v="407-5609514"/>
    <s v="56095"/>
    <x v="1"/>
    <n v="44"/>
    <x v="224"/>
    <x v="7"/>
    <x v="0"/>
    <x v="1"/>
    <s v="DA202"/>
    <x v="0"/>
    <n v="79999"/>
    <x v="9"/>
    <s v="Data analytics"/>
  </r>
  <r>
    <n v="1564"/>
    <s v="405-4145852"/>
    <s v="41458"/>
    <x v="0"/>
    <n v="28"/>
    <x v="224"/>
    <x v="7"/>
    <x v="0"/>
    <x v="1"/>
    <s v="FSD103"/>
    <x v="3"/>
    <n v="109990"/>
    <x v="3"/>
    <s v="Full stack development"/>
  </r>
  <r>
    <n v="1565"/>
    <s v="406-8853977"/>
    <s v="88539"/>
    <x v="0"/>
    <n v="76"/>
    <x v="224"/>
    <x v="7"/>
    <x v="0"/>
    <x v="0"/>
    <s v="DA202"/>
    <x v="0"/>
    <n v="79999"/>
    <x v="465"/>
    <s v="Data analytics"/>
  </r>
  <r>
    <n v="1566"/>
    <s v="405-8570690"/>
    <s v="85706"/>
    <x v="0"/>
    <n v="78"/>
    <x v="224"/>
    <x v="7"/>
    <x v="0"/>
    <x v="5"/>
    <s v="DA202"/>
    <x v="0"/>
    <n v="79999"/>
    <x v="466"/>
    <s v="Data analytics"/>
  </r>
  <r>
    <n v="1567"/>
    <s v="407-6963137"/>
    <s v="69631"/>
    <x v="0"/>
    <n v="42"/>
    <x v="224"/>
    <x v="7"/>
    <x v="0"/>
    <x v="5"/>
    <s v="DM101"/>
    <x v="2"/>
    <n v="85499"/>
    <x v="29"/>
    <s v="Digial marketing"/>
  </r>
  <r>
    <n v="1568"/>
    <s v="406-6145195"/>
    <s v="61451"/>
    <x v="1"/>
    <n v="25"/>
    <x v="224"/>
    <x v="7"/>
    <x v="0"/>
    <x v="0"/>
    <s v="DM101"/>
    <x v="2"/>
    <n v="85499"/>
    <x v="3"/>
    <s v="Digial marketing"/>
  </r>
  <r>
    <n v="1569"/>
    <s v="408-5602925"/>
    <s v="56029"/>
    <x v="0"/>
    <n v="42"/>
    <x v="224"/>
    <x v="7"/>
    <x v="0"/>
    <x v="0"/>
    <s v="DM101"/>
    <x v="2"/>
    <n v="85499"/>
    <x v="226"/>
    <s v="Digial marketing"/>
  </r>
  <r>
    <n v="1570"/>
    <s v="408-9877290"/>
    <s v="98772"/>
    <x v="0"/>
    <n v="71"/>
    <x v="225"/>
    <x v="7"/>
    <x v="0"/>
    <x v="1"/>
    <s v="BA301"/>
    <x v="1"/>
    <n v="59999"/>
    <x v="467"/>
    <s v="Business analytics"/>
  </r>
  <r>
    <n v="1571"/>
    <s v="408-3405518"/>
    <s v="34055"/>
    <x v="0"/>
    <n v="23"/>
    <x v="225"/>
    <x v="7"/>
    <x v="0"/>
    <x v="1"/>
    <s v="DM101"/>
    <x v="2"/>
    <n v="85499"/>
    <x v="55"/>
    <s v="Digial marketing"/>
  </r>
  <r>
    <n v="1572"/>
    <s v="406-4755302"/>
    <s v="47553"/>
    <x v="0"/>
    <n v="39"/>
    <x v="225"/>
    <x v="7"/>
    <x v="0"/>
    <x v="1"/>
    <s v="BA301"/>
    <x v="1"/>
    <n v="59999"/>
    <x v="3"/>
    <s v="Business analytics"/>
  </r>
  <r>
    <n v="1573"/>
    <s v="403-4964848"/>
    <s v="49648"/>
    <x v="0"/>
    <n v="31"/>
    <x v="225"/>
    <x v="7"/>
    <x v="0"/>
    <x v="1"/>
    <s v="BA301"/>
    <x v="1"/>
    <n v="59999"/>
    <x v="29"/>
    <s v="Business analytics"/>
  </r>
  <r>
    <n v="1574"/>
    <s v="406-9498675"/>
    <s v="94986"/>
    <x v="0"/>
    <n v="69"/>
    <x v="225"/>
    <x v="7"/>
    <x v="0"/>
    <x v="1"/>
    <s v="DM101"/>
    <x v="2"/>
    <n v="85499"/>
    <x v="360"/>
    <s v="Digial marketing"/>
  </r>
  <r>
    <n v="1575"/>
    <s v="405-9985172"/>
    <s v="99851"/>
    <x v="0"/>
    <n v="47"/>
    <x v="225"/>
    <x v="7"/>
    <x v="0"/>
    <x v="2"/>
    <s v="DM101"/>
    <x v="2"/>
    <n v="85499"/>
    <x v="15"/>
    <s v="Digial marketing"/>
  </r>
  <r>
    <n v="1576"/>
    <s v="405-7137385"/>
    <s v="71373"/>
    <x v="0"/>
    <n v="72"/>
    <x v="225"/>
    <x v="7"/>
    <x v="0"/>
    <x v="3"/>
    <s v="DA202"/>
    <x v="0"/>
    <n v="79999"/>
    <x v="57"/>
    <s v="Data analytics"/>
  </r>
  <r>
    <n v="1577"/>
    <s v="403-6727532"/>
    <s v="67275"/>
    <x v="1"/>
    <n v="27"/>
    <x v="225"/>
    <x v="7"/>
    <x v="0"/>
    <x v="0"/>
    <s v="UX401"/>
    <x v="4"/>
    <n v="67990"/>
    <x v="141"/>
    <s v="UI/UX Design"/>
  </r>
  <r>
    <n v="1578"/>
    <s v="407-2526694"/>
    <s v="25266"/>
    <x v="0"/>
    <n v="31"/>
    <x v="225"/>
    <x v="7"/>
    <x v="2"/>
    <x v="1"/>
    <s v="BA301"/>
    <x v="1"/>
    <n v="59999"/>
    <x v="58"/>
    <s v="Business analytics"/>
  </r>
  <r>
    <n v="1579"/>
    <s v="405-5201785"/>
    <s v="52017"/>
    <x v="0"/>
    <n v="20"/>
    <x v="226"/>
    <x v="7"/>
    <x v="0"/>
    <x v="1"/>
    <s v="DA202"/>
    <x v="0"/>
    <n v="79999"/>
    <x v="40"/>
    <s v="Data analytics"/>
  </r>
  <r>
    <n v="1580"/>
    <s v="407-8280538"/>
    <s v="82805"/>
    <x v="0"/>
    <n v="36"/>
    <x v="226"/>
    <x v="7"/>
    <x v="0"/>
    <x v="2"/>
    <s v="DM101"/>
    <x v="2"/>
    <n v="85499"/>
    <x v="41"/>
    <s v="Digial marketing"/>
  </r>
  <r>
    <n v="1581"/>
    <s v="407-3155887"/>
    <s v="31558"/>
    <x v="1"/>
    <n v="29"/>
    <x v="226"/>
    <x v="7"/>
    <x v="0"/>
    <x v="6"/>
    <s v="DM101"/>
    <x v="2"/>
    <n v="85499"/>
    <x v="183"/>
    <s v="Digial marketing"/>
  </r>
  <r>
    <n v="1582"/>
    <s v="408-7759144"/>
    <s v="77591"/>
    <x v="0"/>
    <n v="34"/>
    <x v="226"/>
    <x v="7"/>
    <x v="2"/>
    <x v="2"/>
    <s v="DM101"/>
    <x v="2"/>
    <n v="85499"/>
    <x v="468"/>
    <s v="Digial marketing"/>
  </r>
  <r>
    <n v="1583"/>
    <s v="408-7699546"/>
    <s v="76995"/>
    <x v="0"/>
    <n v="44"/>
    <x v="226"/>
    <x v="7"/>
    <x v="0"/>
    <x v="2"/>
    <s v="DM101"/>
    <x v="2"/>
    <n v="85499"/>
    <x v="110"/>
    <s v="Digial marketing"/>
  </r>
  <r>
    <n v="1584"/>
    <s v="403-2175304"/>
    <s v="21753"/>
    <x v="0"/>
    <n v="38"/>
    <x v="226"/>
    <x v="7"/>
    <x v="0"/>
    <x v="1"/>
    <s v="FSD103"/>
    <x v="3"/>
    <n v="109990"/>
    <x v="136"/>
    <s v="Full stack development"/>
  </r>
  <r>
    <n v="1585"/>
    <s v="407-8431157"/>
    <s v="84311"/>
    <x v="0"/>
    <n v="27"/>
    <x v="226"/>
    <x v="7"/>
    <x v="0"/>
    <x v="1"/>
    <s v="DA202"/>
    <x v="0"/>
    <n v="79999"/>
    <x v="92"/>
    <s v="Data analytics"/>
  </r>
  <r>
    <n v="1586"/>
    <s v="171-1644464"/>
    <s v="16444"/>
    <x v="0"/>
    <n v="36"/>
    <x v="227"/>
    <x v="7"/>
    <x v="1"/>
    <x v="3"/>
    <s v="DA202"/>
    <x v="0"/>
    <n v="79999"/>
    <x v="469"/>
    <s v="Data analytics"/>
  </r>
  <r>
    <n v="1587"/>
    <s v="402-2642921"/>
    <s v="26429"/>
    <x v="0"/>
    <n v="48"/>
    <x v="227"/>
    <x v="7"/>
    <x v="0"/>
    <x v="5"/>
    <s v="HR201"/>
    <x v="6"/>
    <n v="41999"/>
    <x v="56"/>
    <s v="HR Analytics"/>
  </r>
  <r>
    <n v="1588"/>
    <s v="404-9484748"/>
    <s v="94847"/>
    <x v="0"/>
    <n v="34"/>
    <x v="227"/>
    <x v="7"/>
    <x v="0"/>
    <x v="1"/>
    <s v="DA202"/>
    <x v="0"/>
    <n v="79999"/>
    <x v="453"/>
    <s v="Data analytics"/>
  </r>
  <r>
    <n v="1589"/>
    <s v="406-9123640"/>
    <s v="91236"/>
    <x v="0"/>
    <n v="35"/>
    <x v="227"/>
    <x v="7"/>
    <x v="0"/>
    <x v="0"/>
    <s v="DA202"/>
    <x v="0"/>
    <n v="79999"/>
    <x v="162"/>
    <s v="Data analytics"/>
  </r>
  <r>
    <n v="1590"/>
    <s v="408-1698084"/>
    <s v="16980"/>
    <x v="0"/>
    <n v="24"/>
    <x v="227"/>
    <x v="7"/>
    <x v="0"/>
    <x v="0"/>
    <s v="DA202"/>
    <x v="0"/>
    <n v="79999"/>
    <x v="29"/>
    <s v="Data analytics"/>
  </r>
  <r>
    <n v="1591"/>
    <s v="407-9483737"/>
    <s v="94837"/>
    <x v="1"/>
    <n v="18"/>
    <x v="227"/>
    <x v="7"/>
    <x v="0"/>
    <x v="1"/>
    <s v="DM101"/>
    <x v="2"/>
    <n v="85499"/>
    <x v="255"/>
    <s v="Digial marketing"/>
  </r>
  <r>
    <n v="1592"/>
    <s v="406-3925646"/>
    <s v="39256"/>
    <x v="0"/>
    <n v="42"/>
    <x v="227"/>
    <x v="7"/>
    <x v="0"/>
    <x v="0"/>
    <s v="DA202"/>
    <x v="0"/>
    <n v="79999"/>
    <x v="1"/>
    <s v="Data analytics"/>
  </r>
  <r>
    <n v="1593"/>
    <s v="405-1801632"/>
    <s v="18016"/>
    <x v="1"/>
    <n v="43"/>
    <x v="227"/>
    <x v="7"/>
    <x v="0"/>
    <x v="1"/>
    <s v="DM101"/>
    <x v="2"/>
    <n v="85499"/>
    <x v="470"/>
    <s v="Digial marketing"/>
  </r>
  <r>
    <n v="1594"/>
    <s v="404-1980298"/>
    <s v="19802"/>
    <x v="1"/>
    <n v="35"/>
    <x v="227"/>
    <x v="7"/>
    <x v="0"/>
    <x v="4"/>
    <s v="DM101"/>
    <x v="2"/>
    <n v="85499"/>
    <x v="471"/>
    <s v="Digial marketing"/>
  </r>
  <r>
    <n v="1595"/>
    <s v="408-0070478"/>
    <s v="70478"/>
    <x v="0"/>
    <n v="37"/>
    <x v="227"/>
    <x v="7"/>
    <x v="0"/>
    <x v="1"/>
    <s v="DA202"/>
    <x v="0"/>
    <n v="79999"/>
    <x v="5"/>
    <s v="Data analytics"/>
  </r>
  <r>
    <n v="1596"/>
    <s v="404-3590504"/>
    <s v="35905"/>
    <x v="0"/>
    <n v="31"/>
    <x v="228"/>
    <x v="7"/>
    <x v="0"/>
    <x v="1"/>
    <s v="DM101"/>
    <x v="2"/>
    <n v="85499"/>
    <x v="1"/>
    <s v="Digial marketing"/>
  </r>
  <r>
    <n v="1597"/>
    <s v="405-8575292"/>
    <s v="85752"/>
    <x v="1"/>
    <n v="26"/>
    <x v="228"/>
    <x v="7"/>
    <x v="0"/>
    <x v="1"/>
    <s v="BA301"/>
    <x v="1"/>
    <n v="59999"/>
    <x v="472"/>
    <s v="Business analytics"/>
  </r>
  <r>
    <n v="1598"/>
    <s v="404-2563639"/>
    <s v="25636"/>
    <x v="1"/>
    <n v="31"/>
    <x v="228"/>
    <x v="7"/>
    <x v="2"/>
    <x v="2"/>
    <s v="DA202"/>
    <x v="0"/>
    <n v="79999"/>
    <x v="150"/>
    <s v="Data analytics"/>
  </r>
  <r>
    <n v="1599"/>
    <s v="171-3934791"/>
    <s v="39347"/>
    <x v="0"/>
    <n v="51"/>
    <x v="228"/>
    <x v="7"/>
    <x v="0"/>
    <x v="5"/>
    <s v="DM101"/>
    <x v="2"/>
    <n v="85499"/>
    <x v="9"/>
    <s v="Digial marketing"/>
  </r>
  <r>
    <n v="1600"/>
    <s v="406-3030712"/>
    <s v="30307"/>
    <x v="1"/>
    <n v="53"/>
    <x v="228"/>
    <x v="7"/>
    <x v="0"/>
    <x v="1"/>
    <s v="FSD103"/>
    <x v="3"/>
    <n v="109990"/>
    <x v="40"/>
    <s v="Full stack development"/>
  </r>
  <r>
    <n v="1601"/>
    <s v="407-0330187"/>
    <s v="33018"/>
    <x v="0"/>
    <n v="22"/>
    <x v="228"/>
    <x v="7"/>
    <x v="0"/>
    <x v="2"/>
    <s v="FSD103"/>
    <x v="3"/>
    <n v="109990"/>
    <x v="473"/>
    <s v="Full stack development"/>
  </r>
  <r>
    <n v="1602"/>
    <s v="402-2132793"/>
    <s v="21327"/>
    <x v="0"/>
    <n v="73"/>
    <x v="228"/>
    <x v="7"/>
    <x v="0"/>
    <x v="0"/>
    <s v="FSD103"/>
    <x v="3"/>
    <n v="109990"/>
    <x v="32"/>
    <s v="Full stack development"/>
  </r>
  <r>
    <n v="1603"/>
    <s v="405-2355368"/>
    <s v="23553"/>
    <x v="0"/>
    <n v="62"/>
    <x v="229"/>
    <x v="7"/>
    <x v="0"/>
    <x v="1"/>
    <s v="DA202"/>
    <x v="0"/>
    <n v="79999"/>
    <x v="29"/>
    <s v="Data analytics"/>
  </r>
  <r>
    <n v="1604"/>
    <s v="404-0301836"/>
    <s v="30183"/>
    <x v="1"/>
    <n v="18"/>
    <x v="229"/>
    <x v="7"/>
    <x v="0"/>
    <x v="5"/>
    <s v="DA202"/>
    <x v="0"/>
    <n v="79999"/>
    <x v="305"/>
    <s v="Data analytics"/>
  </r>
  <r>
    <n v="1605"/>
    <s v="407-0024570"/>
    <s v="24570"/>
    <x v="0"/>
    <n v="46"/>
    <x v="229"/>
    <x v="7"/>
    <x v="0"/>
    <x v="1"/>
    <s v="UX401"/>
    <x v="4"/>
    <n v="67990"/>
    <x v="357"/>
    <s v="UI/UX Design"/>
  </r>
  <r>
    <n v="1606"/>
    <s v="408-4541895"/>
    <s v="45418"/>
    <x v="0"/>
    <n v="27"/>
    <x v="229"/>
    <x v="7"/>
    <x v="0"/>
    <x v="1"/>
    <s v="BA301"/>
    <x v="1"/>
    <n v="59999"/>
    <x v="474"/>
    <s v="Business analytics"/>
  </r>
  <r>
    <n v="1607"/>
    <s v="407-7525590"/>
    <s v="75255"/>
    <x v="0"/>
    <n v="54"/>
    <x v="229"/>
    <x v="7"/>
    <x v="0"/>
    <x v="1"/>
    <s v="DM101"/>
    <x v="2"/>
    <n v="85499"/>
    <x v="475"/>
    <s v="Digial marketing"/>
  </r>
  <r>
    <n v="1608"/>
    <s v="407-9883097"/>
    <s v="98830"/>
    <x v="1"/>
    <n v="42"/>
    <x v="229"/>
    <x v="7"/>
    <x v="0"/>
    <x v="1"/>
    <s v="DM101"/>
    <x v="2"/>
    <n v="85499"/>
    <x v="15"/>
    <s v="Digial marketing"/>
  </r>
  <r>
    <n v="1609"/>
    <s v="408-7595150"/>
    <s v="75951"/>
    <x v="0"/>
    <n v="68"/>
    <x v="229"/>
    <x v="7"/>
    <x v="0"/>
    <x v="2"/>
    <s v="FSD103"/>
    <x v="3"/>
    <n v="109990"/>
    <x v="3"/>
    <s v="Full stack development"/>
  </r>
  <r>
    <n v="1610"/>
    <s v="403-5455761"/>
    <s v="54557"/>
    <x v="0"/>
    <n v="55"/>
    <x v="229"/>
    <x v="7"/>
    <x v="0"/>
    <x v="2"/>
    <s v="DM101"/>
    <x v="2"/>
    <n v="85499"/>
    <x v="208"/>
    <s v="Digial marketing"/>
  </r>
  <r>
    <n v="1611"/>
    <s v="404-2049652"/>
    <s v="20496"/>
    <x v="0"/>
    <n v="40"/>
    <x v="229"/>
    <x v="7"/>
    <x v="0"/>
    <x v="0"/>
    <s v="FSD103"/>
    <x v="3"/>
    <n v="109990"/>
    <x v="122"/>
    <s v="Full stack development"/>
  </r>
  <r>
    <n v="1612"/>
    <s v="402-9165171"/>
    <s v="91651"/>
    <x v="1"/>
    <n v="21"/>
    <x v="229"/>
    <x v="7"/>
    <x v="0"/>
    <x v="0"/>
    <s v="DM101"/>
    <x v="2"/>
    <n v="85499"/>
    <x v="3"/>
    <s v="Digial marketing"/>
  </r>
  <r>
    <n v="1613"/>
    <s v="404-6480124"/>
    <s v="64801"/>
    <x v="0"/>
    <n v="37"/>
    <x v="230"/>
    <x v="7"/>
    <x v="0"/>
    <x v="1"/>
    <s v="DM101"/>
    <x v="2"/>
    <n v="85499"/>
    <x v="15"/>
    <s v="Digial marketing"/>
  </r>
  <r>
    <n v="1614"/>
    <s v="407-2581427"/>
    <s v="25814"/>
    <x v="1"/>
    <n v="36"/>
    <x v="230"/>
    <x v="7"/>
    <x v="0"/>
    <x v="1"/>
    <s v="DM101"/>
    <x v="2"/>
    <n v="85499"/>
    <x v="54"/>
    <s v="Digial marketing"/>
  </r>
  <r>
    <n v="1615"/>
    <s v="404-7140262"/>
    <s v="71402"/>
    <x v="1"/>
    <n v="48"/>
    <x v="230"/>
    <x v="7"/>
    <x v="0"/>
    <x v="1"/>
    <s v="BA301"/>
    <x v="1"/>
    <n v="59999"/>
    <x v="19"/>
    <s v="Business analytics"/>
  </r>
  <r>
    <n v="1616"/>
    <s v="407-8620606"/>
    <s v="86206"/>
    <x v="0"/>
    <n v="23"/>
    <x v="230"/>
    <x v="7"/>
    <x v="0"/>
    <x v="6"/>
    <s v="DA202"/>
    <x v="0"/>
    <n v="79999"/>
    <x v="476"/>
    <s v="Data analytics"/>
  </r>
  <r>
    <n v="1617"/>
    <s v="407-2162761"/>
    <s v="21627"/>
    <x v="0"/>
    <n v="23"/>
    <x v="230"/>
    <x v="7"/>
    <x v="0"/>
    <x v="5"/>
    <s v="DM101"/>
    <x v="2"/>
    <n v="85499"/>
    <x v="9"/>
    <s v="Digial marketing"/>
  </r>
  <r>
    <n v="1618"/>
    <s v="406-8241282"/>
    <s v="82412"/>
    <x v="0"/>
    <n v="32"/>
    <x v="230"/>
    <x v="7"/>
    <x v="0"/>
    <x v="2"/>
    <s v="DM101"/>
    <x v="2"/>
    <n v="85499"/>
    <x v="15"/>
    <s v="Digial marketing"/>
  </r>
  <r>
    <n v="1619"/>
    <s v="171-9126698"/>
    <s v="91266"/>
    <x v="0"/>
    <n v="43"/>
    <x v="231"/>
    <x v="7"/>
    <x v="0"/>
    <x v="5"/>
    <s v="DA202"/>
    <x v="0"/>
    <n v="79999"/>
    <x v="29"/>
    <s v="Data analytics"/>
  </r>
  <r>
    <n v="1620"/>
    <s v="171-1400859"/>
    <s v="14008"/>
    <x v="1"/>
    <n v="30"/>
    <x v="231"/>
    <x v="7"/>
    <x v="0"/>
    <x v="6"/>
    <s v="BA301"/>
    <x v="1"/>
    <n v="59999"/>
    <x v="86"/>
    <s v="Business analytics"/>
  </r>
  <r>
    <n v="1621"/>
    <s v="171-4139068"/>
    <s v="41390"/>
    <x v="1"/>
    <n v="74"/>
    <x v="231"/>
    <x v="7"/>
    <x v="0"/>
    <x v="2"/>
    <s v="DM101"/>
    <x v="2"/>
    <n v="85499"/>
    <x v="15"/>
    <s v="Digial marketing"/>
  </r>
  <r>
    <n v="1622"/>
    <s v="402-6925282"/>
    <s v="69252"/>
    <x v="1"/>
    <n v="35"/>
    <x v="231"/>
    <x v="7"/>
    <x v="0"/>
    <x v="2"/>
    <s v="DA202"/>
    <x v="0"/>
    <n v="79999"/>
    <x v="40"/>
    <s v="Data analytics"/>
  </r>
  <r>
    <n v="1623"/>
    <s v="408-1124612"/>
    <s v="11246"/>
    <x v="0"/>
    <n v="40"/>
    <x v="231"/>
    <x v="7"/>
    <x v="0"/>
    <x v="0"/>
    <s v="DA202"/>
    <x v="0"/>
    <n v="79999"/>
    <x v="120"/>
    <s v="Data analytics"/>
  </r>
  <r>
    <n v="1624"/>
    <s v="171-7233297"/>
    <s v="72332"/>
    <x v="0"/>
    <n v="27"/>
    <x v="231"/>
    <x v="7"/>
    <x v="0"/>
    <x v="2"/>
    <s v="DM101"/>
    <x v="2"/>
    <n v="85499"/>
    <x v="477"/>
    <s v="Digial marketing"/>
  </r>
  <r>
    <n v="1625"/>
    <s v="406-4817758"/>
    <s v="48177"/>
    <x v="0"/>
    <n v="47"/>
    <x v="231"/>
    <x v="7"/>
    <x v="0"/>
    <x v="6"/>
    <s v="DM101"/>
    <x v="2"/>
    <n v="85499"/>
    <x v="424"/>
    <s v="Digial marketing"/>
  </r>
  <r>
    <n v="1626"/>
    <s v="403-1678869"/>
    <s v="16788"/>
    <x v="0"/>
    <n v="69"/>
    <x v="231"/>
    <x v="7"/>
    <x v="0"/>
    <x v="2"/>
    <s v="DM101"/>
    <x v="2"/>
    <n v="85499"/>
    <x v="32"/>
    <s v="Digial marketing"/>
  </r>
  <r>
    <n v="1627"/>
    <s v="404-7261163"/>
    <s v="72611"/>
    <x v="0"/>
    <n v="71"/>
    <x v="232"/>
    <x v="7"/>
    <x v="0"/>
    <x v="0"/>
    <s v="BA301"/>
    <x v="1"/>
    <n v="59999"/>
    <x v="9"/>
    <s v="Business analytics"/>
  </r>
  <r>
    <n v="1628"/>
    <s v="406-2790457"/>
    <s v="27904"/>
    <x v="1"/>
    <n v="71"/>
    <x v="232"/>
    <x v="7"/>
    <x v="0"/>
    <x v="1"/>
    <s v="DM101"/>
    <x v="2"/>
    <n v="85499"/>
    <x v="387"/>
    <s v="Digial marketing"/>
  </r>
  <r>
    <n v="1629"/>
    <s v="406-6341492"/>
    <s v="63414"/>
    <x v="1"/>
    <n v="43"/>
    <x v="232"/>
    <x v="7"/>
    <x v="0"/>
    <x v="5"/>
    <s v="DA202"/>
    <x v="0"/>
    <n v="79999"/>
    <x v="112"/>
    <s v="Data analytics"/>
  </r>
  <r>
    <n v="1630"/>
    <s v="407-3673673"/>
    <s v="36736"/>
    <x v="0"/>
    <n v="22"/>
    <x v="232"/>
    <x v="7"/>
    <x v="0"/>
    <x v="0"/>
    <s v="DA202"/>
    <x v="0"/>
    <n v="79999"/>
    <x v="3"/>
    <s v="Data analytics"/>
  </r>
  <r>
    <n v="1631"/>
    <s v="404-0319353"/>
    <s v="31935"/>
    <x v="0"/>
    <n v="39"/>
    <x v="232"/>
    <x v="7"/>
    <x v="0"/>
    <x v="5"/>
    <s v="FSD103"/>
    <x v="3"/>
    <n v="109990"/>
    <x v="15"/>
    <s v="Full stack development"/>
  </r>
  <r>
    <n v="1632"/>
    <s v="402-2185614"/>
    <s v="21856"/>
    <x v="0"/>
    <n v="35"/>
    <x v="233"/>
    <x v="7"/>
    <x v="1"/>
    <x v="1"/>
    <s v="DA202"/>
    <x v="0"/>
    <n v="79999"/>
    <x v="368"/>
    <s v="Data analytics"/>
  </r>
  <r>
    <n v="1633"/>
    <s v="408-1779254"/>
    <s v="17792"/>
    <x v="0"/>
    <n v="41"/>
    <x v="233"/>
    <x v="7"/>
    <x v="0"/>
    <x v="1"/>
    <s v="DM101"/>
    <x v="2"/>
    <n v="85499"/>
    <x v="57"/>
    <s v="Digial marketing"/>
  </r>
  <r>
    <n v="1634"/>
    <s v="408-4712119"/>
    <s v="47121"/>
    <x v="0"/>
    <n v="35"/>
    <x v="233"/>
    <x v="7"/>
    <x v="0"/>
    <x v="1"/>
    <s v="BA301"/>
    <x v="1"/>
    <n v="59999"/>
    <x v="478"/>
    <s v="Business analytics"/>
  </r>
  <r>
    <n v="1635"/>
    <s v="171-0782536"/>
    <s v="78253"/>
    <x v="0"/>
    <n v="27"/>
    <x v="233"/>
    <x v="7"/>
    <x v="2"/>
    <x v="6"/>
    <s v="DM101"/>
    <x v="2"/>
    <n v="85499"/>
    <x v="15"/>
    <s v="Digial marketing"/>
  </r>
  <r>
    <n v="1636"/>
    <s v="405-3461270"/>
    <s v="34612"/>
    <x v="1"/>
    <n v="61"/>
    <x v="233"/>
    <x v="7"/>
    <x v="0"/>
    <x v="1"/>
    <s v="FSD103"/>
    <x v="3"/>
    <n v="109990"/>
    <x v="15"/>
    <s v="Full stack development"/>
  </r>
  <r>
    <n v="1637"/>
    <s v="408-3729467"/>
    <s v="37294"/>
    <x v="1"/>
    <n v="66"/>
    <x v="234"/>
    <x v="7"/>
    <x v="0"/>
    <x v="3"/>
    <s v="FSD103"/>
    <x v="3"/>
    <n v="109990"/>
    <x v="15"/>
    <s v="Full stack development"/>
  </r>
  <r>
    <n v="1638"/>
    <s v="407-6232269"/>
    <s v="62322"/>
    <x v="0"/>
    <n v="35"/>
    <x v="234"/>
    <x v="7"/>
    <x v="1"/>
    <x v="2"/>
    <s v="DA202"/>
    <x v="0"/>
    <n v="79999"/>
    <x v="112"/>
    <s v="Data analytics"/>
  </r>
  <r>
    <n v="1639"/>
    <s v="403-1720452"/>
    <s v="17204"/>
    <x v="0"/>
    <n v="49"/>
    <x v="234"/>
    <x v="7"/>
    <x v="0"/>
    <x v="0"/>
    <s v="DM101"/>
    <x v="2"/>
    <n v="85499"/>
    <x v="479"/>
    <s v="Digial marketing"/>
  </r>
  <r>
    <n v="1640"/>
    <s v="403-2434205"/>
    <s v="24342"/>
    <x v="0"/>
    <n v="23"/>
    <x v="234"/>
    <x v="7"/>
    <x v="0"/>
    <x v="2"/>
    <s v="DM101"/>
    <x v="2"/>
    <n v="85499"/>
    <x v="7"/>
    <s v="Digial marketing"/>
  </r>
  <r>
    <n v="1641"/>
    <s v="408-8429877"/>
    <s v="84298"/>
    <x v="0"/>
    <n v="21"/>
    <x v="234"/>
    <x v="7"/>
    <x v="0"/>
    <x v="1"/>
    <s v="DA202"/>
    <x v="0"/>
    <n v="79999"/>
    <x v="480"/>
    <s v="Data analytics"/>
  </r>
  <r>
    <n v="1642"/>
    <s v="404-2529254"/>
    <s v="25292"/>
    <x v="0"/>
    <n v="29"/>
    <x v="234"/>
    <x v="7"/>
    <x v="0"/>
    <x v="1"/>
    <s v="DA202"/>
    <x v="0"/>
    <n v="79999"/>
    <x v="481"/>
    <s v="Data analytics"/>
  </r>
  <r>
    <n v="1643"/>
    <s v="404-4116585"/>
    <s v="41165"/>
    <x v="0"/>
    <n v="58"/>
    <x v="234"/>
    <x v="7"/>
    <x v="0"/>
    <x v="4"/>
    <s v="DM101"/>
    <x v="2"/>
    <n v="85499"/>
    <x v="5"/>
    <s v="Digial marketing"/>
  </r>
  <r>
    <n v="1644"/>
    <s v="405-7917598"/>
    <s v="79175"/>
    <x v="0"/>
    <n v="21"/>
    <x v="234"/>
    <x v="7"/>
    <x v="0"/>
    <x v="1"/>
    <s v="DA202"/>
    <x v="0"/>
    <n v="79999"/>
    <x v="80"/>
    <s v="Data analytics"/>
  </r>
  <r>
    <n v="1645"/>
    <s v="404-6032671"/>
    <s v="60326"/>
    <x v="0"/>
    <n v="34"/>
    <x v="234"/>
    <x v="7"/>
    <x v="0"/>
    <x v="1"/>
    <s v="AI001"/>
    <x v="5"/>
    <n v="119990"/>
    <x v="39"/>
    <s v="AI &amp; ML"/>
  </r>
  <r>
    <n v="1646"/>
    <s v="403-4909885"/>
    <s v="49098"/>
    <x v="0"/>
    <n v="22"/>
    <x v="234"/>
    <x v="7"/>
    <x v="0"/>
    <x v="6"/>
    <s v="DM101"/>
    <x v="2"/>
    <n v="85499"/>
    <x v="183"/>
    <s v="Digial marketing"/>
  </r>
  <r>
    <n v="1647"/>
    <s v="404-4990174"/>
    <s v="49901"/>
    <x v="1"/>
    <n v="26"/>
    <x v="234"/>
    <x v="7"/>
    <x v="0"/>
    <x v="0"/>
    <s v="DM101"/>
    <x v="2"/>
    <n v="85499"/>
    <x v="206"/>
    <s v="Digial marketing"/>
  </r>
  <r>
    <n v="1648"/>
    <s v="407-8190397"/>
    <s v="81903"/>
    <x v="1"/>
    <n v="30"/>
    <x v="235"/>
    <x v="7"/>
    <x v="0"/>
    <x v="1"/>
    <s v="DA202"/>
    <x v="0"/>
    <n v="79999"/>
    <x v="15"/>
    <s v="Data analytics"/>
  </r>
  <r>
    <n v="1649"/>
    <s v="171-0780156"/>
    <s v="78015"/>
    <x v="1"/>
    <n v="44"/>
    <x v="235"/>
    <x v="7"/>
    <x v="0"/>
    <x v="6"/>
    <s v="DM101"/>
    <x v="2"/>
    <n v="85499"/>
    <x v="371"/>
    <s v="Digial marketing"/>
  </r>
  <r>
    <n v="1650"/>
    <s v="403-8737366"/>
    <s v="87373"/>
    <x v="0"/>
    <n v="18"/>
    <x v="235"/>
    <x v="7"/>
    <x v="0"/>
    <x v="2"/>
    <s v="UX401"/>
    <x v="4"/>
    <n v="67990"/>
    <x v="482"/>
    <s v="UI/UX Design"/>
  </r>
  <r>
    <n v="1651"/>
    <s v="406-0275957"/>
    <s v="27595"/>
    <x v="0"/>
    <n v="24"/>
    <x v="235"/>
    <x v="7"/>
    <x v="0"/>
    <x v="0"/>
    <s v="DM101"/>
    <x v="2"/>
    <n v="85499"/>
    <x v="94"/>
    <s v="Digial marketing"/>
  </r>
  <r>
    <n v="1652"/>
    <s v="403-1979125"/>
    <s v="19791"/>
    <x v="1"/>
    <n v="48"/>
    <x v="235"/>
    <x v="7"/>
    <x v="0"/>
    <x v="1"/>
    <s v="DA202"/>
    <x v="0"/>
    <n v="79999"/>
    <x v="483"/>
    <s v="Data analytics"/>
  </r>
  <r>
    <n v="1653"/>
    <s v="403-6713929"/>
    <s v="67139"/>
    <x v="0"/>
    <n v="28"/>
    <x v="236"/>
    <x v="7"/>
    <x v="0"/>
    <x v="2"/>
    <s v="DA202"/>
    <x v="0"/>
    <n v="79999"/>
    <x v="3"/>
    <s v="Data analytics"/>
  </r>
  <r>
    <n v="1654"/>
    <s v="408-4780261"/>
    <s v="47802"/>
    <x v="1"/>
    <n v="42"/>
    <x v="236"/>
    <x v="7"/>
    <x v="0"/>
    <x v="2"/>
    <s v="DA202"/>
    <x v="0"/>
    <n v="79999"/>
    <x v="3"/>
    <s v="Data analytics"/>
  </r>
  <r>
    <n v="1655"/>
    <s v="404-5899709"/>
    <s v="58997"/>
    <x v="1"/>
    <n v="62"/>
    <x v="236"/>
    <x v="7"/>
    <x v="0"/>
    <x v="2"/>
    <s v="DM101"/>
    <x v="2"/>
    <n v="85499"/>
    <x v="7"/>
    <s v="Digial marketing"/>
  </r>
  <r>
    <n v="1656"/>
    <s v="407-7027004"/>
    <s v="70270"/>
    <x v="1"/>
    <n v="32"/>
    <x v="236"/>
    <x v="7"/>
    <x v="0"/>
    <x v="4"/>
    <s v="DA202"/>
    <x v="0"/>
    <n v="79999"/>
    <x v="90"/>
    <s v="Data analytics"/>
  </r>
  <r>
    <n v="1657"/>
    <s v="407-3612137"/>
    <s v="36121"/>
    <x v="1"/>
    <n v="74"/>
    <x v="237"/>
    <x v="7"/>
    <x v="0"/>
    <x v="1"/>
    <s v="DM101"/>
    <x v="2"/>
    <n v="85499"/>
    <x v="3"/>
    <s v="Digial marketing"/>
  </r>
  <r>
    <n v="1658"/>
    <s v="408-5614983"/>
    <s v="56149"/>
    <x v="0"/>
    <n v="26"/>
    <x v="237"/>
    <x v="7"/>
    <x v="0"/>
    <x v="1"/>
    <s v="DM101"/>
    <x v="2"/>
    <n v="85499"/>
    <x v="15"/>
    <s v="Digial marketing"/>
  </r>
  <r>
    <n v="1659"/>
    <s v="171-2212580"/>
    <s v="22125"/>
    <x v="0"/>
    <n v="34"/>
    <x v="237"/>
    <x v="7"/>
    <x v="0"/>
    <x v="0"/>
    <s v="DM101"/>
    <x v="2"/>
    <n v="85499"/>
    <x v="92"/>
    <s v="Digial marketing"/>
  </r>
  <r>
    <n v="1660"/>
    <s v="171-6245041"/>
    <s v="62450"/>
    <x v="0"/>
    <n v="27"/>
    <x v="238"/>
    <x v="7"/>
    <x v="0"/>
    <x v="2"/>
    <s v="DA202"/>
    <x v="0"/>
    <n v="79999"/>
    <x v="9"/>
    <s v="Data analytics"/>
  </r>
  <r>
    <n v="1661"/>
    <s v="402-2663556"/>
    <s v="26635"/>
    <x v="1"/>
    <n v="22"/>
    <x v="238"/>
    <x v="7"/>
    <x v="0"/>
    <x v="0"/>
    <s v="DA202"/>
    <x v="0"/>
    <n v="79999"/>
    <x v="138"/>
    <s v="Data analytics"/>
  </r>
  <r>
    <n v="1662"/>
    <s v="403-1273754"/>
    <s v="12737"/>
    <x v="0"/>
    <n v="31"/>
    <x v="238"/>
    <x v="7"/>
    <x v="1"/>
    <x v="2"/>
    <s v="DA202"/>
    <x v="0"/>
    <n v="79999"/>
    <x v="15"/>
    <s v="Data analytics"/>
  </r>
  <r>
    <n v="1663"/>
    <s v="406-0779911"/>
    <s v="77991"/>
    <x v="0"/>
    <n v="39"/>
    <x v="238"/>
    <x v="7"/>
    <x v="0"/>
    <x v="3"/>
    <s v="UX401"/>
    <x v="4"/>
    <n v="67990"/>
    <x v="425"/>
    <s v="UI/UX Design"/>
  </r>
  <r>
    <n v="1664"/>
    <s v="405-2384269"/>
    <s v="23842"/>
    <x v="1"/>
    <n v="32"/>
    <x v="238"/>
    <x v="7"/>
    <x v="0"/>
    <x v="3"/>
    <s v="DM101"/>
    <x v="2"/>
    <n v="85499"/>
    <x v="484"/>
    <s v="Digial marketing"/>
  </r>
  <r>
    <n v="1665"/>
    <s v="406-8220272"/>
    <s v="82202"/>
    <x v="1"/>
    <n v="40"/>
    <x v="238"/>
    <x v="7"/>
    <x v="0"/>
    <x v="2"/>
    <s v="DA202"/>
    <x v="0"/>
    <n v="79999"/>
    <x v="109"/>
    <s v="Data analytics"/>
  </r>
  <r>
    <n v="1666"/>
    <s v="402-4407042"/>
    <s v="44070"/>
    <x v="1"/>
    <n v="54"/>
    <x v="238"/>
    <x v="7"/>
    <x v="0"/>
    <x v="1"/>
    <s v="BA301"/>
    <x v="1"/>
    <n v="59999"/>
    <x v="9"/>
    <s v="Business analytics"/>
  </r>
  <r>
    <n v="1667"/>
    <s v="403-3852411"/>
    <s v="38524"/>
    <x v="0"/>
    <n v="18"/>
    <x v="239"/>
    <x v="7"/>
    <x v="0"/>
    <x v="0"/>
    <s v="DA202"/>
    <x v="0"/>
    <n v="79999"/>
    <x v="80"/>
    <s v="Data analytics"/>
  </r>
  <r>
    <n v="1668"/>
    <s v="171-0492900"/>
    <s v="49290"/>
    <x v="0"/>
    <n v="36"/>
    <x v="240"/>
    <x v="7"/>
    <x v="0"/>
    <x v="0"/>
    <s v="DA202"/>
    <x v="0"/>
    <n v="79999"/>
    <x v="29"/>
    <s v="Data analytics"/>
  </r>
  <r>
    <n v="1669"/>
    <s v="403-2032027"/>
    <s v="20320"/>
    <x v="1"/>
    <n v="39"/>
    <x v="240"/>
    <x v="7"/>
    <x v="2"/>
    <x v="0"/>
    <s v="DM101"/>
    <x v="2"/>
    <n v="85499"/>
    <x v="9"/>
    <s v="Digial marketing"/>
  </r>
  <r>
    <n v="1670"/>
    <s v="404-8952912"/>
    <s v="89529"/>
    <x v="0"/>
    <n v="40"/>
    <x v="240"/>
    <x v="7"/>
    <x v="0"/>
    <x v="1"/>
    <s v="DA202"/>
    <x v="0"/>
    <n v="79999"/>
    <x v="17"/>
    <s v="Data analytics"/>
  </r>
  <r>
    <n v="1671"/>
    <s v="402-2135883"/>
    <s v="21358"/>
    <x v="0"/>
    <n v="24"/>
    <x v="240"/>
    <x v="7"/>
    <x v="0"/>
    <x v="1"/>
    <s v="DA202"/>
    <x v="0"/>
    <n v="79999"/>
    <x v="485"/>
    <s v="Data analytics"/>
  </r>
  <r>
    <n v="1672"/>
    <s v="402-7100884"/>
    <s v="71008"/>
    <x v="0"/>
    <n v="44"/>
    <x v="240"/>
    <x v="7"/>
    <x v="0"/>
    <x v="2"/>
    <s v="DA202"/>
    <x v="0"/>
    <n v="79999"/>
    <x v="3"/>
    <s v="Data analytics"/>
  </r>
  <r>
    <n v="1673"/>
    <s v="405-6339812"/>
    <s v="63398"/>
    <x v="1"/>
    <n v="27"/>
    <x v="240"/>
    <x v="7"/>
    <x v="0"/>
    <x v="1"/>
    <s v="DM101"/>
    <x v="2"/>
    <n v="85499"/>
    <x v="486"/>
    <s v="Digial marketing"/>
  </r>
  <r>
    <n v="1674"/>
    <s v="405-0003290"/>
    <s v="3290"/>
    <x v="1"/>
    <n v="43"/>
    <x v="241"/>
    <x v="7"/>
    <x v="0"/>
    <x v="0"/>
    <s v="DA202"/>
    <x v="0"/>
    <n v="79999"/>
    <x v="83"/>
    <s v="Data analytics"/>
  </r>
  <r>
    <n v="1675"/>
    <s v="403-3775492"/>
    <s v="37754"/>
    <x v="0"/>
    <n v="37"/>
    <x v="241"/>
    <x v="7"/>
    <x v="0"/>
    <x v="0"/>
    <s v="DM101"/>
    <x v="2"/>
    <n v="85499"/>
    <x v="3"/>
    <s v="Digial marketing"/>
  </r>
  <r>
    <n v="1676"/>
    <s v="408-7711911"/>
    <s v="77119"/>
    <x v="1"/>
    <n v="26"/>
    <x v="241"/>
    <x v="7"/>
    <x v="0"/>
    <x v="0"/>
    <s v="BA301"/>
    <x v="1"/>
    <n v="59999"/>
    <x v="74"/>
    <s v="Business analytics"/>
  </r>
  <r>
    <n v="1677"/>
    <s v="408-9561002"/>
    <s v="95610"/>
    <x v="0"/>
    <n v="30"/>
    <x v="241"/>
    <x v="7"/>
    <x v="0"/>
    <x v="1"/>
    <s v="DA202"/>
    <x v="0"/>
    <n v="79999"/>
    <x v="487"/>
    <s v="Data analytics"/>
  </r>
  <r>
    <n v="1678"/>
    <s v="403-0111177"/>
    <s v="11117"/>
    <x v="0"/>
    <n v="45"/>
    <x v="241"/>
    <x v="7"/>
    <x v="0"/>
    <x v="2"/>
    <s v="DM101"/>
    <x v="2"/>
    <n v="85499"/>
    <x v="488"/>
    <s v="Digial marketing"/>
  </r>
  <r>
    <n v="1679"/>
    <s v="407-1415545"/>
    <s v="14155"/>
    <x v="0"/>
    <n v="46"/>
    <x v="241"/>
    <x v="7"/>
    <x v="0"/>
    <x v="2"/>
    <s v="DA202"/>
    <x v="0"/>
    <n v="79999"/>
    <x v="489"/>
    <s v="Data analytics"/>
  </r>
  <r>
    <n v="1680"/>
    <s v="407-4725440"/>
    <s v="47254"/>
    <x v="0"/>
    <n v="42"/>
    <x v="241"/>
    <x v="7"/>
    <x v="0"/>
    <x v="4"/>
    <s v="DA202"/>
    <x v="0"/>
    <n v="79999"/>
    <x v="490"/>
    <s v="Data analytics"/>
  </r>
  <r>
    <n v="1681"/>
    <s v="407-1676852"/>
    <s v="16768"/>
    <x v="0"/>
    <n v="19"/>
    <x v="242"/>
    <x v="7"/>
    <x v="0"/>
    <x v="1"/>
    <s v="DM101"/>
    <x v="2"/>
    <n v="85499"/>
    <x v="491"/>
    <s v="Digial marketing"/>
  </r>
  <r>
    <n v="1682"/>
    <s v="405-2369821"/>
    <s v="23698"/>
    <x v="0"/>
    <n v="19"/>
    <x v="242"/>
    <x v="7"/>
    <x v="0"/>
    <x v="2"/>
    <s v="DM101"/>
    <x v="2"/>
    <n v="85499"/>
    <x v="255"/>
    <s v="Digial marketing"/>
  </r>
  <r>
    <n v="1683"/>
    <s v="171-8116473"/>
    <s v="81164"/>
    <x v="0"/>
    <n v="70"/>
    <x v="242"/>
    <x v="7"/>
    <x v="0"/>
    <x v="2"/>
    <s v="DM101"/>
    <x v="2"/>
    <n v="85499"/>
    <x v="29"/>
    <s v="Digial marketing"/>
  </r>
  <r>
    <n v="1684"/>
    <s v="404-3643247"/>
    <s v="36432"/>
    <x v="0"/>
    <n v="47"/>
    <x v="242"/>
    <x v="7"/>
    <x v="0"/>
    <x v="2"/>
    <s v="DA202"/>
    <x v="0"/>
    <n v="79999"/>
    <x v="116"/>
    <s v="Data analytics"/>
  </r>
  <r>
    <n v="1685"/>
    <s v="408-1494379"/>
    <s v="14943"/>
    <x v="0"/>
    <n v="35"/>
    <x v="242"/>
    <x v="7"/>
    <x v="0"/>
    <x v="1"/>
    <s v="DM101"/>
    <x v="2"/>
    <n v="85499"/>
    <x v="492"/>
    <s v="Digial marketing"/>
  </r>
  <r>
    <n v="1686"/>
    <s v="406-4698949"/>
    <s v="46989"/>
    <x v="1"/>
    <n v="22"/>
    <x v="242"/>
    <x v="7"/>
    <x v="0"/>
    <x v="2"/>
    <s v="DA202"/>
    <x v="0"/>
    <n v="79999"/>
    <x v="29"/>
    <s v="Data analytics"/>
  </r>
  <r>
    <n v="1687"/>
    <s v="404-9318904"/>
    <s v="93189"/>
    <x v="0"/>
    <n v="19"/>
    <x v="242"/>
    <x v="7"/>
    <x v="0"/>
    <x v="0"/>
    <s v="DM101"/>
    <x v="2"/>
    <n v="85499"/>
    <x v="41"/>
    <s v="Digial marketing"/>
  </r>
  <r>
    <n v="1688"/>
    <s v="405-1233853"/>
    <s v="12338"/>
    <x v="0"/>
    <n v="35"/>
    <x v="242"/>
    <x v="7"/>
    <x v="0"/>
    <x v="1"/>
    <s v="DM101"/>
    <x v="2"/>
    <n v="85499"/>
    <x v="16"/>
    <s v="Digial marketing"/>
  </r>
  <r>
    <n v="1689"/>
    <s v="171-9822809"/>
    <s v="98228"/>
    <x v="0"/>
    <n v="41"/>
    <x v="242"/>
    <x v="7"/>
    <x v="0"/>
    <x v="2"/>
    <s v="DM101"/>
    <x v="2"/>
    <n v="85499"/>
    <x v="493"/>
    <s v="Digial marketing"/>
  </r>
  <r>
    <n v="1690"/>
    <s v="402-9418622"/>
    <s v="94186"/>
    <x v="0"/>
    <n v="32"/>
    <x v="243"/>
    <x v="7"/>
    <x v="0"/>
    <x v="0"/>
    <s v="BA301"/>
    <x v="1"/>
    <n v="59999"/>
    <x v="41"/>
    <s v="Business analytics"/>
  </r>
  <r>
    <n v="1691"/>
    <s v="406-6810582"/>
    <s v="68105"/>
    <x v="0"/>
    <n v="35"/>
    <x v="243"/>
    <x v="7"/>
    <x v="0"/>
    <x v="1"/>
    <s v="DM101"/>
    <x v="2"/>
    <n v="85499"/>
    <x v="128"/>
    <s v="Digial marketing"/>
  </r>
  <r>
    <n v="1692"/>
    <s v="408-0349893"/>
    <s v="34989"/>
    <x v="0"/>
    <n v="78"/>
    <x v="243"/>
    <x v="7"/>
    <x v="0"/>
    <x v="1"/>
    <s v="FSD103"/>
    <x v="3"/>
    <n v="109990"/>
    <x v="3"/>
    <s v="Full stack development"/>
  </r>
  <r>
    <n v="1693"/>
    <s v="406-2651705"/>
    <s v="26517"/>
    <x v="1"/>
    <n v="44"/>
    <x v="244"/>
    <x v="8"/>
    <x v="0"/>
    <x v="6"/>
    <s v="DA202"/>
    <x v="0"/>
    <n v="79999"/>
    <x v="54"/>
    <s v="Data analytics"/>
  </r>
  <r>
    <n v="1694"/>
    <s v="402-9703580"/>
    <s v="97035"/>
    <x v="0"/>
    <n v="46"/>
    <x v="244"/>
    <x v="8"/>
    <x v="0"/>
    <x v="0"/>
    <s v="BA301"/>
    <x v="1"/>
    <n v="59999"/>
    <x v="29"/>
    <s v="Business analytics"/>
  </r>
  <r>
    <n v="1695"/>
    <s v="406-0424328"/>
    <s v="42432"/>
    <x v="0"/>
    <n v="33"/>
    <x v="244"/>
    <x v="8"/>
    <x v="0"/>
    <x v="1"/>
    <s v="UX401"/>
    <x v="4"/>
    <n v="67990"/>
    <x v="357"/>
    <s v="UI/UX Design"/>
  </r>
  <r>
    <n v="1696"/>
    <s v="402-5515426"/>
    <s v="55154"/>
    <x v="0"/>
    <n v="19"/>
    <x v="245"/>
    <x v="8"/>
    <x v="0"/>
    <x v="1"/>
    <s v="DM101"/>
    <x v="2"/>
    <n v="85499"/>
    <x v="56"/>
    <s v="Digial marketing"/>
  </r>
  <r>
    <n v="1697"/>
    <s v="404-5512687"/>
    <s v="55126"/>
    <x v="0"/>
    <n v="19"/>
    <x v="245"/>
    <x v="8"/>
    <x v="0"/>
    <x v="3"/>
    <s v="DA202"/>
    <x v="0"/>
    <n v="79999"/>
    <x v="252"/>
    <s v="Data analytics"/>
  </r>
  <r>
    <n v="1698"/>
    <s v="402-2140445"/>
    <s v="21404"/>
    <x v="1"/>
    <n v="27"/>
    <x v="245"/>
    <x v="8"/>
    <x v="0"/>
    <x v="1"/>
    <s v="DM101"/>
    <x v="2"/>
    <n v="85499"/>
    <x v="100"/>
    <s v="Digial marketing"/>
  </r>
  <r>
    <n v="1699"/>
    <s v="408-9440450"/>
    <s v="94404"/>
    <x v="1"/>
    <n v="50"/>
    <x v="245"/>
    <x v="8"/>
    <x v="0"/>
    <x v="2"/>
    <s v="DA202"/>
    <x v="0"/>
    <n v="79999"/>
    <x v="9"/>
    <s v="Data analytics"/>
  </r>
  <r>
    <n v="1700"/>
    <s v="405-5614480"/>
    <s v="56144"/>
    <x v="0"/>
    <n v="20"/>
    <x v="245"/>
    <x v="8"/>
    <x v="0"/>
    <x v="0"/>
    <s v="DA202"/>
    <x v="0"/>
    <n v="79999"/>
    <x v="15"/>
    <s v="Data analytics"/>
  </r>
  <r>
    <n v="1701"/>
    <s v="171-6525563"/>
    <s v="65255"/>
    <x v="1"/>
    <n v="40"/>
    <x v="245"/>
    <x v="8"/>
    <x v="0"/>
    <x v="5"/>
    <s v="DA202"/>
    <x v="0"/>
    <n v="79999"/>
    <x v="145"/>
    <s v="Data analytics"/>
  </r>
  <r>
    <n v="1702"/>
    <s v="402-2742486"/>
    <s v="27424"/>
    <x v="0"/>
    <n v="47"/>
    <x v="245"/>
    <x v="8"/>
    <x v="0"/>
    <x v="2"/>
    <s v="DM101"/>
    <x v="2"/>
    <n v="85499"/>
    <x v="89"/>
    <s v="Digial marketing"/>
  </r>
  <r>
    <n v="1703"/>
    <s v="403-8580667"/>
    <s v="85806"/>
    <x v="0"/>
    <n v="48"/>
    <x v="245"/>
    <x v="8"/>
    <x v="0"/>
    <x v="1"/>
    <s v="DA202"/>
    <x v="0"/>
    <n v="79999"/>
    <x v="9"/>
    <s v="Data analytics"/>
  </r>
  <r>
    <n v="1704"/>
    <s v="402-6038386"/>
    <s v="60383"/>
    <x v="1"/>
    <n v="76"/>
    <x v="245"/>
    <x v="8"/>
    <x v="0"/>
    <x v="3"/>
    <s v="DA202"/>
    <x v="0"/>
    <n v="79999"/>
    <x v="368"/>
    <s v="Data analytics"/>
  </r>
  <r>
    <n v="1705"/>
    <s v="404-7355162"/>
    <s v="73551"/>
    <x v="0"/>
    <n v="24"/>
    <x v="245"/>
    <x v="8"/>
    <x v="0"/>
    <x v="0"/>
    <s v="DM101"/>
    <x v="2"/>
    <n v="85499"/>
    <x v="122"/>
    <s v="Digial marketing"/>
  </r>
  <r>
    <n v="1706"/>
    <s v="403-4939965"/>
    <s v="49399"/>
    <x v="1"/>
    <n v="32"/>
    <x v="245"/>
    <x v="8"/>
    <x v="0"/>
    <x v="1"/>
    <s v="FSD103"/>
    <x v="3"/>
    <n v="109990"/>
    <x v="89"/>
    <s v="Full stack development"/>
  </r>
  <r>
    <n v="1707"/>
    <s v="171-2075048"/>
    <s v="20750"/>
    <x v="0"/>
    <n v="35"/>
    <x v="245"/>
    <x v="8"/>
    <x v="0"/>
    <x v="0"/>
    <s v="DA202"/>
    <x v="0"/>
    <n v="79999"/>
    <x v="494"/>
    <s v="Data analytics"/>
  </r>
  <r>
    <n v="1708"/>
    <s v="404-6167691"/>
    <s v="61676"/>
    <x v="0"/>
    <n v="66"/>
    <x v="246"/>
    <x v="8"/>
    <x v="0"/>
    <x v="3"/>
    <s v="DM101"/>
    <x v="2"/>
    <n v="85499"/>
    <x v="89"/>
    <s v="Digial marketing"/>
  </r>
  <r>
    <n v="1709"/>
    <s v="407-5400302"/>
    <s v="54003"/>
    <x v="1"/>
    <n v="23"/>
    <x v="246"/>
    <x v="8"/>
    <x v="0"/>
    <x v="2"/>
    <s v="DA202"/>
    <x v="0"/>
    <n v="79999"/>
    <x v="128"/>
    <s v="Data analytics"/>
  </r>
  <r>
    <n v="1710"/>
    <s v="404-3729626"/>
    <s v="37296"/>
    <x v="0"/>
    <n v="40"/>
    <x v="246"/>
    <x v="8"/>
    <x v="0"/>
    <x v="1"/>
    <s v="DA202"/>
    <x v="0"/>
    <n v="79999"/>
    <x v="9"/>
    <s v="Data analytics"/>
  </r>
  <r>
    <n v="1711"/>
    <s v="171-6522603"/>
    <s v="65226"/>
    <x v="0"/>
    <n v="29"/>
    <x v="246"/>
    <x v="8"/>
    <x v="0"/>
    <x v="2"/>
    <s v="DA202"/>
    <x v="0"/>
    <n v="79999"/>
    <x v="17"/>
    <s v="Data analytics"/>
  </r>
  <r>
    <n v="1712"/>
    <s v="402-6959888"/>
    <s v="69598"/>
    <x v="1"/>
    <n v="18"/>
    <x v="246"/>
    <x v="8"/>
    <x v="0"/>
    <x v="0"/>
    <s v="DM101"/>
    <x v="2"/>
    <n v="85499"/>
    <x v="54"/>
    <s v="Digial marketing"/>
  </r>
  <r>
    <n v="1713"/>
    <s v="171-0584443"/>
    <s v="58444"/>
    <x v="0"/>
    <n v="32"/>
    <x v="246"/>
    <x v="8"/>
    <x v="0"/>
    <x v="1"/>
    <s v="DM101"/>
    <x v="2"/>
    <n v="85499"/>
    <x v="387"/>
    <s v="Digial marketing"/>
  </r>
  <r>
    <n v="1714"/>
    <s v="404-2420378"/>
    <s v="24203"/>
    <x v="0"/>
    <n v="41"/>
    <x v="246"/>
    <x v="8"/>
    <x v="0"/>
    <x v="1"/>
    <s v="DM101"/>
    <x v="2"/>
    <n v="85499"/>
    <x v="16"/>
    <s v="Digial marketing"/>
  </r>
  <r>
    <n v="1715"/>
    <s v="408-8643159"/>
    <s v="86431"/>
    <x v="0"/>
    <n v="75"/>
    <x v="246"/>
    <x v="8"/>
    <x v="0"/>
    <x v="2"/>
    <s v="DA202"/>
    <x v="0"/>
    <n v="79999"/>
    <x v="102"/>
    <s v="Data analytics"/>
  </r>
  <r>
    <n v="1716"/>
    <s v="404-4315576"/>
    <s v="43155"/>
    <x v="0"/>
    <n v="31"/>
    <x v="246"/>
    <x v="8"/>
    <x v="0"/>
    <x v="1"/>
    <s v="DM101"/>
    <x v="2"/>
    <n v="85499"/>
    <x v="54"/>
    <s v="Digial marketing"/>
  </r>
  <r>
    <n v="1717"/>
    <s v="403-7519291"/>
    <s v="75192"/>
    <x v="0"/>
    <n v="31"/>
    <x v="246"/>
    <x v="8"/>
    <x v="0"/>
    <x v="1"/>
    <s v="DM101"/>
    <x v="2"/>
    <n v="85499"/>
    <x v="57"/>
    <s v="Digial marketing"/>
  </r>
  <r>
    <n v="1718"/>
    <s v="408-2061002"/>
    <s v="20610"/>
    <x v="1"/>
    <n v="31"/>
    <x v="246"/>
    <x v="8"/>
    <x v="0"/>
    <x v="4"/>
    <s v="DA202"/>
    <x v="0"/>
    <n v="79999"/>
    <x v="49"/>
    <s v="Data analytics"/>
  </r>
  <r>
    <n v="1719"/>
    <s v="406-0401427"/>
    <s v="40142"/>
    <x v="0"/>
    <n v="25"/>
    <x v="246"/>
    <x v="8"/>
    <x v="0"/>
    <x v="1"/>
    <s v="FSD103"/>
    <x v="3"/>
    <n v="109990"/>
    <x v="100"/>
    <s v="Full stack development"/>
  </r>
  <r>
    <n v="1720"/>
    <s v="407-7572425"/>
    <s v="75724"/>
    <x v="1"/>
    <n v="49"/>
    <x v="247"/>
    <x v="8"/>
    <x v="0"/>
    <x v="1"/>
    <s v="BA301"/>
    <x v="1"/>
    <n v="59999"/>
    <x v="23"/>
    <s v="Business analytics"/>
  </r>
  <r>
    <n v="1721"/>
    <s v="404-7908796"/>
    <s v="79087"/>
    <x v="0"/>
    <n v="47"/>
    <x v="247"/>
    <x v="8"/>
    <x v="0"/>
    <x v="1"/>
    <s v="DM101"/>
    <x v="2"/>
    <n v="85499"/>
    <x v="495"/>
    <s v="Digial marketing"/>
  </r>
  <r>
    <n v="1722"/>
    <s v="408-3353405"/>
    <s v="33534"/>
    <x v="1"/>
    <n v="45"/>
    <x v="247"/>
    <x v="8"/>
    <x v="0"/>
    <x v="6"/>
    <s v="FSD103"/>
    <x v="3"/>
    <n v="109990"/>
    <x v="16"/>
    <s v="Full stack development"/>
  </r>
  <r>
    <n v="1723"/>
    <s v="404-4233322"/>
    <s v="42333"/>
    <x v="0"/>
    <n v="32"/>
    <x v="247"/>
    <x v="8"/>
    <x v="0"/>
    <x v="1"/>
    <s v="DA202"/>
    <x v="0"/>
    <n v="79999"/>
    <x v="29"/>
    <s v="Data analytics"/>
  </r>
  <r>
    <n v="1724"/>
    <s v="408-7002009"/>
    <s v="70020"/>
    <x v="0"/>
    <n v="22"/>
    <x v="247"/>
    <x v="8"/>
    <x v="0"/>
    <x v="2"/>
    <s v="DM101"/>
    <x v="2"/>
    <n v="85499"/>
    <x v="318"/>
    <s v="Digial marketing"/>
  </r>
  <r>
    <n v="1725"/>
    <s v="171-5616318"/>
    <s v="56163"/>
    <x v="1"/>
    <n v="63"/>
    <x v="247"/>
    <x v="8"/>
    <x v="0"/>
    <x v="5"/>
    <s v="DA202"/>
    <x v="0"/>
    <n v="79999"/>
    <x v="19"/>
    <s v="Data analytics"/>
  </r>
  <r>
    <n v="1726"/>
    <s v="171-6741005"/>
    <s v="67410"/>
    <x v="0"/>
    <n v="30"/>
    <x v="247"/>
    <x v="8"/>
    <x v="0"/>
    <x v="1"/>
    <s v="AI001"/>
    <x v="5"/>
    <n v="119990"/>
    <x v="15"/>
    <s v="AI &amp; ML"/>
  </r>
  <r>
    <n v="1727"/>
    <s v="406-6743208"/>
    <s v="67432"/>
    <x v="0"/>
    <n v="36"/>
    <x v="247"/>
    <x v="8"/>
    <x v="0"/>
    <x v="3"/>
    <s v="DA202"/>
    <x v="0"/>
    <n v="79999"/>
    <x v="16"/>
    <s v="Data analytics"/>
  </r>
  <r>
    <n v="1728"/>
    <s v="402-8159239"/>
    <s v="81592"/>
    <x v="1"/>
    <n v="20"/>
    <x v="248"/>
    <x v="8"/>
    <x v="0"/>
    <x v="0"/>
    <s v="BA301"/>
    <x v="1"/>
    <n v="59999"/>
    <x v="496"/>
    <s v="Business analytics"/>
  </r>
  <r>
    <n v="1729"/>
    <s v="402-1701315"/>
    <s v="17013"/>
    <x v="0"/>
    <n v="74"/>
    <x v="248"/>
    <x v="8"/>
    <x v="1"/>
    <x v="2"/>
    <s v="DA202"/>
    <x v="0"/>
    <n v="79999"/>
    <x v="77"/>
    <s v="Data analytics"/>
  </r>
  <r>
    <n v="1730"/>
    <s v="408-3024991"/>
    <s v="30249"/>
    <x v="0"/>
    <n v="34"/>
    <x v="248"/>
    <x v="8"/>
    <x v="0"/>
    <x v="4"/>
    <s v="FSD103"/>
    <x v="3"/>
    <n v="109990"/>
    <x v="57"/>
    <s v="Full stack development"/>
  </r>
  <r>
    <n v="1731"/>
    <s v="407-2663616"/>
    <s v="26636"/>
    <x v="1"/>
    <n v="75"/>
    <x v="248"/>
    <x v="8"/>
    <x v="0"/>
    <x v="1"/>
    <s v="DM101"/>
    <x v="2"/>
    <n v="85499"/>
    <x v="244"/>
    <s v="Digial marketing"/>
  </r>
  <r>
    <n v="1732"/>
    <s v="408-1881284"/>
    <s v="18812"/>
    <x v="0"/>
    <n v="32"/>
    <x v="248"/>
    <x v="8"/>
    <x v="0"/>
    <x v="1"/>
    <s v="DM101"/>
    <x v="2"/>
    <n v="85499"/>
    <x v="331"/>
    <s v="Digial marketing"/>
  </r>
  <r>
    <n v="1733"/>
    <s v="406-7531358"/>
    <s v="75313"/>
    <x v="0"/>
    <n v="30"/>
    <x v="248"/>
    <x v="8"/>
    <x v="0"/>
    <x v="1"/>
    <s v="DA202"/>
    <x v="0"/>
    <n v="79999"/>
    <x v="24"/>
    <s v="Data analytics"/>
  </r>
  <r>
    <n v="1734"/>
    <s v="403-8280239"/>
    <s v="82802"/>
    <x v="1"/>
    <n v="26"/>
    <x v="248"/>
    <x v="8"/>
    <x v="2"/>
    <x v="1"/>
    <s v="DM101"/>
    <x v="2"/>
    <n v="85499"/>
    <x v="80"/>
    <s v="Digial marketing"/>
  </r>
  <r>
    <n v="1735"/>
    <s v="403-9112331"/>
    <s v="91123"/>
    <x v="0"/>
    <n v="68"/>
    <x v="248"/>
    <x v="8"/>
    <x v="1"/>
    <x v="1"/>
    <s v="DM101"/>
    <x v="2"/>
    <n v="85499"/>
    <x v="75"/>
    <s v="Digial marketing"/>
  </r>
  <r>
    <n v="1736"/>
    <s v="403-0309970"/>
    <s v="30997"/>
    <x v="0"/>
    <n v="19"/>
    <x v="248"/>
    <x v="8"/>
    <x v="0"/>
    <x v="0"/>
    <s v="DA202"/>
    <x v="0"/>
    <n v="79999"/>
    <x v="497"/>
    <s v="Data analytics"/>
  </r>
  <r>
    <n v="1737"/>
    <s v="405-7843464"/>
    <s v="78434"/>
    <x v="0"/>
    <n v="23"/>
    <x v="248"/>
    <x v="8"/>
    <x v="0"/>
    <x v="3"/>
    <s v="DM101"/>
    <x v="2"/>
    <n v="85499"/>
    <x v="498"/>
    <s v="Digial marketing"/>
  </r>
  <r>
    <n v="1738"/>
    <s v="171-0657946"/>
    <s v="65794"/>
    <x v="1"/>
    <n v="38"/>
    <x v="248"/>
    <x v="8"/>
    <x v="0"/>
    <x v="2"/>
    <s v="DM101"/>
    <x v="2"/>
    <n v="85499"/>
    <x v="3"/>
    <s v="Digial marketing"/>
  </r>
  <r>
    <n v="1739"/>
    <s v="405-7116987"/>
    <s v="71169"/>
    <x v="1"/>
    <n v="18"/>
    <x v="248"/>
    <x v="8"/>
    <x v="2"/>
    <x v="1"/>
    <s v="DA202"/>
    <x v="0"/>
    <n v="79999"/>
    <x v="3"/>
    <s v="Data analytics"/>
  </r>
  <r>
    <n v="1740"/>
    <s v="406-5927721"/>
    <s v="59277"/>
    <x v="0"/>
    <n v="21"/>
    <x v="249"/>
    <x v="8"/>
    <x v="0"/>
    <x v="0"/>
    <s v="FSD103"/>
    <x v="3"/>
    <n v="109990"/>
    <x v="49"/>
    <s v="Full stack development"/>
  </r>
  <r>
    <n v="1741"/>
    <s v="403-7397596"/>
    <s v="73975"/>
    <x v="0"/>
    <n v="67"/>
    <x v="249"/>
    <x v="8"/>
    <x v="0"/>
    <x v="2"/>
    <s v="DM101"/>
    <x v="2"/>
    <n v="85499"/>
    <x v="430"/>
    <s v="Digial marketing"/>
  </r>
  <r>
    <n v="1742"/>
    <s v="407-3446252"/>
    <s v="34462"/>
    <x v="1"/>
    <n v="31"/>
    <x v="249"/>
    <x v="8"/>
    <x v="0"/>
    <x v="4"/>
    <s v="DA202"/>
    <x v="0"/>
    <n v="79999"/>
    <x v="24"/>
    <s v="Data analytics"/>
  </r>
  <r>
    <n v="1743"/>
    <s v="407-3442214"/>
    <s v="34422"/>
    <x v="0"/>
    <n v="32"/>
    <x v="249"/>
    <x v="8"/>
    <x v="0"/>
    <x v="0"/>
    <s v="DA202"/>
    <x v="0"/>
    <n v="79999"/>
    <x v="255"/>
    <s v="Data analytics"/>
  </r>
  <r>
    <n v="1744"/>
    <s v="403-5765764"/>
    <s v="57657"/>
    <x v="0"/>
    <n v="19"/>
    <x v="249"/>
    <x v="8"/>
    <x v="0"/>
    <x v="5"/>
    <s v="UX401"/>
    <x v="4"/>
    <n v="67990"/>
    <x v="499"/>
    <s v="UI/UX Design"/>
  </r>
  <r>
    <n v="1745"/>
    <s v="405-6276484"/>
    <s v="62764"/>
    <x v="1"/>
    <n v="31"/>
    <x v="249"/>
    <x v="8"/>
    <x v="0"/>
    <x v="1"/>
    <s v="BA301"/>
    <x v="1"/>
    <n v="59999"/>
    <x v="17"/>
    <s v="Business analytics"/>
  </r>
  <r>
    <n v="1746"/>
    <s v="406-4725061"/>
    <s v="47250"/>
    <x v="0"/>
    <n v="26"/>
    <x v="249"/>
    <x v="8"/>
    <x v="0"/>
    <x v="0"/>
    <s v="AI001"/>
    <x v="5"/>
    <n v="119990"/>
    <x v="9"/>
    <s v="AI &amp; ML"/>
  </r>
  <r>
    <n v="1747"/>
    <s v="405-6281809"/>
    <s v="62818"/>
    <x v="0"/>
    <n v="35"/>
    <x v="249"/>
    <x v="8"/>
    <x v="0"/>
    <x v="1"/>
    <s v="DM101"/>
    <x v="2"/>
    <n v="85499"/>
    <x v="15"/>
    <s v="Digial marketing"/>
  </r>
  <r>
    <n v="1748"/>
    <s v="171-4617615"/>
    <s v="46176"/>
    <x v="0"/>
    <n v="23"/>
    <x v="250"/>
    <x v="8"/>
    <x v="0"/>
    <x v="2"/>
    <s v="DA202"/>
    <x v="0"/>
    <n v="79999"/>
    <x v="128"/>
    <s v="Data analytics"/>
  </r>
  <r>
    <n v="1749"/>
    <s v="402-7062095"/>
    <s v="70620"/>
    <x v="0"/>
    <n v="49"/>
    <x v="250"/>
    <x v="8"/>
    <x v="0"/>
    <x v="2"/>
    <s v="DM101"/>
    <x v="2"/>
    <n v="85499"/>
    <x v="66"/>
    <s v="Digial marketing"/>
  </r>
  <r>
    <n v="1750"/>
    <s v="408-9706325"/>
    <s v="97063"/>
    <x v="0"/>
    <n v="39"/>
    <x v="250"/>
    <x v="8"/>
    <x v="0"/>
    <x v="1"/>
    <s v="DA202"/>
    <x v="0"/>
    <n v="79999"/>
    <x v="500"/>
    <s v="Data analytics"/>
  </r>
  <r>
    <n v="1751"/>
    <s v="403-4263937"/>
    <s v="42639"/>
    <x v="0"/>
    <n v="72"/>
    <x v="250"/>
    <x v="8"/>
    <x v="0"/>
    <x v="2"/>
    <s v="BA301"/>
    <x v="1"/>
    <n v="59999"/>
    <x v="478"/>
    <s v="Business analytics"/>
  </r>
  <r>
    <n v="1752"/>
    <s v="171-2959356"/>
    <s v="29593"/>
    <x v="0"/>
    <n v="38"/>
    <x v="250"/>
    <x v="8"/>
    <x v="0"/>
    <x v="2"/>
    <s v="DA202"/>
    <x v="0"/>
    <n v="79999"/>
    <x v="501"/>
    <s v="Data analytics"/>
  </r>
  <r>
    <n v="1753"/>
    <s v="406-2922709"/>
    <s v="29227"/>
    <x v="0"/>
    <n v="34"/>
    <x v="250"/>
    <x v="8"/>
    <x v="0"/>
    <x v="1"/>
    <s v="DA202"/>
    <x v="0"/>
    <n v="79999"/>
    <x v="15"/>
    <s v="Data analytics"/>
  </r>
  <r>
    <n v="1754"/>
    <s v="407-6524171"/>
    <s v="65241"/>
    <x v="0"/>
    <n v="30"/>
    <x v="250"/>
    <x v="8"/>
    <x v="0"/>
    <x v="0"/>
    <s v="DM101"/>
    <x v="2"/>
    <n v="85499"/>
    <x v="15"/>
    <s v="Digial marketing"/>
  </r>
  <r>
    <n v="1755"/>
    <s v="408-4531124"/>
    <s v="45311"/>
    <x v="0"/>
    <n v="32"/>
    <x v="250"/>
    <x v="8"/>
    <x v="0"/>
    <x v="2"/>
    <s v="DA202"/>
    <x v="0"/>
    <n v="79999"/>
    <x v="83"/>
    <s v="Data analytics"/>
  </r>
  <r>
    <n v="1756"/>
    <s v="406-7210038"/>
    <s v="72100"/>
    <x v="1"/>
    <n v="57"/>
    <x v="251"/>
    <x v="8"/>
    <x v="0"/>
    <x v="1"/>
    <s v="DM101"/>
    <x v="2"/>
    <n v="85499"/>
    <x v="16"/>
    <s v="Digial marketing"/>
  </r>
  <r>
    <n v="1757"/>
    <s v="402-6816208"/>
    <s v="68162"/>
    <x v="0"/>
    <n v="60"/>
    <x v="251"/>
    <x v="8"/>
    <x v="0"/>
    <x v="4"/>
    <s v="DM101"/>
    <x v="2"/>
    <n v="85499"/>
    <x v="484"/>
    <s v="Digial marketing"/>
  </r>
  <r>
    <n v="1758"/>
    <s v="402-0345525"/>
    <s v="34552"/>
    <x v="0"/>
    <n v="36"/>
    <x v="251"/>
    <x v="8"/>
    <x v="0"/>
    <x v="1"/>
    <s v="DM101"/>
    <x v="2"/>
    <n v="85499"/>
    <x v="3"/>
    <s v="Digial marketing"/>
  </r>
  <r>
    <n v="1759"/>
    <s v="408-3889093"/>
    <s v="38890"/>
    <x v="0"/>
    <n v="75"/>
    <x v="251"/>
    <x v="8"/>
    <x v="0"/>
    <x v="6"/>
    <s v="DA202"/>
    <x v="0"/>
    <n v="79999"/>
    <x v="15"/>
    <s v="Data analytics"/>
  </r>
  <r>
    <n v="1760"/>
    <s v="405-5550107"/>
    <s v="55501"/>
    <x v="0"/>
    <n v="29"/>
    <x v="251"/>
    <x v="8"/>
    <x v="0"/>
    <x v="5"/>
    <s v="DM101"/>
    <x v="2"/>
    <n v="85499"/>
    <x v="14"/>
    <s v="Digial marketing"/>
  </r>
  <r>
    <n v="1761"/>
    <s v="171-1653804"/>
    <s v="16538"/>
    <x v="0"/>
    <n v="38"/>
    <x v="251"/>
    <x v="8"/>
    <x v="0"/>
    <x v="2"/>
    <s v="DA202"/>
    <x v="0"/>
    <n v="79999"/>
    <x v="3"/>
    <s v="Data analytics"/>
  </r>
  <r>
    <n v="1762"/>
    <s v="405-3517479"/>
    <s v="35174"/>
    <x v="0"/>
    <n v="35"/>
    <x v="251"/>
    <x v="8"/>
    <x v="0"/>
    <x v="5"/>
    <s v="DM101"/>
    <x v="2"/>
    <n v="85499"/>
    <x v="502"/>
    <s v="Digial marketing"/>
  </r>
  <r>
    <n v="1763"/>
    <s v="403-8936617"/>
    <s v="89366"/>
    <x v="0"/>
    <n v="50"/>
    <x v="252"/>
    <x v="8"/>
    <x v="0"/>
    <x v="0"/>
    <s v="DA202"/>
    <x v="0"/>
    <n v="79999"/>
    <x v="244"/>
    <s v="Data analytics"/>
  </r>
  <r>
    <n v="1764"/>
    <s v="407-8069140"/>
    <s v="80691"/>
    <x v="1"/>
    <n v="20"/>
    <x v="252"/>
    <x v="8"/>
    <x v="0"/>
    <x v="1"/>
    <s v="BA301"/>
    <x v="1"/>
    <n v="59999"/>
    <x v="9"/>
    <s v="Business analytics"/>
  </r>
  <r>
    <n v="1765"/>
    <s v="408-1944603"/>
    <s v="19446"/>
    <x v="0"/>
    <n v="42"/>
    <x v="252"/>
    <x v="8"/>
    <x v="0"/>
    <x v="5"/>
    <s v="DA202"/>
    <x v="0"/>
    <n v="79999"/>
    <x v="503"/>
    <s v="Data analytics"/>
  </r>
  <r>
    <n v="1766"/>
    <s v="404-6341086"/>
    <s v="63410"/>
    <x v="0"/>
    <n v="44"/>
    <x v="252"/>
    <x v="8"/>
    <x v="0"/>
    <x v="1"/>
    <s v="DA202"/>
    <x v="0"/>
    <n v="79999"/>
    <x v="504"/>
    <s v="Data analytics"/>
  </r>
  <r>
    <n v="1767"/>
    <s v="403-8655058"/>
    <s v="86550"/>
    <x v="1"/>
    <n v="77"/>
    <x v="252"/>
    <x v="8"/>
    <x v="0"/>
    <x v="5"/>
    <s v="DM101"/>
    <x v="2"/>
    <n v="85499"/>
    <x v="3"/>
    <s v="Digial marketing"/>
  </r>
  <r>
    <n v="1768"/>
    <s v="404-4901135"/>
    <s v="49011"/>
    <x v="0"/>
    <n v="32"/>
    <x v="252"/>
    <x v="8"/>
    <x v="0"/>
    <x v="1"/>
    <s v="DM101"/>
    <x v="2"/>
    <n v="85499"/>
    <x v="9"/>
    <s v="Digial marketing"/>
  </r>
  <r>
    <n v="1769"/>
    <s v="404-0069435"/>
    <s v="69435"/>
    <x v="0"/>
    <n v="19"/>
    <x v="252"/>
    <x v="8"/>
    <x v="0"/>
    <x v="1"/>
    <s v="DM101"/>
    <x v="2"/>
    <n v="85499"/>
    <x v="29"/>
    <s v="Digial marketing"/>
  </r>
  <r>
    <n v="1770"/>
    <s v="405-2523243"/>
    <s v="25232"/>
    <x v="0"/>
    <n v="18"/>
    <x v="253"/>
    <x v="8"/>
    <x v="0"/>
    <x v="2"/>
    <s v="DA202"/>
    <x v="0"/>
    <n v="79999"/>
    <x v="17"/>
    <s v="Data analytics"/>
  </r>
  <r>
    <n v="1771"/>
    <s v="408-1495441"/>
    <s v="14954"/>
    <x v="0"/>
    <n v="54"/>
    <x v="253"/>
    <x v="8"/>
    <x v="0"/>
    <x v="1"/>
    <s v="DM101"/>
    <x v="2"/>
    <n v="85499"/>
    <x v="80"/>
    <s v="Digial marketing"/>
  </r>
  <r>
    <n v="1772"/>
    <s v="408-2935263"/>
    <s v="29352"/>
    <x v="0"/>
    <n v="75"/>
    <x v="254"/>
    <x v="8"/>
    <x v="0"/>
    <x v="1"/>
    <s v="HR201"/>
    <x v="6"/>
    <n v="41999"/>
    <x v="3"/>
    <s v="HR Analytics"/>
  </r>
  <r>
    <n v="1773"/>
    <s v="404-5502918"/>
    <s v="55029"/>
    <x v="0"/>
    <n v="31"/>
    <x v="254"/>
    <x v="8"/>
    <x v="0"/>
    <x v="5"/>
    <s v="UX401"/>
    <x v="4"/>
    <n v="67990"/>
    <x v="84"/>
    <s v="UI/UX Design"/>
  </r>
  <r>
    <n v="1774"/>
    <s v="171-5785828"/>
    <s v="57858"/>
    <x v="0"/>
    <n v="22"/>
    <x v="254"/>
    <x v="8"/>
    <x v="0"/>
    <x v="5"/>
    <s v="FSD103"/>
    <x v="3"/>
    <n v="109990"/>
    <x v="377"/>
    <s v="Full stack development"/>
  </r>
  <r>
    <n v="1775"/>
    <s v="171-3965959"/>
    <s v="39659"/>
    <x v="0"/>
    <n v="30"/>
    <x v="254"/>
    <x v="8"/>
    <x v="0"/>
    <x v="1"/>
    <s v="DA202"/>
    <x v="0"/>
    <n v="79999"/>
    <x v="9"/>
    <s v="Data analytics"/>
  </r>
  <r>
    <n v="1776"/>
    <s v="407-0363421"/>
    <s v="36342"/>
    <x v="1"/>
    <n v="36"/>
    <x v="254"/>
    <x v="8"/>
    <x v="2"/>
    <x v="2"/>
    <s v="DA202"/>
    <x v="0"/>
    <n v="79999"/>
    <x v="15"/>
    <s v="Data analytics"/>
  </r>
  <r>
    <n v="1777"/>
    <s v="405-0028632"/>
    <s v="28632"/>
    <x v="0"/>
    <n v="64"/>
    <x v="254"/>
    <x v="8"/>
    <x v="0"/>
    <x v="4"/>
    <s v="BA301"/>
    <x v="1"/>
    <n v="59999"/>
    <x v="24"/>
    <s v="Business analytics"/>
  </r>
  <r>
    <n v="1778"/>
    <s v="171-8526564"/>
    <s v="85265"/>
    <x v="0"/>
    <n v="18"/>
    <x v="255"/>
    <x v="8"/>
    <x v="0"/>
    <x v="1"/>
    <s v="BA301"/>
    <x v="1"/>
    <n v="59999"/>
    <x v="505"/>
    <s v="Business analytics"/>
  </r>
  <r>
    <n v="1779"/>
    <s v="171-4268845"/>
    <s v="42688"/>
    <x v="1"/>
    <n v="40"/>
    <x v="255"/>
    <x v="8"/>
    <x v="0"/>
    <x v="1"/>
    <s v="DM101"/>
    <x v="2"/>
    <n v="85499"/>
    <x v="94"/>
    <s v="Digial marketing"/>
  </r>
  <r>
    <n v="1780"/>
    <s v="171-9350856"/>
    <s v="93508"/>
    <x v="0"/>
    <n v="19"/>
    <x v="255"/>
    <x v="8"/>
    <x v="0"/>
    <x v="1"/>
    <s v="DA202"/>
    <x v="0"/>
    <n v="79999"/>
    <x v="247"/>
    <s v="Data analytics"/>
  </r>
  <r>
    <n v="1781"/>
    <s v="406-0142755"/>
    <s v="14275"/>
    <x v="1"/>
    <n v="35"/>
    <x v="255"/>
    <x v="8"/>
    <x v="0"/>
    <x v="0"/>
    <s v="UX401"/>
    <x v="4"/>
    <n v="67990"/>
    <x v="89"/>
    <s v="UI/UX Design"/>
  </r>
  <r>
    <n v="1782"/>
    <s v="406-1765022"/>
    <s v="17650"/>
    <x v="1"/>
    <n v="54"/>
    <x v="255"/>
    <x v="8"/>
    <x v="1"/>
    <x v="6"/>
    <s v="DA202"/>
    <x v="0"/>
    <n v="79999"/>
    <x v="28"/>
    <s v="Data analytics"/>
  </r>
  <r>
    <n v="1783"/>
    <s v="405-0609976"/>
    <s v="60997"/>
    <x v="0"/>
    <n v="46"/>
    <x v="255"/>
    <x v="8"/>
    <x v="0"/>
    <x v="1"/>
    <s v="DA202"/>
    <x v="0"/>
    <n v="79999"/>
    <x v="24"/>
    <s v="Data analytics"/>
  </r>
  <r>
    <n v="1784"/>
    <s v="406-9515575"/>
    <s v="95155"/>
    <x v="1"/>
    <n v="77"/>
    <x v="256"/>
    <x v="8"/>
    <x v="0"/>
    <x v="0"/>
    <s v="BA301"/>
    <x v="1"/>
    <n v="59999"/>
    <x v="9"/>
    <s v="Business analytics"/>
  </r>
  <r>
    <n v="1785"/>
    <s v="406-6924866"/>
    <s v="69248"/>
    <x v="0"/>
    <n v="36"/>
    <x v="256"/>
    <x v="8"/>
    <x v="0"/>
    <x v="1"/>
    <s v="DM101"/>
    <x v="2"/>
    <n v="85499"/>
    <x v="74"/>
    <s v="Digial marketing"/>
  </r>
  <r>
    <n v="1786"/>
    <s v="404-2332747"/>
    <s v="23327"/>
    <x v="0"/>
    <n v="54"/>
    <x v="256"/>
    <x v="8"/>
    <x v="0"/>
    <x v="0"/>
    <s v="DM101"/>
    <x v="2"/>
    <n v="85499"/>
    <x v="92"/>
    <s v="Digial marketing"/>
  </r>
  <r>
    <n v="1787"/>
    <s v="404-3406175"/>
    <s v="34061"/>
    <x v="0"/>
    <n v="33"/>
    <x v="256"/>
    <x v="8"/>
    <x v="0"/>
    <x v="1"/>
    <s v="DA202"/>
    <x v="0"/>
    <n v="79999"/>
    <x v="22"/>
    <s v="Data analytics"/>
  </r>
  <r>
    <n v="1788"/>
    <s v="405-1993787"/>
    <s v="19937"/>
    <x v="1"/>
    <n v="67"/>
    <x v="256"/>
    <x v="8"/>
    <x v="0"/>
    <x v="1"/>
    <s v="DM101"/>
    <x v="2"/>
    <n v="85499"/>
    <x v="9"/>
    <s v="Digial marketing"/>
  </r>
  <r>
    <n v="1789"/>
    <s v="406-7466979"/>
    <s v="74669"/>
    <x v="1"/>
    <n v="39"/>
    <x v="257"/>
    <x v="8"/>
    <x v="0"/>
    <x v="2"/>
    <s v="DM101"/>
    <x v="2"/>
    <n v="85499"/>
    <x v="386"/>
    <s v="Digial marketing"/>
  </r>
  <r>
    <n v="1790"/>
    <s v="403-7484817"/>
    <s v="74848"/>
    <x v="0"/>
    <n v="47"/>
    <x v="257"/>
    <x v="8"/>
    <x v="0"/>
    <x v="4"/>
    <s v="DA202"/>
    <x v="0"/>
    <n v="79999"/>
    <x v="464"/>
    <s v="Data analytics"/>
  </r>
  <r>
    <n v="1791"/>
    <s v="402-5504613"/>
    <s v="55046"/>
    <x v="0"/>
    <n v="44"/>
    <x v="257"/>
    <x v="8"/>
    <x v="0"/>
    <x v="0"/>
    <s v="DA202"/>
    <x v="0"/>
    <n v="79999"/>
    <x v="15"/>
    <s v="Data analytics"/>
  </r>
  <r>
    <n v="1792"/>
    <s v="403-0238732"/>
    <s v="23873"/>
    <x v="1"/>
    <n v="45"/>
    <x v="257"/>
    <x v="8"/>
    <x v="0"/>
    <x v="0"/>
    <s v="DA202"/>
    <x v="0"/>
    <n v="79999"/>
    <x v="67"/>
    <s v="Data analytics"/>
  </r>
  <r>
    <n v="1793"/>
    <s v="404-9630258"/>
    <s v="96302"/>
    <x v="1"/>
    <n v="35"/>
    <x v="257"/>
    <x v="8"/>
    <x v="0"/>
    <x v="1"/>
    <s v="DM101"/>
    <x v="2"/>
    <n v="85499"/>
    <x v="155"/>
    <s v="Digial marketing"/>
  </r>
  <r>
    <n v="1794"/>
    <s v="403-8622808"/>
    <s v="86228"/>
    <x v="0"/>
    <n v="37"/>
    <x v="257"/>
    <x v="8"/>
    <x v="0"/>
    <x v="4"/>
    <s v="BA301"/>
    <x v="1"/>
    <n v="59999"/>
    <x v="32"/>
    <s v="Business analytics"/>
  </r>
  <r>
    <n v="1795"/>
    <s v="407-4782522"/>
    <s v="47825"/>
    <x v="0"/>
    <n v="25"/>
    <x v="257"/>
    <x v="8"/>
    <x v="0"/>
    <x v="1"/>
    <s v="DM101"/>
    <x v="2"/>
    <n v="85499"/>
    <x v="81"/>
    <s v="Digial marketing"/>
  </r>
  <r>
    <n v="1796"/>
    <s v="402-5754756"/>
    <s v="57547"/>
    <x v="0"/>
    <n v="27"/>
    <x v="258"/>
    <x v="8"/>
    <x v="0"/>
    <x v="1"/>
    <s v="DA202"/>
    <x v="0"/>
    <n v="79999"/>
    <x v="506"/>
    <s v="Data analytics"/>
  </r>
  <r>
    <n v="1797"/>
    <s v="405-5789138"/>
    <s v="57891"/>
    <x v="0"/>
    <n v="34"/>
    <x v="258"/>
    <x v="8"/>
    <x v="0"/>
    <x v="0"/>
    <s v="DA202"/>
    <x v="0"/>
    <n v="79999"/>
    <x v="507"/>
    <s v="Data analytics"/>
  </r>
  <r>
    <n v="1798"/>
    <s v="408-0013632"/>
    <s v="13632"/>
    <x v="0"/>
    <n v="18"/>
    <x v="259"/>
    <x v="8"/>
    <x v="0"/>
    <x v="4"/>
    <s v="DA202"/>
    <x v="0"/>
    <n v="79999"/>
    <x v="508"/>
    <s v="Data analytics"/>
  </r>
  <r>
    <n v="1799"/>
    <s v="403-4211634"/>
    <s v="42116"/>
    <x v="0"/>
    <n v="27"/>
    <x v="259"/>
    <x v="8"/>
    <x v="0"/>
    <x v="6"/>
    <s v="FSD103"/>
    <x v="3"/>
    <n v="109990"/>
    <x v="2"/>
    <s v="Full stack development"/>
  </r>
  <r>
    <n v="1800"/>
    <s v="402-2130722"/>
    <s v="21307"/>
    <x v="0"/>
    <n v="24"/>
    <x v="259"/>
    <x v="8"/>
    <x v="0"/>
    <x v="0"/>
    <s v="HR201"/>
    <x v="6"/>
    <n v="41999"/>
    <x v="56"/>
    <s v="HR Analytics"/>
  </r>
  <r>
    <n v="1801"/>
    <s v="402-7030199"/>
    <s v="70301"/>
    <x v="0"/>
    <n v="67"/>
    <x v="259"/>
    <x v="8"/>
    <x v="0"/>
    <x v="2"/>
    <s v="DM101"/>
    <x v="2"/>
    <n v="85499"/>
    <x v="342"/>
    <s v="Digial marketing"/>
  </r>
  <r>
    <n v="1802"/>
    <s v="403-4731584"/>
    <s v="47315"/>
    <x v="0"/>
    <n v="19"/>
    <x v="260"/>
    <x v="8"/>
    <x v="0"/>
    <x v="1"/>
    <s v="DA202"/>
    <x v="0"/>
    <n v="79999"/>
    <x v="3"/>
    <s v="Data analytics"/>
  </r>
  <r>
    <n v="1803"/>
    <s v="405-0612700"/>
    <s v="61270"/>
    <x v="0"/>
    <n v="58"/>
    <x v="260"/>
    <x v="8"/>
    <x v="1"/>
    <x v="6"/>
    <s v="BA301"/>
    <x v="1"/>
    <n v="59999"/>
    <x v="509"/>
    <s v="Business analytics"/>
  </r>
  <r>
    <n v="1804"/>
    <s v="407-7403963"/>
    <s v="74039"/>
    <x v="1"/>
    <n v="37"/>
    <x v="260"/>
    <x v="8"/>
    <x v="0"/>
    <x v="1"/>
    <s v="BA301"/>
    <x v="1"/>
    <n v="59999"/>
    <x v="49"/>
    <s v="Business analytics"/>
  </r>
  <r>
    <n v="1805"/>
    <s v="406-0758323"/>
    <s v="75832"/>
    <x v="1"/>
    <n v="21"/>
    <x v="260"/>
    <x v="8"/>
    <x v="0"/>
    <x v="0"/>
    <s v="DM101"/>
    <x v="2"/>
    <n v="85499"/>
    <x v="1"/>
    <s v="Digial marketing"/>
  </r>
  <r>
    <n v="1806"/>
    <s v="406-3867834"/>
    <s v="38678"/>
    <x v="0"/>
    <n v="22"/>
    <x v="260"/>
    <x v="8"/>
    <x v="0"/>
    <x v="5"/>
    <s v="DM101"/>
    <x v="2"/>
    <n v="85499"/>
    <x v="3"/>
    <s v="Digial marketing"/>
  </r>
  <r>
    <n v="1807"/>
    <s v="171-3976547"/>
    <s v="39765"/>
    <x v="0"/>
    <n v="42"/>
    <x v="260"/>
    <x v="8"/>
    <x v="0"/>
    <x v="0"/>
    <s v="BA301"/>
    <x v="1"/>
    <n v="59999"/>
    <x v="154"/>
    <s v="Business analytics"/>
  </r>
  <r>
    <n v="1808"/>
    <s v="403-5508238"/>
    <s v="55082"/>
    <x v="1"/>
    <n v="49"/>
    <x v="260"/>
    <x v="8"/>
    <x v="2"/>
    <x v="1"/>
    <s v="DM101"/>
    <x v="2"/>
    <n v="85499"/>
    <x v="27"/>
    <s v="Digial marketing"/>
  </r>
  <r>
    <n v="1809"/>
    <s v="408-9929975"/>
    <s v="99299"/>
    <x v="0"/>
    <n v="34"/>
    <x v="260"/>
    <x v="8"/>
    <x v="0"/>
    <x v="1"/>
    <s v="UX401"/>
    <x v="4"/>
    <n v="67990"/>
    <x v="510"/>
    <s v="UI/UX Design"/>
  </r>
  <r>
    <n v="1810"/>
    <s v="405-5558218"/>
    <s v="55582"/>
    <x v="1"/>
    <n v="21"/>
    <x v="260"/>
    <x v="8"/>
    <x v="0"/>
    <x v="0"/>
    <s v="DM101"/>
    <x v="2"/>
    <n v="85499"/>
    <x v="92"/>
    <s v="Digial marketing"/>
  </r>
  <r>
    <n v="1811"/>
    <s v="403-3580377"/>
    <s v="35803"/>
    <x v="0"/>
    <n v="37"/>
    <x v="261"/>
    <x v="8"/>
    <x v="0"/>
    <x v="1"/>
    <s v="DA202"/>
    <x v="0"/>
    <n v="79999"/>
    <x v="16"/>
    <s v="Data analytics"/>
  </r>
  <r>
    <n v="1812"/>
    <s v="406-5419124"/>
    <s v="54191"/>
    <x v="0"/>
    <n v="38"/>
    <x v="261"/>
    <x v="8"/>
    <x v="0"/>
    <x v="2"/>
    <s v="DM101"/>
    <x v="2"/>
    <n v="85499"/>
    <x v="511"/>
    <s v="Digial marketing"/>
  </r>
  <r>
    <n v="1813"/>
    <s v="171-8711991"/>
    <s v="87119"/>
    <x v="0"/>
    <n v="46"/>
    <x v="261"/>
    <x v="8"/>
    <x v="0"/>
    <x v="4"/>
    <s v="DA202"/>
    <x v="0"/>
    <n v="79999"/>
    <x v="512"/>
    <s v="Data analytics"/>
  </r>
  <r>
    <n v="1814"/>
    <s v="406-9724538"/>
    <s v="97245"/>
    <x v="0"/>
    <n v="38"/>
    <x v="261"/>
    <x v="8"/>
    <x v="0"/>
    <x v="0"/>
    <s v="DA202"/>
    <x v="0"/>
    <n v="79999"/>
    <x v="109"/>
    <s v="Data analytics"/>
  </r>
  <r>
    <n v="1815"/>
    <s v="405-6954338"/>
    <s v="69543"/>
    <x v="0"/>
    <n v="40"/>
    <x v="261"/>
    <x v="8"/>
    <x v="0"/>
    <x v="1"/>
    <s v="DM101"/>
    <x v="2"/>
    <n v="85499"/>
    <x v="15"/>
    <s v="Digial marketing"/>
  </r>
  <r>
    <n v="1816"/>
    <s v="171-8899935"/>
    <s v="88999"/>
    <x v="0"/>
    <n v="47"/>
    <x v="261"/>
    <x v="8"/>
    <x v="0"/>
    <x v="4"/>
    <s v="DM101"/>
    <x v="2"/>
    <n v="85499"/>
    <x v="46"/>
    <s v="Digial marketing"/>
  </r>
  <r>
    <n v="1817"/>
    <s v="403-3665568"/>
    <s v="36655"/>
    <x v="0"/>
    <n v="41"/>
    <x v="262"/>
    <x v="8"/>
    <x v="0"/>
    <x v="5"/>
    <s v="HR201"/>
    <x v="6"/>
    <n v="41999"/>
    <x v="150"/>
    <s v="HR Analytics"/>
  </r>
  <r>
    <n v="1818"/>
    <s v="406-0863695"/>
    <s v="86369"/>
    <x v="0"/>
    <n v="31"/>
    <x v="262"/>
    <x v="8"/>
    <x v="0"/>
    <x v="6"/>
    <s v="DA202"/>
    <x v="0"/>
    <n v="79999"/>
    <x v="46"/>
    <s v="Data analytics"/>
  </r>
  <r>
    <n v="1819"/>
    <s v="402-2997706"/>
    <s v="29977"/>
    <x v="0"/>
    <n v="20"/>
    <x v="262"/>
    <x v="8"/>
    <x v="0"/>
    <x v="5"/>
    <s v="DM101"/>
    <x v="2"/>
    <n v="85499"/>
    <x v="15"/>
    <s v="Digial marketing"/>
  </r>
  <r>
    <n v="1820"/>
    <s v="407-1252079"/>
    <s v="12520"/>
    <x v="0"/>
    <n v="64"/>
    <x v="262"/>
    <x v="8"/>
    <x v="0"/>
    <x v="1"/>
    <s v="BA301"/>
    <x v="1"/>
    <n v="59999"/>
    <x v="93"/>
    <s v="Business analytics"/>
  </r>
  <r>
    <n v="1821"/>
    <s v="406-3607850"/>
    <s v="36078"/>
    <x v="0"/>
    <n v="34"/>
    <x v="262"/>
    <x v="8"/>
    <x v="0"/>
    <x v="2"/>
    <s v="BA301"/>
    <x v="1"/>
    <n v="59999"/>
    <x v="3"/>
    <s v="Business analytics"/>
  </r>
  <r>
    <n v="1822"/>
    <s v="406-8372051"/>
    <s v="83720"/>
    <x v="0"/>
    <n v="50"/>
    <x v="262"/>
    <x v="8"/>
    <x v="2"/>
    <x v="2"/>
    <s v="FSD103"/>
    <x v="3"/>
    <n v="109990"/>
    <x v="351"/>
    <s v="Full stack development"/>
  </r>
  <r>
    <n v="1823"/>
    <s v="408-5838890"/>
    <s v="58388"/>
    <x v="1"/>
    <n v="22"/>
    <x v="262"/>
    <x v="8"/>
    <x v="0"/>
    <x v="2"/>
    <s v="DM101"/>
    <x v="2"/>
    <n v="85499"/>
    <x v="54"/>
    <s v="Digial marketing"/>
  </r>
  <r>
    <n v="1824"/>
    <s v="171-0490840"/>
    <s v="49084"/>
    <x v="0"/>
    <n v="35"/>
    <x v="262"/>
    <x v="8"/>
    <x v="0"/>
    <x v="0"/>
    <s v="DA202"/>
    <x v="0"/>
    <n v="79999"/>
    <x v="15"/>
    <s v="Data analytics"/>
  </r>
  <r>
    <n v="1825"/>
    <s v="405-4800858"/>
    <s v="48008"/>
    <x v="0"/>
    <n v="45"/>
    <x v="263"/>
    <x v="8"/>
    <x v="0"/>
    <x v="1"/>
    <s v="DA202"/>
    <x v="0"/>
    <n v="79999"/>
    <x v="453"/>
    <s v="Data analytics"/>
  </r>
  <r>
    <n v="1826"/>
    <s v="171-8990017"/>
    <s v="89900"/>
    <x v="1"/>
    <n v="22"/>
    <x v="263"/>
    <x v="8"/>
    <x v="0"/>
    <x v="3"/>
    <s v="DM101"/>
    <x v="2"/>
    <n v="85499"/>
    <x v="9"/>
    <s v="Digial marketing"/>
  </r>
  <r>
    <n v="1827"/>
    <s v="404-0210560"/>
    <s v="21056"/>
    <x v="0"/>
    <n v="76"/>
    <x v="263"/>
    <x v="8"/>
    <x v="0"/>
    <x v="1"/>
    <s v="DM101"/>
    <x v="2"/>
    <n v="85499"/>
    <x v="438"/>
    <s v="Digial marketing"/>
  </r>
  <r>
    <n v="1828"/>
    <s v="405-0234998"/>
    <s v="23499"/>
    <x v="1"/>
    <n v="37"/>
    <x v="263"/>
    <x v="8"/>
    <x v="0"/>
    <x v="0"/>
    <s v="DM101"/>
    <x v="2"/>
    <n v="85499"/>
    <x v="4"/>
    <s v="Digial marketing"/>
  </r>
  <r>
    <n v="1829"/>
    <s v="402-8171830"/>
    <s v="81718"/>
    <x v="0"/>
    <n v="67"/>
    <x v="263"/>
    <x v="8"/>
    <x v="0"/>
    <x v="6"/>
    <s v="DA202"/>
    <x v="0"/>
    <n v="79999"/>
    <x v="21"/>
    <s v="Data analytics"/>
  </r>
  <r>
    <n v="1830"/>
    <s v="408-4410167"/>
    <s v="44101"/>
    <x v="0"/>
    <n v="33"/>
    <x v="263"/>
    <x v="8"/>
    <x v="0"/>
    <x v="5"/>
    <s v="DA202"/>
    <x v="0"/>
    <n v="79999"/>
    <x v="15"/>
    <s v="Data analytics"/>
  </r>
  <r>
    <n v="1831"/>
    <s v="402-7100821"/>
    <s v="71008"/>
    <x v="0"/>
    <n v="20"/>
    <x v="263"/>
    <x v="8"/>
    <x v="0"/>
    <x v="0"/>
    <s v="DA202"/>
    <x v="0"/>
    <n v="79999"/>
    <x v="3"/>
    <s v="Data analytics"/>
  </r>
  <r>
    <n v="1832"/>
    <s v="406-2199413"/>
    <s v="21994"/>
    <x v="1"/>
    <n v="37"/>
    <x v="264"/>
    <x v="8"/>
    <x v="0"/>
    <x v="2"/>
    <s v="DA202"/>
    <x v="0"/>
    <n v="79999"/>
    <x v="513"/>
    <s v="Data analytics"/>
  </r>
  <r>
    <n v="1833"/>
    <s v="407-5346072"/>
    <s v="53460"/>
    <x v="0"/>
    <n v="21"/>
    <x v="264"/>
    <x v="8"/>
    <x v="0"/>
    <x v="4"/>
    <s v="DA202"/>
    <x v="0"/>
    <n v="79999"/>
    <x v="17"/>
    <s v="Data analytics"/>
  </r>
  <r>
    <n v="1834"/>
    <s v="408-5256607"/>
    <s v="52566"/>
    <x v="0"/>
    <n v="38"/>
    <x v="264"/>
    <x v="8"/>
    <x v="0"/>
    <x v="2"/>
    <s v="DM101"/>
    <x v="2"/>
    <n v="85499"/>
    <x v="17"/>
    <s v="Digial marketing"/>
  </r>
  <r>
    <n v="1835"/>
    <s v="407-4873199"/>
    <s v="48731"/>
    <x v="0"/>
    <n v="51"/>
    <x v="264"/>
    <x v="8"/>
    <x v="0"/>
    <x v="1"/>
    <s v="UX401"/>
    <x v="4"/>
    <n v="67990"/>
    <x v="167"/>
    <s v="UI/UX Design"/>
  </r>
  <r>
    <n v="1836"/>
    <s v="402-3550159"/>
    <s v="35501"/>
    <x v="1"/>
    <n v="68"/>
    <x v="264"/>
    <x v="8"/>
    <x v="2"/>
    <x v="3"/>
    <s v="DM101"/>
    <x v="2"/>
    <n v="85499"/>
    <x v="29"/>
    <s v="Digial marketing"/>
  </r>
  <r>
    <n v="1837"/>
    <s v="407-3073786"/>
    <s v="30737"/>
    <x v="1"/>
    <n v="50"/>
    <x v="264"/>
    <x v="8"/>
    <x v="0"/>
    <x v="2"/>
    <s v="DM101"/>
    <x v="2"/>
    <n v="85499"/>
    <x v="421"/>
    <s v="Digial marketing"/>
  </r>
  <r>
    <n v="1838"/>
    <s v="408-5694145"/>
    <s v="56941"/>
    <x v="0"/>
    <n v="57"/>
    <x v="264"/>
    <x v="8"/>
    <x v="0"/>
    <x v="1"/>
    <s v="DM101"/>
    <x v="2"/>
    <n v="85499"/>
    <x v="205"/>
    <s v="Digial marketing"/>
  </r>
  <r>
    <n v="1839"/>
    <s v="404-5987761"/>
    <s v="59877"/>
    <x v="0"/>
    <n v="51"/>
    <x v="264"/>
    <x v="8"/>
    <x v="0"/>
    <x v="1"/>
    <s v="DM101"/>
    <x v="2"/>
    <n v="85499"/>
    <x v="49"/>
    <s v="Digial marketing"/>
  </r>
  <r>
    <n v="1840"/>
    <s v="402-5606043"/>
    <s v="56060"/>
    <x v="1"/>
    <n v="47"/>
    <x v="265"/>
    <x v="8"/>
    <x v="0"/>
    <x v="1"/>
    <s v="DA202"/>
    <x v="0"/>
    <n v="79999"/>
    <x v="17"/>
    <s v="Data analytics"/>
  </r>
  <r>
    <n v="1841"/>
    <s v="171-0056896"/>
    <s v="56896"/>
    <x v="1"/>
    <n v="28"/>
    <x v="265"/>
    <x v="8"/>
    <x v="0"/>
    <x v="1"/>
    <s v="DM101"/>
    <x v="2"/>
    <n v="85499"/>
    <x v="12"/>
    <s v="Digial marketing"/>
  </r>
  <r>
    <n v="1842"/>
    <s v="408-2200479"/>
    <s v="22004"/>
    <x v="0"/>
    <n v="24"/>
    <x v="265"/>
    <x v="8"/>
    <x v="0"/>
    <x v="2"/>
    <s v="DA202"/>
    <x v="0"/>
    <n v="79999"/>
    <x v="63"/>
    <s v="Data analytics"/>
  </r>
  <r>
    <n v="1843"/>
    <s v="404-8766349"/>
    <s v="87663"/>
    <x v="0"/>
    <n v="21"/>
    <x v="265"/>
    <x v="8"/>
    <x v="1"/>
    <x v="4"/>
    <s v="DM101"/>
    <x v="2"/>
    <n v="85499"/>
    <x v="514"/>
    <s v="Digial marketing"/>
  </r>
  <r>
    <n v="1844"/>
    <s v="408-9902350"/>
    <s v="99023"/>
    <x v="1"/>
    <n v="23"/>
    <x v="265"/>
    <x v="8"/>
    <x v="0"/>
    <x v="0"/>
    <s v="BA301"/>
    <x v="1"/>
    <n v="59999"/>
    <x v="515"/>
    <s v="Business analytics"/>
  </r>
  <r>
    <n v="1845"/>
    <s v="406-9614054"/>
    <s v="96140"/>
    <x v="1"/>
    <n v="36"/>
    <x v="265"/>
    <x v="8"/>
    <x v="0"/>
    <x v="1"/>
    <s v="DM101"/>
    <x v="2"/>
    <n v="85499"/>
    <x v="24"/>
    <s v="Digial marketing"/>
  </r>
  <r>
    <n v="1846"/>
    <s v="402-6689607"/>
    <s v="66896"/>
    <x v="1"/>
    <n v="71"/>
    <x v="265"/>
    <x v="8"/>
    <x v="0"/>
    <x v="2"/>
    <s v="DM101"/>
    <x v="2"/>
    <n v="85499"/>
    <x v="14"/>
    <s v="Digial marketing"/>
  </r>
  <r>
    <n v="1847"/>
    <s v="407-0978573"/>
    <s v="97857"/>
    <x v="1"/>
    <n v="45"/>
    <x v="266"/>
    <x v="8"/>
    <x v="0"/>
    <x v="0"/>
    <s v="DM101"/>
    <x v="2"/>
    <n v="85499"/>
    <x v="32"/>
    <s v="Digial marketing"/>
  </r>
  <r>
    <n v="1848"/>
    <s v="171-2781190"/>
    <s v="27811"/>
    <x v="0"/>
    <n v="20"/>
    <x v="266"/>
    <x v="8"/>
    <x v="2"/>
    <x v="1"/>
    <s v="DM101"/>
    <x v="2"/>
    <n v="85499"/>
    <x v="305"/>
    <s v="Digial marketing"/>
  </r>
  <r>
    <n v="1849"/>
    <s v="407-7672889"/>
    <s v="76728"/>
    <x v="0"/>
    <n v="35"/>
    <x v="266"/>
    <x v="8"/>
    <x v="0"/>
    <x v="1"/>
    <s v="DA202"/>
    <x v="0"/>
    <n v="79999"/>
    <x v="29"/>
    <s v="Data analytics"/>
  </r>
  <r>
    <n v="1850"/>
    <s v="402-7286392"/>
    <s v="72863"/>
    <x v="1"/>
    <n v="31"/>
    <x v="266"/>
    <x v="8"/>
    <x v="0"/>
    <x v="2"/>
    <s v="DM101"/>
    <x v="2"/>
    <n v="85499"/>
    <x v="16"/>
    <s v="Digial marketing"/>
  </r>
  <r>
    <n v="1851"/>
    <s v="408-4039445"/>
    <s v="40394"/>
    <x v="1"/>
    <n v="31"/>
    <x v="266"/>
    <x v="8"/>
    <x v="0"/>
    <x v="1"/>
    <s v="FSD103"/>
    <x v="3"/>
    <n v="109990"/>
    <x v="3"/>
    <s v="Full stack development"/>
  </r>
  <r>
    <n v="1852"/>
    <s v="406-3437334"/>
    <s v="34373"/>
    <x v="1"/>
    <n v="48"/>
    <x v="266"/>
    <x v="8"/>
    <x v="0"/>
    <x v="0"/>
    <s v="BA301"/>
    <x v="1"/>
    <n v="59999"/>
    <x v="25"/>
    <s v="Business analytics"/>
  </r>
  <r>
    <n v="1853"/>
    <s v="406-6324980"/>
    <s v="63249"/>
    <x v="0"/>
    <n v="35"/>
    <x v="266"/>
    <x v="8"/>
    <x v="0"/>
    <x v="1"/>
    <s v="DM101"/>
    <x v="2"/>
    <n v="85499"/>
    <x v="9"/>
    <s v="Digial marketing"/>
  </r>
  <r>
    <n v="1854"/>
    <s v="406-5787665"/>
    <s v="57876"/>
    <x v="1"/>
    <n v="38"/>
    <x v="266"/>
    <x v="8"/>
    <x v="0"/>
    <x v="6"/>
    <s v="DM101"/>
    <x v="2"/>
    <n v="85499"/>
    <x v="29"/>
    <s v="Digial marketing"/>
  </r>
  <r>
    <n v="1855"/>
    <s v="171-2036039"/>
    <s v="20360"/>
    <x v="0"/>
    <n v="31"/>
    <x v="267"/>
    <x v="8"/>
    <x v="0"/>
    <x v="6"/>
    <s v="BA301"/>
    <x v="1"/>
    <n v="59999"/>
    <x v="516"/>
    <s v="Business analytics"/>
  </r>
  <r>
    <n v="1856"/>
    <s v="404-1715407"/>
    <s v="17154"/>
    <x v="1"/>
    <n v="44"/>
    <x v="268"/>
    <x v="8"/>
    <x v="1"/>
    <x v="1"/>
    <s v="DM101"/>
    <x v="2"/>
    <n v="85499"/>
    <x v="368"/>
    <s v="Digial marketing"/>
  </r>
  <r>
    <n v="1857"/>
    <s v="407-8951794"/>
    <s v="89517"/>
    <x v="0"/>
    <n v="22"/>
    <x v="268"/>
    <x v="8"/>
    <x v="0"/>
    <x v="1"/>
    <s v="DM101"/>
    <x v="2"/>
    <n v="85499"/>
    <x v="92"/>
    <s v="Digial marketing"/>
  </r>
  <r>
    <n v="1858"/>
    <s v="403-2659378"/>
    <s v="26593"/>
    <x v="0"/>
    <n v="36"/>
    <x v="268"/>
    <x v="8"/>
    <x v="0"/>
    <x v="1"/>
    <s v="FSD103"/>
    <x v="3"/>
    <n v="109990"/>
    <x v="24"/>
    <s v="Full stack development"/>
  </r>
  <r>
    <n v="1859"/>
    <s v="404-2754896"/>
    <s v="27548"/>
    <x v="0"/>
    <n v="45"/>
    <x v="268"/>
    <x v="8"/>
    <x v="0"/>
    <x v="3"/>
    <s v="DA202"/>
    <x v="0"/>
    <n v="79999"/>
    <x v="3"/>
    <s v="Data analytics"/>
  </r>
  <r>
    <n v="1860"/>
    <s v="402-3630727"/>
    <s v="36307"/>
    <x v="1"/>
    <n v="46"/>
    <x v="268"/>
    <x v="8"/>
    <x v="0"/>
    <x v="3"/>
    <s v="DM101"/>
    <x v="2"/>
    <n v="85499"/>
    <x v="141"/>
    <s v="Digial marketing"/>
  </r>
  <r>
    <n v="1861"/>
    <s v="171-6490472"/>
    <s v="64904"/>
    <x v="0"/>
    <n v="47"/>
    <x v="268"/>
    <x v="8"/>
    <x v="0"/>
    <x v="6"/>
    <s v="DM101"/>
    <x v="2"/>
    <n v="85499"/>
    <x v="15"/>
    <s v="Digial marketing"/>
  </r>
  <r>
    <n v="1862"/>
    <s v="403-6021680"/>
    <s v="60216"/>
    <x v="0"/>
    <n v="46"/>
    <x v="268"/>
    <x v="8"/>
    <x v="0"/>
    <x v="0"/>
    <s v="DA202"/>
    <x v="0"/>
    <n v="79999"/>
    <x v="517"/>
    <s v="Data analytics"/>
  </r>
  <r>
    <n v="1863"/>
    <s v="404-1722493"/>
    <s v="17224"/>
    <x v="0"/>
    <n v="42"/>
    <x v="268"/>
    <x v="8"/>
    <x v="0"/>
    <x v="1"/>
    <s v="DA202"/>
    <x v="0"/>
    <n v="79999"/>
    <x v="27"/>
    <s v="Data analytics"/>
  </r>
  <r>
    <n v="1864"/>
    <s v="402-3461505"/>
    <s v="34615"/>
    <x v="0"/>
    <n v="43"/>
    <x v="269"/>
    <x v="8"/>
    <x v="0"/>
    <x v="0"/>
    <s v="UX401"/>
    <x v="4"/>
    <n v="67990"/>
    <x v="92"/>
    <s v="UI/UX Design"/>
  </r>
  <r>
    <n v="1865"/>
    <s v="403-7233156"/>
    <s v="72331"/>
    <x v="0"/>
    <n v="36"/>
    <x v="269"/>
    <x v="8"/>
    <x v="0"/>
    <x v="2"/>
    <s v="DM101"/>
    <x v="2"/>
    <n v="85499"/>
    <x v="518"/>
    <s v="Digial marketing"/>
  </r>
  <r>
    <n v="1866"/>
    <s v="402-4242041"/>
    <s v="42420"/>
    <x v="0"/>
    <n v="67"/>
    <x v="269"/>
    <x v="8"/>
    <x v="0"/>
    <x v="0"/>
    <s v="DM101"/>
    <x v="2"/>
    <n v="85499"/>
    <x v="519"/>
    <s v="Digial marketing"/>
  </r>
  <r>
    <n v="1867"/>
    <s v="171-3337006"/>
    <s v="33370"/>
    <x v="0"/>
    <n v="47"/>
    <x v="269"/>
    <x v="8"/>
    <x v="0"/>
    <x v="2"/>
    <s v="DA202"/>
    <x v="0"/>
    <n v="79999"/>
    <x v="9"/>
    <s v="Data analytics"/>
  </r>
  <r>
    <n v="1868"/>
    <s v="405-1382930"/>
    <s v="13829"/>
    <x v="0"/>
    <n v="37"/>
    <x v="269"/>
    <x v="8"/>
    <x v="0"/>
    <x v="4"/>
    <s v="FSD103"/>
    <x v="3"/>
    <n v="109990"/>
    <x v="8"/>
    <s v="Full stack development"/>
  </r>
  <r>
    <n v="1869"/>
    <s v="407-6020946"/>
    <s v="60209"/>
    <x v="0"/>
    <n v="40"/>
    <x v="269"/>
    <x v="8"/>
    <x v="0"/>
    <x v="1"/>
    <s v="BA301"/>
    <x v="1"/>
    <n v="59999"/>
    <x v="139"/>
    <s v="Business analytics"/>
  </r>
  <r>
    <n v="1870"/>
    <s v="402-4050849"/>
    <s v="40508"/>
    <x v="0"/>
    <n v="39"/>
    <x v="270"/>
    <x v="8"/>
    <x v="0"/>
    <x v="5"/>
    <s v="DA202"/>
    <x v="0"/>
    <n v="79999"/>
    <x v="520"/>
    <s v="Data analytics"/>
  </r>
  <r>
    <n v="1871"/>
    <s v="403-3505936"/>
    <s v="35059"/>
    <x v="0"/>
    <n v="28"/>
    <x v="270"/>
    <x v="8"/>
    <x v="0"/>
    <x v="5"/>
    <s v="DM101"/>
    <x v="2"/>
    <n v="85499"/>
    <x v="5"/>
    <s v="Digial marketing"/>
  </r>
  <r>
    <n v="1872"/>
    <s v="406-5046501"/>
    <s v="50465"/>
    <x v="0"/>
    <n v="62"/>
    <x v="270"/>
    <x v="8"/>
    <x v="0"/>
    <x v="2"/>
    <s v="DM101"/>
    <x v="2"/>
    <n v="85499"/>
    <x v="521"/>
    <s v="Digial marketing"/>
  </r>
  <r>
    <n v="1873"/>
    <s v="403-9578936"/>
    <s v="95789"/>
    <x v="0"/>
    <n v="30"/>
    <x v="270"/>
    <x v="8"/>
    <x v="0"/>
    <x v="0"/>
    <s v="DA202"/>
    <x v="0"/>
    <n v="79999"/>
    <x v="498"/>
    <s v="Data analytics"/>
  </r>
  <r>
    <n v="1874"/>
    <s v="171-2558971"/>
    <s v="25589"/>
    <x v="0"/>
    <n v="34"/>
    <x v="270"/>
    <x v="8"/>
    <x v="0"/>
    <x v="1"/>
    <s v="DM101"/>
    <x v="2"/>
    <n v="85499"/>
    <x v="41"/>
    <s v="Digial marketing"/>
  </r>
  <r>
    <n v="1875"/>
    <s v="405-7443593"/>
    <s v="74435"/>
    <x v="1"/>
    <n v="38"/>
    <x v="270"/>
    <x v="8"/>
    <x v="0"/>
    <x v="0"/>
    <s v="DM101"/>
    <x v="2"/>
    <n v="85499"/>
    <x v="55"/>
    <s v="Digial marketing"/>
  </r>
  <r>
    <n v="1876"/>
    <s v="408-6041786"/>
    <s v="60417"/>
    <x v="0"/>
    <n v="40"/>
    <x v="271"/>
    <x v="8"/>
    <x v="0"/>
    <x v="1"/>
    <s v="DM101"/>
    <x v="2"/>
    <n v="85499"/>
    <x v="232"/>
    <s v="Digial marketing"/>
  </r>
  <r>
    <n v="1877"/>
    <s v="404-2551978"/>
    <s v="25519"/>
    <x v="0"/>
    <n v="23"/>
    <x v="271"/>
    <x v="8"/>
    <x v="0"/>
    <x v="1"/>
    <s v="DM101"/>
    <x v="2"/>
    <n v="85499"/>
    <x v="122"/>
    <s v="Digial marketing"/>
  </r>
  <r>
    <n v="1878"/>
    <s v="405-0092049"/>
    <s v="92049"/>
    <x v="0"/>
    <n v="22"/>
    <x v="271"/>
    <x v="8"/>
    <x v="0"/>
    <x v="5"/>
    <s v="DA202"/>
    <x v="0"/>
    <n v="79999"/>
    <x v="185"/>
    <s v="Data analytics"/>
  </r>
  <r>
    <n v="1879"/>
    <s v="171-9381957"/>
    <s v="93819"/>
    <x v="0"/>
    <n v="23"/>
    <x v="271"/>
    <x v="8"/>
    <x v="0"/>
    <x v="4"/>
    <s v="DM101"/>
    <x v="2"/>
    <n v="85499"/>
    <x v="16"/>
    <s v="Digial marketing"/>
  </r>
  <r>
    <n v="1880"/>
    <s v="403-8622153"/>
    <s v="86221"/>
    <x v="1"/>
    <n v="39"/>
    <x v="271"/>
    <x v="8"/>
    <x v="0"/>
    <x v="4"/>
    <s v="DA202"/>
    <x v="0"/>
    <n v="79999"/>
    <x v="9"/>
    <s v="Data analytics"/>
  </r>
  <r>
    <n v="1881"/>
    <s v="404-7579515"/>
    <s v="75795"/>
    <x v="0"/>
    <n v="37"/>
    <x v="271"/>
    <x v="8"/>
    <x v="0"/>
    <x v="1"/>
    <s v="DM101"/>
    <x v="2"/>
    <n v="85499"/>
    <x v="24"/>
    <s v="Digial marketing"/>
  </r>
  <r>
    <n v="1882"/>
    <s v="171-1602054"/>
    <s v="16020"/>
    <x v="0"/>
    <n v="18"/>
    <x v="271"/>
    <x v="8"/>
    <x v="0"/>
    <x v="0"/>
    <s v="DM101"/>
    <x v="2"/>
    <n v="85499"/>
    <x v="200"/>
    <s v="Digial marketing"/>
  </r>
  <r>
    <n v="1883"/>
    <s v="404-7562896"/>
    <s v="75628"/>
    <x v="0"/>
    <n v="40"/>
    <x v="271"/>
    <x v="8"/>
    <x v="0"/>
    <x v="1"/>
    <s v="DM101"/>
    <x v="2"/>
    <n v="85499"/>
    <x v="155"/>
    <s v="Digial marketing"/>
  </r>
  <r>
    <n v="1884"/>
    <s v="171-2054752"/>
    <s v="20547"/>
    <x v="1"/>
    <n v="34"/>
    <x v="272"/>
    <x v="8"/>
    <x v="0"/>
    <x v="1"/>
    <s v="FSD103"/>
    <x v="3"/>
    <n v="109990"/>
    <x v="510"/>
    <s v="Full stack development"/>
  </r>
  <r>
    <n v="1885"/>
    <s v="406-5782489"/>
    <s v="57824"/>
    <x v="0"/>
    <n v="18"/>
    <x v="272"/>
    <x v="8"/>
    <x v="0"/>
    <x v="6"/>
    <s v="DA202"/>
    <x v="0"/>
    <n v="79999"/>
    <x v="57"/>
    <s v="Data analytics"/>
  </r>
  <r>
    <n v="1886"/>
    <s v="171-0056474"/>
    <s v="56474"/>
    <x v="0"/>
    <n v="40"/>
    <x v="272"/>
    <x v="8"/>
    <x v="0"/>
    <x v="2"/>
    <s v="DM101"/>
    <x v="2"/>
    <n v="85499"/>
    <x v="24"/>
    <s v="Digial marketing"/>
  </r>
  <r>
    <n v="1887"/>
    <s v="406-8853088"/>
    <s v="88530"/>
    <x v="0"/>
    <n v="42"/>
    <x v="272"/>
    <x v="8"/>
    <x v="0"/>
    <x v="1"/>
    <s v="DM101"/>
    <x v="2"/>
    <n v="85499"/>
    <x v="522"/>
    <s v="Digial marketing"/>
  </r>
  <r>
    <n v="1888"/>
    <s v="406-8520283"/>
    <s v="85202"/>
    <x v="1"/>
    <n v="35"/>
    <x v="273"/>
    <x v="8"/>
    <x v="0"/>
    <x v="2"/>
    <s v="DM101"/>
    <x v="2"/>
    <n v="85499"/>
    <x v="57"/>
    <s v="Digial marketing"/>
  </r>
  <r>
    <n v="1889"/>
    <s v="406-4082321"/>
    <s v="40823"/>
    <x v="0"/>
    <n v="41"/>
    <x v="273"/>
    <x v="8"/>
    <x v="0"/>
    <x v="1"/>
    <s v="DM101"/>
    <x v="2"/>
    <n v="85499"/>
    <x v="359"/>
    <s v="Digial marketing"/>
  </r>
  <r>
    <n v="1890"/>
    <s v="407-2904622"/>
    <s v="29046"/>
    <x v="1"/>
    <n v="42"/>
    <x v="273"/>
    <x v="8"/>
    <x v="0"/>
    <x v="2"/>
    <s v="BA301"/>
    <x v="1"/>
    <n v="59999"/>
    <x v="9"/>
    <s v="Business analytics"/>
  </r>
  <r>
    <n v="1891"/>
    <s v="407-0151995"/>
    <s v="15199"/>
    <x v="0"/>
    <n v="29"/>
    <x v="273"/>
    <x v="8"/>
    <x v="0"/>
    <x v="2"/>
    <s v="DM101"/>
    <x v="2"/>
    <n v="85499"/>
    <x v="49"/>
    <s v="Digial marketing"/>
  </r>
  <r>
    <n v="1892"/>
    <s v="407-7412916"/>
    <s v="74129"/>
    <x v="0"/>
    <n v="25"/>
    <x v="273"/>
    <x v="8"/>
    <x v="0"/>
    <x v="0"/>
    <s v="BA301"/>
    <x v="1"/>
    <n v="59999"/>
    <x v="523"/>
    <s v="Business analytics"/>
  </r>
  <r>
    <n v="1893"/>
    <s v="402-7255349"/>
    <s v="72553"/>
    <x v="0"/>
    <n v="18"/>
    <x v="273"/>
    <x v="8"/>
    <x v="0"/>
    <x v="1"/>
    <s v="DM101"/>
    <x v="2"/>
    <n v="85499"/>
    <x v="1"/>
    <s v="Digial marketing"/>
  </r>
  <r>
    <n v="1894"/>
    <s v="404-3229910"/>
    <s v="32299"/>
    <x v="1"/>
    <n v="47"/>
    <x v="274"/>
    <x v="9"/>
    <x v="0"/>
    <x v="1"/>
    <s v="DA202"/>
    <x v="0"/>
    <n v="79999"/>
    <x v="524"/>
    <s v="Data analytics"/>
  </r>
  <r>
    <n v="1895"/>
    <s v="405-4503521"/>
    <s v="45035"/>
    <x v="0"/>
    <n v="27"/>
    <x v="274"/>
    <x v="9"/>
    <x v="1"/>
    <x v="6"/>
    <s v="DM101"/>
    <x v="2"/>
    <n v="85499"/>
    <x v="56"/>
    <s v="Digial marketing"/>
  </r>
  <r>
    <n v="1896"/>
    <s v="406-4481468"/>
    <s v="44814"/>
    <x v="0"/>
    <n v="47"/>
    <x v="274"/>
    <x v="9"/>
    <x v="1"/>
    <x v="5"/>
    <s v="DA202"/>
    <x v="0"/>
    <n v="79999"/>
    <x v="16"/>
    <s v="Data analytics"/>
  </r>
  <r>
    <n v="1897"/>
    <s v="406-4565361"/>
    <s v="45653"/>
    <x v="0"/>
    <n v="49"/>
    <x v="274"/>
    <x v="9"/>
    <x v="0"/>
    <x v="0"/>
    <s v="BA301"/>
    <x v="1"/>
    <n v="59999"/>
    <x v="16"/>
    <s v="Business analytics"/>
  </r>
  <r>
    <n v="1898"/>
    <s v="407-5793245"/>
    <s v="57932"/>
    <x v="1"/>
    <n v="30"/>
    <x v="274"/>
    <x v="9"/>
    <x v="0"/>
    <x v="1"/>
    <s v="DM101"/>
    <x v="2"/>
    <n v="85499"/>
    <x v="24"/>
    <s v="Digial marketing"/>
  </r>
  <r>
    <n v="1899"/>
    <s v="171-5072438"/>
    <s v="50724"/>
    <x v="1"/>
    <n v="36"/>
    <x v="274"/>
    <x v="9"/>
    <x v="0"/>
    <x v="1"/>
    <s v="DM101"/>
    <x v="2"/>
    <n v="85499"/>
    <x v="83"/>
    <s v="Digial marketing"/>
  </r>
  <r>
    <n v="1900"/>
    <s v="404-9181097"/>
    <s v="91810"/>
    <x v="0"/>
    <n v="58"/>
    <x v="274"/>
    <x v="9"/>
    <x v="0"/>
    <x v="1"/>
    <s v="DM101"/>
    <x v="2"/>
    <n v="85499"/>
    <x v="29"/>
    <s v="Digial marketing"/>
  </r>
  <r>
    <n v="1901"/>
    <s v="171-0341195"/>
    <s v="34119"/>
    <x v="1"/>
    <n v="60"/>
    <x v="274"/>
    <x v="9"/>
    <x v="0"/>
    <x v="2"/>
    <s v="DA202"/>
    <x v="0"/>
    <n v="79999"/>
    <x v="9"/>
    <s v="Data analytics"/>
  </r>
  <r>
    <n v="1902"/>
    <s v="403-0551669"/>
    <s v="55166"/>
    <x v="0"/>
    <n v="48"/>
    <x v="275"/>
    <x v="9"/>
    <x v="0"/>
    <x v="0"/>
    <s v="DM101"/>
    <x v="2"/>
    <n v="85499"/>
    <x v="525"/>
    <s v="Digial marketing"/>
  </r>
  <r>
    <n v="1903"/>
    <s v="171-8578763"/>
    <s v="85787"/>
    <x v="0"/>
    <n v="25"/>
    <x v="275"/>
    <x v="9"/>
    <x v="0"/>
    <x v="1"/>
    <s v="BA301"/>
    <x v="1"/>
    <n v="59999"/>
    <x v="3"/>
    <s v="Business analytics"/>
  </r>
  <r>
    <n v="1904"/>
    <s v="404-9885400"/>
    <s v="98854"/>
    <x v="0"/>
    <n v="18"/>
    <x v="275"/>
    <x v="9"/>
    <x v="0"/>
    <x v="1"/>
    <s v="DM101"/>
    <x v="2"/>
    <n v="85499"/>
    <x v="41"/>
    <s v="Digial marketing"/>
  </r>
  <r>
    <n v="1905"/>
    <s v="407-7259256"/>
    <s v="72592"/>
    <x v="0"/>
    <n v="49"/>
    <x v="275"/>
    <x v="9"/>
    <x v="0"/>
    <x v="5"/>
    <s v="BA301"/>
    <x v="1"/>
    <n v="59999"/>
    <x v="3"/>
    <s v="Business analytics"/>
  </r>
  <r>
    <n v="1906"/>
    <s v="171-0200945"/>
    <s v="20094"/>
    <x v="0"/>
    <n v="33"/>
    <x v="275"/>
    <x v="9"/>
    <x v="0"/>
    <x v="1"/>
    <s v="DA202"/>
    <x v="0"/>
    <n v="79999"/>
    <x v="3"/>
    <s v="Data analytics"/>
  </r>
  <r>
    <n v="1907"/>
    <s v="404-3548306"/>
    <s v="35483"/>
    <x v="0"/>
    <n v="39"/>
    <x v="275"/>
    <x v="9"/>
    <x v="0"/>
    <x v="0"/>
    <s v="DA202"/>
    <x v="0"/>
    <n v="79999"/>
    <x v="57"/>
    <s v="Data analytics"/>
  </r>
  <r>
    <n v="1908"/>
    <s v="171-0736645"/>
    <s v="73664"/>
    <x v="0"/>
    <n v="37"/>
    <x v="276"/>
    <x v="9"/>
    <x v="0"/>
    <x v="1"/>
    <s v="DM101"/>
    <x v="2"/>
    <n v="85499"/>
    <x v="29"/>
    <s v="Digial marketing"/>
  </r>
  <r>
    <n v="1909"/>
    <s v="403-9301878"/>
    <s v="93018"/>
    <x v="0"/>
    <n v="57"/>
    <x v="276"/>
    <x v="9"/>
    <x v="2"/>
    <x v="3"/>
    <s v="DA202"/>
    <x v="0"/>
    <n v="79999"/>
    <x v="526"/>
    <s v="Data analytics"/>
  </r>
  <r>
    <n v="1910"/>
    <s v="171-6020342"/>
    <s v="60203"/>
    <x v="1"/>
    <n v="41"/>
    <x v="276"/>
    <x v="9"/>
    <x v="0"/>
    <x v="1"/>
    <s v="DA202"/>
    <x v="0"/>
    <n v="79999"/>
    <x v="29"/>
    <s v="Data analytics"/>
  </r>
  <r>
    <n v="1911"/>
    <s v="404-8915878"/>
    <s v="89158"/>
    <x v="1"/>
    <n v="26"/>
    <x v="276"/>
    <x v="9"/>
    <x v="0"/>
    <x v="0"/>
    <s v="DA202"/>
    <x v="0"/>
    <n v="79999"/>
    <x v="527"/>
    <s v="Data analytics"/>
  </r>
  <r>
    <n v="1912"/>
    <s v="406-2347718"/>
    <s v="23477"/>
    <x v="1"/>
    <n v="40"/>
    <x v="276"/>
    <x v="9"/>
    <x v="0"/>
    <x v="2"/>
    <s v="DA202"/>
    <x v="0"/>
    <n v="79999"/>
    <x v="15"/>
    <s v="Data analytics"/>
  </r>
  <r>
    <n v="1913"/>
    <s v="404-7146430"/>
    <s v="71464"/>
    <x v="1"/>
    <n v="40"/>
    <x v="276"/>
    <x v="9"/>
    <x v="0"/>
    <x v="1"/>
    <s v="BA301"/>
    <x v="1"/>
    <n v="59999"/>
    <x v="167"/>
    <s v="Business analytics"/>
  </r>
  <r>
    <n v="1914"/>
    <s v="408-5911668"/>
    <s v="59116"/>
    <x v="0"/>
    <n v="31"/>
    <x v="276"/>
    <x v="9"/>
    <x v="0"/>
    <x v="4"/>
    <s v="HR201"/>
    <x v="6"/>
    <n v="41999"/>
    <x v="9"/>
    <s v="HR Analytics"/>
  </r>
  <r>
    <n v="1915"/>
    <s v="403-1568093"/>
    <s v="15680"/>
    <x v="0"/>
    <n v="21"/>
    <x v="277"/>
    <x v="9"/>
    <x v="0"/>
    <x v="1"/>
    <s v="UX401"/>
    <x v="4"/>
    <n v="67990"/>
    <x v="3"/>
    <s v="UI/UX Design"/>
  </r>
  <r>
    <n v="1916"/>
    <s v="171-1571374"/>
    <s v="15713"/>
    <x v="0"/>
    <n v="49"/>
    <x v="277"/>
    <x v="9"/>
    <x v="0"/>
    <x v="2"/>
    <s v="BA301"/>
    <x v="1"/>
    <n v="59999"/>
    <x v="49"/>
    <s v="Business analytics"/>
  </r>
  <r>
    <n v="1917"/>
    <s v="408-1288869"/>
    <s v="12888"/>
    <x v="0"/>
    <n v="21"/>
    <x v="277"/>
    <x v="9"/>
    <x v="0"/>
    <x v="5"/>
    <s v="BA301"/>
    <x v="1"/>
    <n v="59999"/>
    <x v="310"/>
    <s v="Business analytics"/>
  </r>
  <r>
    <n v="1918"/>
    <s v="406-7917138"/>
    <s v="79171"/>
    <x v="1"/>
    <n v="46"/>
    <x v="277"/>
    <x v="9"/>
    <x v="0"/>
    <x v="2"/>
    <s v="BA301"/>
    <x v="1"/>
    <n v="59999"/>
    <x v="528"/>
    <s v="Business analytics"/>
  </r>
  <r>
    <n v="1919"/>
    <s v="402-8698818"/>
    <s v="86988"/>
    <x v="1"/>
    <n v="42"/>
    <x v="277"/>
    <x v="9"/>
    <x v="0"/>
    <x v="2"/>
    <s v="DA202"/>
    <x v="0"/>
    <n v="79999"/>
    <x v="529"/>
    <s v="Data analytics"/>
  </r>
  <r>
    <n v="1920"/>
    <s v="404-1713962"/>
    <s v="17139"/>
    <x v="1"/>
    <n v="32"/>
    <x v="277"/>
    <x v="9"/>
    <x v="0"/>
    <x v="2"/>
    <s v="DA202"/>
    <x v="0"/>
    <n v="79999"/>
    <x v="530"/>
    <s v="Data analytics"/>
  </r>
  <r>
    <n v="1921"/>
    <s v="407-4166762"/>
    <s v="41667"/>
    <x v="0"/>
    <n v="59"/>
    <x v="277"/>
    <x v="9"/>
    <x v="0"/>
    <x v="1"/>
    <s v="AI001"/>
    <x v="5"/>
    <n v="119990"/>
    <x v="27"/>
    <s v="AI &amp; ML"/>
  </r>
  <r>
    <n v="1922"/>
    <s v="407-6566282"/>
    <s v="65662"/>
    <x v="0"/>
    <n v="32"/>
    <x v="277"/>
    <x v="9"/>
    <x v="0"/>
    <x v="0"/>
    <s v="UX401"/>
    <x v="4"/>
    <n v="67990"/>
    <x v="86"/>
    <s v="UI/UX Design"/>
  </r>
  <r>
    <n v="1923"/>
    <s v="408-6744994"/>
    <s v="67449"/>
    <x v="0"/>
    <n v="61"/>
    <x v="278"/>
    <x v="9"/>
    <x v="0"/>
    <x v="0"/>
    <s v="DM101"/>
    <x v="2"/>
    <n v="85499"/>
    <x v="28"/>
    <s v="Digial marketing"/>
  </r>
  <r>
    <n v="1924"/>
    <s v="406-2051356"/>
    <s v="20513"/>
    <x v="0"/>
    <n v="42"/>
    <x v="278"/>
    <x v="9"/>
    <x v="0"/>
    <x v="1"/>
    <s v="DM101"/>
    <x v="2"/>
    <n v="85499"/>
    <x v="19"/>
    <s v="Digial marketing"/>
  </r>
  <r>
    <n v="1925"/>
    <s v="171-3323289"/>
    <s v="33232"/>
    <x v="0"/>
    <n v="41"/>
    <x v="278"/>
    <x v="9"/>
    <x v="0"/>
    <x v="3"/>
    <s v="BA301"/>
    <x v="1"/>
    <n v="59999"/>
    <x v="32"/>
    <s v="Business analytics"/>
  </r>
  <r>
    <n v="1926"/>
    <s v="405-8662165"/>
    <s v="86621"/>
    <x v="1"/>
    <n v="27"/>
    <x v="278"/>
    <x v="9"/>
    <x v="0"/>
    <x v="2"/>
    <s v="DM101"/>
    <x v="2"/>
    <n v="85499"/>
    <x v="141"/>
    <s v="Digial marketing"/>
  </r>
  <r>
    <n v="1927"/>
    <s v="407-9126116"/>
    <s v="91261"/>
    <x v="1"/>
    <n v="40"/>
    <x v="278"/>
    <x v="9"/>
    <x v="0"/>
    <x v="5"/>
    <s v="BA301"/>
    <x v="1"/>
    <n v="59999"/>
    <x v="167"/>
    <s v="Business analytics"/>
  </r>
  <r>
    <n v="1928"/>
    <s v="405-6512456"/>
    <s v="65124"/>
    <x v="1"/>
    <n v="24"/>
    <x v="278"/>
    <x v="9"/>
    <x v="0"/>
    <x v="1"/>
    <s v="UX401"/>
    <x v="4"/>
    <n v="67990"/>
    <x v="3"/>
    <s v="UI/UX Design"/>
  </r>
  <r>
    <n v="1929"/>
    <s v="405-7074588"/>
    <s v="70745"/>
    <x v="0"/>
    <n v="62"/>
    <x v="279"/>
    <x v="9"/>
    <x v="0"/>
    <x v="1"/>
    <s v="DA202"/>
    <x v="0"/>
    <n v="79999"/>
    <x v="79"/>
    <s v="Data analytics"/>
  </r>
  <r>
    <n v="1930"/>
    <s v="405-5841412"/>
    <s v="58414"/>
    <x v="0"/>
    <n v="19"/>
    <x v="279"/>
    <x v="9"/>
    <x v="0"/>
    <x v="4"/>
    <s v="BA301"/>
    <x v="1"/>
    <n v="59999"/>
    <x v="55"/>
    <s v="Business analytics"/>
  </r>
  <r>
    <n v="1931"/>
    <s v="404-8265009"/>
    <s v="82650"/>
    <x v="1"/>
    <n v="19"/>
    <x v="279"/>
    <x v="9"/>
    <x v="0"/>
    <x v="1"/>
    <s v="DM101"/>
    <x v="2"/>
    <n v="85499"/>
    <x v="531"/>
    <s v="Digial marketing"/>
  </r>
  <r>
    <n v="1932"/>
    <s v="408-1278516"/>
    <s v="12785"/>
    <x v="1"/>
    <n v="41"/>
    <x v="279"/>
    <x v="9"/>
    <x v="0"/>
    <x v="0"/>
    <s v="BA301"/>
    <x v="1"/>
    <n v="59999"/>
    <x v="92"/>
    <s v="Business analytics"/>
  </r>
  <r>
    <n v="1933"/>
    <s v="402-3402539"/>
    <s v="34025"/>
    <x v="1"/>
    <n v="28"/>
    <x v="280"/>
    <x v="9"/>
    <x v="0"/>
    <x v="5"/>
    <s v="DM101"/>
    <x v="2"/>
    <n v="85499"/>
    <x v="240"/>
    <s v="Digial marketing"/>
  </r>
  <r>
    <n v="1934"/>
    <s v="407-0185102"/>
    <s v="18510"/>
    <x v="0"/>
    <n v="55"/>
    <x v="280"/>
    <x v="9"/>
    <x v="0"/>
    <x v="1"/>
    <s v="BA301"/>
    <x v="1"/>
    <n v="59999"/>
    <x v="532"/>
    <s v="Business analytics"/>
  </r>
  <r>
    <n v="1935"/>
    <s v="407-2715008"/>
    <s v="27150"/>
    <x v="0"/>
    <n v="61"/>
    <x v="280"/>
    <x v="9"/>
    <x v="0"/>
    <x v="2"/>
    <s v="BA301"/>
    <x v="1"/>
    <n v="59999"/>
    <x v="170"/>
    <s v="Business analytics"/>
  </r>
  <r>
    <n v="1936"/>
    <s v="402-1901818"/>
    <s v="19018"/>
    <x v="0"/>
    <n v="45"/>
    <x v="280"/>
    <x v="9"/>
    <x v="0"/>
    <x v="0"/>
    <s v="DM101"/>
    <x v="2"/>
    <n v="85499"/>
    <x v="109"/>
    <s v="Digial marketing"/>
  </r>
  <r>
    <n v="1937"/>
    <s v="405-8405338"/>
    <s v="84053"/>
    <x v="0"/>
    <n v="47"/>
    <x v="281"/>
    <x v="9"/>
    <x v="0"/>
    <x v="2"/>
    <s v="DM101"/>
    <x v="2"/>
    <n v="85499"/>
    <x v="3"/>
    <s v="Digial marketing"/>
  </r>
  <r>
    <n v="1938"/>
    <s v="403-8842962"/>
    <s v="88429"/>
    <x v="1"/>
    <n v="34"/>
    <x v="281"/>
    <x v="9"/>
    <x v="0"/>
    <x v="1"/>
    <s v="DM101"/>
    <x v="2"/>
    <n v="85499"/>
    <x v="84"/>
    <s v="Digial marketing"/>
  </r>
  <r>
    <n v="1939"/>
    <s v="403-4288285"/>
    <s v="42882"/>
    <x v="0"/>
    <n v="66"/>
    <x v="281"/>
    <x v="9"/>
    <x v="0"/>
    <x v="2"/>
    <s v="DM101"/>
    <x v="2"/>
    <n v="85499"/>
    <x v="15"/>
    <s v="Digial marketing"/>
  </r>
  <r>
    <n v="1940"/>
    <s v="403-4579831"/>
    <s v="45798"/>
    <x v="0"/>
    <n v="25"/>
    <x v="281"/>
    <x v="9"/>
    <x v="0"/>
    <x v="2"/>
    <s v="FSD103"/>
    <x v="3"/>
    <n v="109990"/>
    <x v="16"/>
    <s v="Full stack development"/>
  </r>
  <r>
    <n v="1941"/>
    <s v="171-3443364"/>
    <s v="34433"/>
    <x v="0"/>
    <n v="22"/>
    <x v="281"/>
    <x v="9"/>
    <x v="0"/>
    <x v="0"/>
    <s v="BA301"/>
    <x v="1"/>
    <n v="59999"/>
    <x v="533"/>
    <s v="Business analytics"/>
  </r>
  <r>
    <n v="1942"/>
    <s v="405-5079440"/>
    <s v="50794"/>
    <x v="0"/>
    <n v="45"/>
    <x v="281"/>
    <x v="9"/>
    <x v="0"/>
    <x v="2"/>
    <s v="DM101"/>
    <x v="2"/>
    <n v="85499"/>
    <x v="102"/>
    <s v="Digial marketing"/>
  </r>
  <r>
    <n v="1943"/>
    <s v="171-2333489"/>
    <s v="23334"/>
    <x v="1"/>
    <n v="48"/>
    <x v="282"/>
    <x v="9"/>
    <x v="0"/>
    <x v="2"/>
    <s v="UX401"/>
    <x v="4"/>
    <n v="67990"/>
    <x v="32"/>
    <s v="UI/UX Design"/>
  </r>
  <r>
    <n v="1944"/>
    <s v="406-9068382"/>
    <s v="90683"/>
    <x v="0"/>
    <n v="71"/>
    <x v="282"/>
    <x v="9"/>
    <x v="0"/>
    <x v="0"/>
    <s v="BA301"/>
    <x v="1"/>
    <n v="59999"/>
    <x v="49"/>
    <s v="Business analytics"/>
  </r>
  <r>
    <n v="1945"/>
    <s v="406-4820273"/>
    <s v="48202"/>
    <x v="0"/>
    <n v="42"/>
    <x v="282"/>
    <x v="9"/>
    <x v="0"/>
    <x v="4"/>
    <s v="DA202"/>
    <x v="0"/>
    <n v="79999"/>
    <x v="340"/>
    <s v="Data analytics"/>
  </r>
  <r>
    <n v="1946"/>
    <s v="408-6401128"/>
    <s v="64011"/>
    <x v="0"/>
    <n v="58"/>
    <x v="282"/>
    <x v="9"/>
    <x v="0"/>
    <x v="1"/>
    <s v="DM101"/>
    <x v="2"/>
    <n v="85499"/>
    <x v="534"/>
    <s v="Digial marketing"/>
  </r>
  <r>
    <n v="1947"/>
    <s v="404-0202987"/>
    <s v="20298"/>
    <x v="0"/>
    <n v="78"/>
    <x v="282"/>
    <x v="9"/>
    <x v="0"/>
    <x v="5"/>
    <s v="DA202"/>
    <x v="0"/>
    <n v="79999"/>
    <x v="164"/>
    <s v="Data analytics"/>
  </r>
  <r>
    <n v="1948"/>
    <s v="171-7722316"/>
    <s v="77223"/>
    <x v="1"/>
    <n v="24"/>
    <x v="283"/>
    <x v="9"/>
    <x v="0"/>
    <x v="0"/>
    <s v="FSD103"/>
    <x v="3"/>
    <n v="109990"/>
    <x v="17"/>
    <s v="Full stack development"/>
  </r>
  <r>
    <n v="1949"/>
    <s v="402-6029952"/>
    <s v="60299"/>
    <x v="0"/>
    <n v="42"/>
    <x v="283"/>
    <x v="9"/>
    <x v="0"/>
    <x v="1"/>
    <s v="DA202"/>
    <x v="0"/>
    <n v="79999"/>
    <x v="535"/>
    <s v="Data analytics"/>
  </r>
  <r>
    <n v="1950"/>
    <s v="407-5987847"/>
    <s v="59878"/>
    <x v="0"/>
    <n v="20"/>
    <x v="283"/>
    <x v="9"/>
    <x v="0"/>
    <x v="1"/>
    <s v="DA202"/>
    <x v="0"/>
    <n v="79999"/>
    <x v="57"/>
    <s v="Data analytics"/>
  </r>
  <r>
    <n v="1951"/>
    <s v="406-0476593"/>
    <s v="47659"/>
    <x v="0"/>
    <n v="69"/>
    <x v="283"/>
    <x v="9"/>
    <x v="0"/>
    <x v="2"/>
    <s v="HR201"/>
    <x v="6"/>
    <n v="41999"/>
    <x v="12"/>
    <s v="HR Analytics"/>
  </r>
  <r>
    <n v="1952"/>
    <s v="406-6023829"/>
    <s v="60238"/>
    <x v="1"/>
    <n v="39"/>
    <x v="283"/>
    <x v="9"/>
    <x v="0"/>
    <x v="1"/>
    <s v="DM101"/>
    <x v="2"/>
    <n v="85499"/>
    <x v="29"/>
    <s v="Digial marketing"/>
  </r>
  <r>
    <n v="1953"/>
    <s v="406-1362174"/>
    <s v="13621"/>
    <x v="0"/>
    <n v="19"/>
    <x v="283"/>
    <x v="9"/>
    <x v="2"/>
    <x v="5"/>
    <s v="DA202"/>
    <x v="0"/>
    <n v="79999"/>
    <x v="536"/>
    <s v="Data analytics"/>
  </r>
  <r>
    <n v="1954"/>
    <s v="171-0544444"/>
    <s v="54444"/>
    <x v="0"/>
    <n v="23"/>
    <x v="284"/>
    <x v="9"/>
    <x v="0"/>
    <x v="0"/>
    <s v="BA301"/>
    <x v="1"/>
    <n v="59999"/>
    <x v="3"/>
    <s v="Business analytics"/>
  </r>
  <r>
    <n v="1955"/>
    <s v="171-4979417"/>
    <s v="49794"/>
    <x v="0"/>
    <n v="32"/>
    <x v="284"/>
    <x v="9"/>
    <x v="0"/>
    <x v="0"/>
    <s v="DM101"/>
    <x v="2"/>
    <n v="85499"/>
    <x v="5"/>
    <s v="Digial marketing"/>
  </r>
  <r>
    <n v="1956"/>
    <s v="407-8193055"/>
    <s v="81930"/>
    <x v="0"/>
    <n v="60"/>
    <x v="284"/>
    <x v="9"/>
    <x v="0"/>
    <x v="1"/>
    <s v="BA301"/>
    <x v="1"/>
    <n v="59999"/>
    <x v="29"/>
    <s v="Business analytics"/>
  </r>
  <r>
    <n v="1957"/>
    <s v="408-1583964"/>
    <s v="15839"/>
    <x v="0"/>
    <n v="45"/>
    <x v="284"/>
    <x v="9"/>
    <x v="0"/>
    <x v="1"/>
    <s v="DA202"/>
    <x v="0"/>
    <n v="79999"/>
    <x v="282"/>
    <s v="Data analytics"/>
  </r>
  <r>
    <n v="1958"/>
    <s v="407-6673066"/>
    <s v="66730"/>
    <x v="0"/>
    <n v="34"/>
    <x v="284"/>
    <x v="9"/>
    <x v="0"/>
    <x v="3"/>
    <s v="DM101"/>
    <x v="2"/>
    <n v="85499"/>
    <x v="3"/>
    <s v="Digial marketing"/>
  </r>
  <r>
    <n v="1959"/>
    <s v="404-9199555"/>
    <s v="91995"/>
    <x v="1"/>
    <n v="31"/>
    <x v="285"/>
    <x v="9"/>
    <x v="0"/>
    <x v="3"/>
    <s v="DM101"/>
    <x v="2"/>
    <n v="85499"/>
    <x v="537"/>
    <s v="Digial marketing"/>
  </r>
  <r>
    <n v="1960"/>
    <s v="406-4033046"/>
    <s v="40330"/>
    <x v="0"/>
    <n v="25"/>
    <x v="285"/>
    <x v="9"/>
    <x v="0"/>
    <x v="6"/>
    <s v="DA202"/>
    <x v="0"/>
    <n v="79999"/>
    <x v="370"/>
    <s v="Data analytics"/>
  </r>
  <r>
    <n v="1961"/>
    <s v="406-8627183"/>
    <s v="86271"/>
    <x v="0"/>
    <n v="46"/>
    <x v="285"/>
    <x v="9"/>
    <x v="0"/>
    <x v="0"/>
    <s v="BA301"/>
    <x v="1"/>
    <n v="59999"/>
    <x v="17"/>
    <s v="Business analytics"/>
  </r>
  <r>
    <n v="1962"/>
    <s v="407-8990810"/>
    <s v="89908"/>
    <x v="1"/>
    <n v="21"/>
    <x v="285"/>
    <x v="9"/>
    <x v="0"/>
    <x v="2"/>
    <s v="FSD103"/>
    <x v="3"/>
    <n v="109990"/>
    <x v="49"/>
    <s v="Full stack development"/>
  </r>
  <r>
    <n v="1963"/>
    <s v="402-0891131"/>
    <s v="89113"/>
    <x v="1"/>
    <n v="31"/>
    <x v="285"/>
    <x v="9"/>
    <x v="2"/>
    <x v="2"/>
    <s v="DA202"/>
    <x v="0"/>
    <n v="79999"/>
    <x v="538"/>
    <s v="Data analytics"/>
  </r>
  <r>
    <n v="1964"/>
    <s v="406-3846363"/>
    <s v="38463"/>
    <x v="0"/>
    <n v="32"/>
    <x v="285"/>
    <x v="9"/>
    <x v="0"/>
    <x v="3"/>
    <s v="DM101"/>
    <x v="2"/>
    <n v="85499"/>
    <x v="189"/>
    <s v="Digial marketing"/>
  </r>
  <r>
    <n v="1965"/>
    <s v="171-6917153"/>
    <s v="69171"/>
    <x v="0"/>
    <n v="27"/>
    <x v="286"/>
    <x v="9"/>
    <x v="0"/>
    <x v="4"/>
    <s v="DA202"/>
    <x v="0"/>
    <n v="79999"/>
    <x v="16"/>
    <s v="Data analytics"/>
  </r>
  <r>
    <n v="1966"/>
    <s v="404-8406351"/>
    <s v="84063"/>
    <x v="0"/>
    <n v="28"/>
    <x v="286"/>
    <x v="9"/>
    <x v="0"/>
    <x v="2"/>
    <s v="DM101"/>
    <x v="2"/>
    <n v="85499"/>
    <x v="49"/>
    <s v="Digial marketing"/>
  </r>
  <r>
    <n v="1967"/>
    <s v="402-1387386"/>
    <s v="13873"/>
    <x v="0"/>
    <n v="45"/>
    <x v="286"/>
    <x v="9"/>
    <x v="2"/>
    <x v="2"/>
    <s v="DA202"/>
    <x v="0"/>
    <n v="79999"/>
    <x v="216"/>
    <s v="Data analytics"/>
  </r>
  <r>
    <n v="1968"/>
    <s v="405-6594525"/>
    <s v="65945"/>
    <x v="0"/>
    <n v="30"/>
    <x v="286"/>
    <x v="9"/>
    <x v="0"/>
    <x v="1"/>
    <s v="DM101"/>
    <x v="2"/>
    <n v="85499"/>
    <x v="539"/>
    <s v="Digial marketing"/>
  </r>
  <r>
    <n v="1969"/>
    <s v="403-8630605"/>
    <s v="86306"/>
    <x v="0"/>
    <n v="24"/>
    <x v="286"/>
    <x v="9"/>
    <x v="0"/>
    <x v="0"/>
    <s v="AI001"/>
    <x v="5"/>
    <n v="119990"/>
    <x v="49"/>
    <s v="AI &amp; ML"/>
  </r>
  <r>
    <n v="1970"/>
    <s v="408-6838835"/>
    <s v="68388"/>
    <x v="0"/>
    <n v="26"/>
    <x v="286"/>
    <x v="9"/>
    <x v="0"/>
    <x v="2"/>
    <s v="DA202"/>
    <x v="0"/>
    <n v="79999"/>
    <x v="54"/>
    <s v="Data analytics"/>
  </r>
  <r>
    <n v="1971"/>
    <s v="402-1689516"/>
    <s v="16895"/>
    <x v="0"/>
    <n v="37"/>
    <x v="286"/>
    <x v="9"/>
    <x v="0"/>
    <x v="0"/>
    <s v="DA202"/>
    <x v="0"/>
    <n v="79999"/>
    <x v="122"/>
    <s v="Data analytics"/>
  </r>
  <r>
    <n v="1972"/>
    <s v="407-3038966"/>
    <s v="30389"/>
    <x v="0"/>
    <n v="32"/>
    <x v="286"/>
    <x v="9"/>
    <x v="0"/>
    <x v="1"/>
    <s v="DM101"/>
    <x v="2"/>
    <n v="85499"/>
    <x v="122"/>
    <s v="Digial marketing"/>
  </r>
  <r>
    <n v="1973"/>
    <s v="402-4801940"/>
    <s v="48019"/>
    <x v="0"/>
    <n v="24"/>
    <x v="286"/>
    <x v="9"/>
    <x v="0"/>
    <x v="0"/>
    <s v="DM101"/>
    <x v="2"/>
    <n v="85499"/>
    <x v="391"/>
    <s v="Digial marketing"/>
  </r>
  <r>
    <n v="1974"/>
    <s v="407-6072101"/>
    <s v="60721"/>
    <x v="0"/>
    <n v="29"/>
    <x v="286"/>
    <x v="9"/>
    <x v="0"/>
    <x v="1"/>
    <s v="UX401"/>
    <x v="4"/>
    <n v="67990"/>
    <x v="39"/>
    <s v="UI/UX Design"/>
  </r>
  <r>
    <n v="1975"/>
    <s v="406-5978982"/>
    <s v="59789"/>
    <x v="0"/>
    <n v="18"/>
    <x v="286"/>
    <x v="9"/>
    <x v="0"/>
    <x v="0"/>
    <s v="UX401"/>
    <x v="4"/>
    <n v="67990"/>
    <x v="46"/>
    <s v="UI/UX Design"/>
  </r>
  <r>
    <n v="1976"/>
    <s v="405-0071015"/>
    <s v="71015"/>
    <x v="0"/>
    <n v="43"/>
    <x v="287"/>
    <x v="9"/>
    <x v="0"/>
    <x v="5"/>
    <s v="DM101"/>
    <x v="2"/>
    <n v="85499"/>
    <x v="80"/>
    <s v="Digial marketing"/>
  </r>
  <r>
    <n v="1977"/>
    <s v="408-5970812"/>
    <s v="59708"/>
    <x v="1"/>
    <n v="27"/>
    <x v="287"/>
    <x v="9"/>
    <x v="0"/>
    <x v="0"/>
    <s v="DM101"/>
    <x v="2"/>
    <n v="85499"/>
    <x v="15"/>
    <s v="Digial marketing"/>
  </r>
  <r>
    <n v="1978"/>
    <s v="405-6670543"/>
    <s v="66705"/>
    <x v="1"/>
    <n v="27"/>
    <x v="287"/>
    <x v="9"/>
    <x v="0"/>
    <x v="1"/>
    <s v="DM101"/>
    <x v="2"/>
    <n v="85499"/>
    <x v="15"/>
    <s v="Digial marketing"/>
  </r>
  <r>
    <n v="1979"/>
    <s v="407-7210287"/>
    <s v="72102"/>
    <x v="0"/>
    <n v="46"/>
    <x v="287"/>
    <x v="9"/>
    <x v="0"/>
    <x v="5"/>
    <s v="BA301"/>
    <x v="1"/>
    <n v="59999"/>
    <x v="540"/>
    <s v="Business analytics"/>
  </r>
  <r>
    <n v="1980"/>
    <s v="404-7228823"/>
    <s v="72288"/>
    <x v="0"/>
    <n v="26"/>
    <x v="287"/>
    <x v="9"/>
    <x v="0"/>
    <x v="1"/>
    <s v="DA202"/>
    <x v="0"/>
    <n v="79999"/>
    <x v="541"/>
    <s v="Data analytics"/>
  </r>
  <r>
    <n v="1981"/>
    <s v="402-4412666"/>
    <s v="44126"/>
    <x v="0"/>
    <n v="48"/>
    <x v="287"/>
    <x v="9"/>
    <x v="0"/>
    <x v="5"/>
    <s v="DM101"/>
    <x v="2"/>
    <n v="85499"/>
    <x v="1"/>
    <s v="Digial marketing"/>
  </r>
  <r>
    <n v="1982"/>
    <s v="402-3944282"/>
    <s v="39442"/>
    <x v="1"/>
    <n v="47"/>
    <x v="287"/>
    <x v="9"/>
    <x v="0"/>
    <x v="1"/>
    <s v="DA202"/>
    <x v="0"/>
    <n v="79999"/>
    <x v="542"/>
    <s v="Data analytics"/>
  </r>
  <r>
    <n v="1983"/>
    <s v="171-5952560"/>
    <s v="59525"/>
    <x v="0"/>
    <n v="31"/>
    <x v="287"/>
    <x v="9"/>
    <x v="0"/>
    <x v="6"/>
    <s v="DM101"/>
    <x v="2"/>
    <n v="85499"/>
    <x v="29"/>
    <s v="Digial marketing"/>
  </r>
  <r>
    <n v="1984"/>
    <s v="405-4758490"/>
    <s v="47584"/>
    <x v="0"/>
    <n v="72"/>
    <x v="288"/>
    <x v="9"/>
    <x v="0"/>
    <x v="4"/>
    <s v="DA202"/>
    <x v="0"/>
    <n v="79999"/>
    <x v="543"/>
    <s v="Data analytics"/>
  </r>
  <r>
    <n v="1985"/>
    <s v="171-9076779"/>
    <s v="90767"/>
    <x v="0"/>
    <n v="70"/>
    <x v="288"/>
    <x v="9"/>
    <x v="0"/>
    <x v="2"/>
    <s v="DA202"/>
    <x v="0"/>
    <n v="79999"/>
    <x v="391"/>
    <s v="Data analytics"/>
  </r>
  <r>
    <n v="1986"/>
    <s v="402-5155532"/>
    <s v="51555"/>
    <x v="0"/>
    <n v="45"/>
    <x v="288"/>
    <x v="9"/>
    <x v="0"/>
    <x v="2"/>
    <s v="DM101"/>
    <x v="2"/>
    <n v="85499"/>
    <x v="25"/>
    <s v="Digial marketing"/>
  </r>
  <r>
    <n v="1987"/>
    <s v="405-5223500"/>
    <s v="52235"/>
    <x v="0"/>
    <n v="34"/>
    <x v="288"/>
    <x v="9"/>
    <x v="0"/>
    <x v="1"/>
    <s v="FSD103"/>
    <x v="3"/>
    <n v="109990"/>
    <x v="357"/>
    <s v="Full stack development"/>
  </r>
  <r>
    <n v="1988"/>
    <s v="407-0532143"/>
    <s v="53214"/>
    <x v="0"/>
    <n v="40"/>
    <x v="288"/>
    <x v="9"/>
    <x v="0"/>
    <x v="0"/>
    <s v="DA202"/>
    <x v="0"/>
    <n v="79999"/>
    <x v="89"/>
    <s v="Data analytics"/>
  </r>
  <r>
    <n v="1989"/>
    <s v="403-2893349"/>
    <s v="28933"/>
    <x v="1"/>
    <n v="44"/>
    <x v="288"/>
    <x v="9"/>
    <x v="0"/>
    <x v="1"/>
    <s v="DA202"/>
    <x v="0"/>
    <n v="79999"/>
    <x v="3"/>
    <s v="Data analytics"/>
  </r>
  <r>
    <n v="1990"/>
    <s v="407-9435387"/>
    <s v="94353"/>
    <x v="1"/>
    <n v="44"/>
    <x v="289"/>
    <x v="9"/>
    <x v="2"/>
    <x v="0"/>
    <s v="BA301"/>
    <x v="1"/>
    <n v="59999"/>
    <x v="29"/>
    <s v="Business analytics"/>
  </r>
  <r>
    <n v="1991"/>
    <s v="405-3781168"/>
    <s v="37811"/>
    <x v="0"/>
    <n v="25"/>
    <x v="289"/>
    <x v="9"/>
    <x v="0"/>
    <x v="1"/>
    <s v="DM101"/>
    <x v="2"/>
    <n v="85499"/>
    <x v="92"/>
    <s v="Digial marketing"/>
  </r>
  <r>
    <n v="1992"/>
    <s v="406-0436791"/>
    <s v="43679"/>
    <x v="0"/>
    <n v="33"/>
    <x v="289"/>
    <x v="9"/>
    <x v="0"/>
    <x v="0"/>
    <s v="UX401"/>
    <x v="4"/>
    <n v="67990"/>
    <x v="32"/>
    <s v="UI/UX Design"/>
  </r>
  <r>
    <n v="1993"/>
    <s v="403-3901465"/>
    <s v="39014"/>
    <x v="0"/>
    <n v="30"/>
    <x v="290"/>
    <x v="9"/>
    <x v="2"/>
    <x v="2"/>
    <s v="DM101"/>
    <x v="2"/>
    <n v="85499"/>
    <x v="100"/>
    <s v="Digial marketing"/>
  </r>
  <r>
    <n v="1994"/>
    <s v="171-7074564"/>
    <s v="70745"/>
    <x v="1"/>
    <n v="31"/>
    <x v="290"/>
    <x v="9"/>
    <x v="0"/>
    <x v="4"/>
    <s v="FSD103"/>
    <x v="3"/>
    <n v="109990"/>
    <x v="183"/>
    <s v="Full stack development"/>
  </r>
  <r>
    <n v="1995"/>
    <s v="406-9890445"/>
    <s v="98904"/>
    <x v="0"/>
    <n v="21"/>
    <x v="290"/>
    <x v="9"/>
    <x v="0"/>
    <x v="1"/>
    <s v="DA202"/>
    <x v="0"/>
    <n v="79999"/>
    <x v="3"/>
    <s v="Data analytics"/>
  </r>
  <r>
    <n v="1996"/>
    <s v="405-4459892"/>
    <s v="44598"/>
    <x v="0"/>
    <n v="51"/>
    <x v="290"/>
    <x v="9"/>
    <x v="0"/>
    <x v="3"/>
    <s v="DA202"/>
    <x v="0"/>
    <n v="79999"/>
    <x v="27"/>
    <s v="Data analytics"/>
  </r>
  <r>
    <n v="1997"/>
    <s v="404-1421047"/>
    <s v="14210"/>
    <x v="1"/>
    <n v="28"/>
    <x v="291"/>
    <x v="9"/>
    <x v="0"/>
    <x v="1"/>
    <s v="BA301"/>
    <x v="1"/>
    <n v="59999"/>
    <x v="15"/>
    <s v="Business analytics"/>
  </r>
  <r>
    <n v="1998"/>
    <s v="406-7974285"/>
    <s v="79742"/>
    <x v="0"/>
    <n v="30"/>
    <x v="291"/>
    <x v="9"/>
    <x v="0"/>
    <x v="1"/>
    <s v="DM101"/>
    <x v="2"/>
    <n v="85499"/>
    <x v="9"/>
    <s v="Digial marketing"/>
  </r>
  <r>
    <n v="1999"/>
    <s v="402-4371375"/>
    <s v="43713"/>
    <x v="0"/>
    <n v="30"/>
    <x v="291"/>
    <x v="9"/>
    <x v="0"/>
    <x v="1"/>
    <s v="FSD103"/>
    <x v="3"/>
    <n v="109990"/>
    <x v="80"/>
    <s v="Full stack development"/>
  </r>
  <r>
    <n v="2000"/>
    <s v="404-5182822"/>
    <s v="51828"/>
    <x v="0"/>
    <n v="24"/>
    <x v="292"/>
    <x v="9"/>
    <x v="2"/>
    <x v="0"/>
    <s v="BA301"/>
    <x v="1"/>
    <n v="59999"/>
    <x v="29"/>
    <s v="Business analytics"/>
  </r>
  <r>
    <n v="2001"/>
    <s v="404-3237647"/>
    <s v="32376"/>
    <x v="0"/>
    <n v="24"/>
    <x v="292"/>
    <x v="9"/>
    <x v="0"/>
    <x v="4"/>
    <s v="BA301"/>
    <x v="1"/>
    <n v="59999"/>
    <x v="15"/>
    <s v="Business analytics"/>
  </r>
  <r>
    <n v="2002"/>
    <s v="171-9180614"/>
    <s v="91806"/>
    <x v="0"/>
    <n v="25"/>
    <x v="292"/>
    <x v="9"/>
    <x v="0"/>
    <x v="4"/>
    <s v="DA202"/>
    <x v="0"/>
    <n v="79999"/>
    <x v="75"/>
    <s v="Data analytics"/>
  </r>
  <r>
    <n v="2003"/>
    <s v="403-9331461"/>
    <s v="93314"/>
    <x v="0"/>
    <n v="19"/>
    <x v="292"/>
    <x v="9"/>
    <x v="0"/>
    <x v="0"/>
    <s v="DM101"/>
    <x v="2"/>
    <n v="85499"/>
    <x v="29"/>
    <s v="Digial marketing"/>
  </r>
  <r>
    <n v="2004"/>
    <s v="171-4776297"/>
    <s v="47762"/>
    <x v="0"/>
    <n v="73"/>
    <x v="292"/>
    <x v="9"/>
    <x v="0"/>
    <x v="2"/>
    <s v="BA301"/>
    <x v="1"/>
    <n v="59999"/>
    <x v="334"/>
    <s v="Business analytics"/>
  </r>
  <r>
    <n v="2005"/>
    <s v="407-2570835"/>
    <s v="25708"/>
    <x v="0"/>
    <n v="30"/>
    <x v="293"/>
    <x v="9"/>
    <x v="0"/>
    <x v="6"/>
    <s v="DA202"/>
    <x v="0"/>
    <n v="79999"/>
    <x v="183"/>
    <s v="Data analytics"/>
  </r>
  <r>
    <n v="2006"/>
    <s v="404-5310473"/>
    <s v="53104"/>
    <x v="0"/>
    <n v="49"/>
    <x v="293"/>
    <x v="9"/>
    <x v="2"/>
    <x v="0"/>
    <s v="DA202"/>
    <x v="0"/>
    <n v="79999"/>
    <x v="544"/>
    <s v="Data analytics"/>
  </r>
  <r>
    <n v="2007"/>
    <s v="406-0599903"/>
    <s v="59990"/>
    <x v="1"/>
    <n v="30"/>
    <x v="293"/>
    <x v="9"/>
    <x v="0"/>
    <x v="2"/>
    <s v="DA202"/>
    <x v="0"/>
    <n v="79999"/>
    <x v="545"/>
    <s v="Data analytics"/>
  </r>
  <r>
    <n v="2008"/>
    <s v="406-9181416"/>
    <s v="91814"/>
    <x v="1"/>
    <n v="76"/>
    <x v="293"/>
    <x v="9"/>
    <x v="0"/>
    <x v="2"/>
    <s v="DM101"/>
    <x v="2"/>
    <n v="85499"/>
    <x v="2"/>
    <s v="Digial marketing"/>
  </r>
  <r>
    <n v="2009"/>
    <s v="406-1199765"/>
    <s v="11997"/>
    <x v="0"/>
    <n v="42"/>
    <x v="293"/>
    <x v="9"/>
    <x v="0"/>
    <x v="1"/>
    <s v="DA202"/>
    <x v="0"/>
    <n v="79999"/>
    <x v="546"/>
    <s v="Data analytics"/>
  </r>
  <r>
    <n v="2010"/>
    <s v="406-2043909"/>
    <s v="20439"/>
    <x v="0"/>
    <n v="49"/>
    <x v="293"/>
    <x v="9"/>
    <x v="0"/>
    <x v="0"/>
    <s v="DA202"/>
    <x v="0"/>
    <n v="79999"/>
    <x v="547"/>
    <s v="Data analytics"/>
  </r>
  <r>
    <n v="2011"/>
    <s v="407-2256683"/>
    <s v="22566"/>
    <x v="0"/>
    <n v="23"/>
    <x v="293"/>
    <x v="9"/>
    <x v="0"/>
    <x v="2"/>
    <s v="DM101"/>
    <x v="2"/>
    <n v="85499"/>
    <x v="548"/>
    <s v="Digial marketing"/>
  </r>
  <r>
    <n v="2012"/>
    <s v="402-4151793"/>
    <s v="41517"/>
    <x v="0"/>
    <n v="27"/>
    <x v="293"/>
    <x v="9"/>
    <x v="0"/>
    <x v="3"/>
    <s v="DM101"/>
    <x v="2"/>
    <n v="85499"/>
    <x v="3"/>
    <s v="Digial marketing"/>
  </r>
  <r>
    <n v="2013"/>
    <s v="171-7336406"/>
    <s v="73364"/>
    <x v="0"/>
    <n v="49"/>
    <x v="293"/>
    <x v="9"/>
    <x v="0"/>
    <x v="1"/>
    <s v="DA202"/>
    <x v="0"/>
    <n v="79999"/>
    <x v="9"/>
    <s v="Data analytics"/>
  </r>
  <r>
    <n v="2014"/>
    <s v="405-2157284"/>
    <s v="21572"/>
    <x v="1"/>
    <n v="61"/>
    <x v="294"/>
    <x v="9"/>
    <x v="0"/>
    <x v="5"/>
    <s v="DA202"/>
    <x v="0"/>
    <n v="79999"/>
    <x v="549"/>
    <s v="Data analytics"/>
  </r>
  <r>
    <n v="2015"/>
    <s v="407-6755231"/>
    <s v="67552"/>
    <x v="0"/>
    <n v="23"/>
    <x v="294"/>
    <x v="9"/>
    <x v="0"/>
    <x v="0"/>
    <s v="UX401"/>
    <x v="4"/>
    <n v="67990"/>
    <x v="550"/>
    <s v="UI/UX Design"/>
  </r>
  <r>
    <n v="2016"/>
    <s v="406-6608262"/>
    <s v="66082"/>
    <x v="0"/>
    <n v="45"/>
    <x v="294"/>
    <x v="9"/>
    <x v="0"/>
    <x v="1"/>
    <s v="DA202"/>
    <x v="0"/>
    <n v="79999"/>
    <x v="40"/>
    <s v="Data analytics"/>
  </r>
  <r>
    <n v="2017"/>
    <s v="171-0546291"/>
    <s v="54629"/>
    <x v="0"/>
    <n v="20"/>
    <x v="294"/>
    <x v="9"/>
    <x v="0"/>
    <x v="2"/>
    <s v="DM101"/>
    <x v="2"/>
    <n v="85499"/>
    <x v="167"/>
    <s v="Digial marketing"/>
  </r>
  <r>
    <n v="2018"/>
    <s v="404-8984282"/>
    <s v="89842"/>
    <x v="1"/>
    <n v="33"/>
    <x v="294"/>
    <x v="9"/>
    <x v="0"/>
    <x v="1"/>
    <s v="FSD103"/>
    <x v="3"/>
    <n v="109990"/>
    <x v="356"/>
    <s v="Full stack development"/>
  </r>
  <r>
    <n v="2019"/>
    <s v="402-7872281"/>
    <s v="78722"/>
    <x v="1"/>
    <n v="53"/>
    <x v="294"/>
    <x v="9"/>
    <x v="0"/>
    <x v="4"/>
    <s v="DM101"/>
    <x v="2"/>
    <n v="85499"/>
    <x v="9"/>
    <s v="Digial marketing"/>
  </r>
  <r>
    <n v="2020"/>
    <s v="407-4190144"/>
    <s v="41901"/>
    <x v="1"/>
    <n v="48"/>
    <x v="294"/>
    <x v="9"/>
    <x v="0"/>
    <x v="1"/>
    <s v="BA301"/>
    <x v="1"/>
    <n v="59999"/>
    <x v="100"/>
    <s v="Business analytics"/>
  </r>
  <r>
    <n v="2021"/>
    <s v="407-9395696"/>
    <s v="93956"/>
    <x v="1"/>
    <n v="29"/>
    <x v="295"/>
    <x v="9"/>
    <x v="0"/>
    <x v="1"/>
    <s v="DA202"/>
    <x v="0"/>
    <n v="79999"/>
    <x v="29"/>
    <s v="Data analytics"/>
  </r>
  <r>
    <n v="2022"/>
    <s v="405-2561968"/>
    <s v="25619"/>
    <x v="0"/>
    <n v="43"/>
    <x v="295"/>
    <x v="9"/>
    <x v="0"/>
    <x v="2"/>
    <s v="DA202"/>
    <x v="0"/>
    <n v="79999"/>
    <x v="9"/>
    <s v="Data analytics"/>
  </r>
  <r>
    <n v="2023"/>
    <s v="403-7276147"/>
    <s v="72761"/>
    <x v="1"/>
    <n v="46"/>
    <x v="295"/>
    <x v="9"/>
    <x v="0"/>
    <x v="1"/>
    <s v="DM101"/>
    <x v="2"/>
    <n v="85499"/>
    <x v="54"/>
    <s v="Digial marketing"/>
  </r>
  <r>
    <n v="2024"/>
    <s v="408-8925395"/>
    <s v="89253"/>
    <x v="0"/>
    <n v="41"/>
    <x v="295"/>
    <x v="9"/>
    <x v="0"/>
    <x v="5"/>
    <s v="DA202"/>
    <x v="0"/>
    <n v="79999"/>
    <x v="28"/>
    <s v="Data analytics"/>
  </r>
  <r>
    <n v="2025"/>
    <s v="171-5107060"/>
    <s v="51070"/>
    <x v="0"/>
    <n v="42"/>
    <x v="295"/>
    <x v="9"/>
    <x v="0"/>
    <x v="1"/>
    <s v="DA202"/>
    <x v="0"/>
    <n v="79999"/>
    <x v="29"/>
    <s v="Data analytics"/>
  </r>
  <r>
    <n v="2026"/>
    <s v="404-8567426"/>
    <s v="85674"/>
    <x v="1"/>
    <n v="31"/>
    <x v="296"/>
    <x v="9"/>
    <x v="0"/>
    <x v="1"/>
    <s v="FSD103"/>
    <x v="3"/>
    <n v="109990"/>
    <x v="1"/>
    <s v="Full stack development"/>
  </r>
  <r>
    <n v="2027"/>
    <s v="408-8460791"/>
    <s v="84607"/>
    <x v="0"/>
    <n v="40"/>
    <x v="296"/>
    <x v="9"/>
    <x v="0"/>
    <x v="4"/>
    <s v="DM101"/>
    <x v="2"/>
    <n v="85499"/>
    <x v="551"/>
    <s v="Digial marketing"/>
  </r>
  <r>
    <n v="2028"/>
    <s v="404-8449137"/>
    <s v="84491"/>
    <x v="1"/>
    <n v="30"/>
    <x v="296"/>
    <x v="9"/>
    <x v="0"/>
    <x v="5"/>
    <s v="DA202"/>
    <x v="0"/>
    <n v="79999"/>
    <x v="74"/>
    <s v="Data analytics"/>
  </r>
  <r>
    <n v="2029"/>
    <s v="171-5607063"/>
    <s v="56070"/>
    <x v="0"/>
    <n v="72"/>
    <x v="296"/>
    <x v="9"/>
    <x v="0"/>
    <x v="1"/>
    <s v="DM101"/>
    <x v="2"/>
    <n v="85499"/>
    <x v="552"/>
    <s v="Digial marketing"/>
  </r>
  <r>
    <n v="2030"/>
    <s v="408-3799699"/>
    <s v="37996"/>
    <x v="1"/>
    <n v="70"/>
    <x v="296"/>
    <x v="9"/>
    <x v="0"/>
    <x v="1"/>
    <s v="DM101"/>
    <x v="2"/>
    <n v="85499"/>
    <x v="553"/>
    <s v="Digial marketing"/>
  </r>
  <r>
    <n v="2031"/>
    <s v="404-7002044"/>
    <s v="70020"/>
    <x v="0"/>
    <n v="65"/>
    <x v="296"/>
    <x v="9"/>
    <x v="0"/>
    <x v="2"/>
    <s v="DM101"/>
    <x v="2"/>
    <n v="85499"/>
    <x v="57"/>
    <s v="Digial marketing"/>
  </r>
  <r>
    <n v="2032"/>
    <s v="405-7903181"/>
    <s v="79031"/>
    <x v="0"/>
    <n v="26"/>
    <x v="297"/>
    <x v="9"/>
    <x v="0"/>
    <x v="1"/>
    <s v="DA202"/>
    <x v="0"/>
    <n v="79999"/>
    <x v="3"/>
    <s v="Data analytics"/>
  </r>
  <r>
    <n v="2033"/>
    <s v="406-6802132"/>
    <s v="68021"/>
    <x v="0"/>
    <n v="18"/>
    <x v="297"/>
    <x v="9"/>
    <x v="0"/>
    <x v="1"/>
    <s v="DM101"/>
    <x v="2"/>
    <n v="85499"/>
    <x v="51"/>
    <s v="Digial marketing"/>
  </r>
  <r>
    <n v="2034"/>
    <s v="408-9550729"/>
    <s v="95507"/>
    <x v="1"/>
    <n v="44"/>
    <x v="297"/>
    <x v="9"/>
    <x v="2"/>
    <x v="5"/>
    <s v="DA202"/>
    <x v="0"/>
    <n v="79999"/>
    <x v="29"/>
    <s v="Data analytics"/>
  </r>
  <r>
    <n v="2035"/>
    <s v="408-3367657"/>
    <s v="33676"/>
    <x v="0"/>
    <n v="47"/>
    <x v="297"/>
    <x v="9"/>
    <x v="0"/>
    <x v="1"/>
    <s v="DA202"/>
    <x v="0"/>
    <n v="79999"/>
    <x v="9"/>
    <s v="Data analytics"/>
  </r>
  <r>
    <n v="2036"/>
    <s v="408-1200865"/>
    <s v="12008"/>
    <x v="0"/>
    <n v="31"/>
    <x v="297"/>
    <x v="9"/>
    <x v="0"/>
    <x v="2"/>
    <s v="DA202"/>
    <x v="0"/>
    <n v="79999"/>
    <x v="15"/>
    <s v="Data analytics"/>
  </r>
  <r>
    <n v="2037"/>
    <s v="171-9820105"/>
    <s v="98201"/>
    <x v="0"/>
    <n v="26"/>
    <x v="298"/>
    <x v="9"/>
    <x v="0"/>
    <x v="0"/>
    <s v="DA202"/>
    <x v="0"/>
    <n v="79999"/>
    <x v="57"/>
    <s v="Data analytics"/>
  </r>
  <r>
    <n v="2038"/>
    <s v="171-1881491"/>
    <s v="18814"/>
    <x v="0"/>
    <n v="26"/>
    <x v="298"/>
    <x v="9"/>
    <x v="0"/>
    <x v="5"/>
    <s v="DM101"/>
    <x v="2"/>
    <n v="85499"/>
    <x v="15"/>
    <s v="Digial marketing"/>
  </r>
  <r>
    <n v="2039"/>
    <s v="407-1294356"/>
    <s v="12943"/>
    <x v="0"/>
    <n v="42"/>
    <x v="298"/>
    <x v="9"/>
    <x v="2"/>
    <x v="3"/>
    <s v="DM101"/>
    <x v="2"/>
    <n v="85499"/>
    <x v="3"/>
    <s v="Digial marketing"/>
  </r>
  <r>
    <n v="2040"/>
    <s v="408-4121205"/>
    <s v="41212"/>
    <x v="1"/>
    <n v="41"/>
    <x v="298"/>
    <x v="9"/>
    <x v="0"/>
    <x v="1"/>
    <s v="DA202"/>
    <x v="0"/>
    <n v="79999"/>
    <x v="92"/>
    <s v="Data analytics"/>
  </r>
  <r>
    <n v="2041"/>
    <s v="171-1772770"/>
    <s v="17727"/>
    <x v="0"/>
    <n v="40"/>
    <x v="298"/>
    <x v="9"/>
    <x v="1"/>
    <x v="1"/>
    <s v="DA202"/>
    <x v="0"/>
    <n v="79999"/>
    <x v="15"/>
    <s v="Data analytics"/>
  </r>
  <r>
    <n v="2042"/>
    <s v="404-8549708"/>
    <s v="85497"/>
    <x v="0"/>
    <n v="21"/>
    <x v="298"/>
    <x v="9"/>
    <x v="0"/>
    <x v="2"/>
    <s v="DA202"/>
    <x v="0"/>
    <n v="79999"/>
    <x v="209"/>
    <s v="Data analytics"/>
  </r>
  <r>
    <n v="2043"/>
    <s v="408-1690452"/>
    <s v="16904"/>
    <x v="0"/>
    <n v="51"/>
    <x v="299"/>
    <x v="9"/>
    <x v="0"/>
    <x v="1"/>
    <s v="DM101"/>
    <x v="2"/>
    <n v="85499"/>
    <x v="3"/>
    <s v="Digial marketing"/>
  </r>
  <r>
    <n v="2044"/>
    <s v="403-8613417"/>
    <s v="86134"/>
    <x v="1"/>
    <n v="61"/>
    <x v="299"/>
    <x v="9"/>
    <x v="0"/>
    <x v="1"/>
    <s v="DM101"/>
    <x v="2"/>
    <n v="85499"/>
    <x v="54"/>
    <s v="Digial marketing"/>
  </r>
  <r>
    <n v="2045"/>
    <s v="406-1137333"/>
    <s v="11373"/>
    <x v="0"/>
    <n v="47"/>
    <x v="299"/>
    <x v="9"/>
    <x v="0"/>
    <x v="5"/>
    <s v="DM101"/>
    <x v="2"/>
    <n v="85499"/>
    <x v="32"/>
    <s v="Digial marketing"/>
  </r>
  <r>
    <n v="2046"/>
    <s v="404-0430156"/>
    <s v="43015"/>
    <x v="0"/>
    <n v="20"/>
    <x v="299"/>
    <x v="9"/>
    <x v="0"/>
    <x v="6"/>
    <s v="DA202"/>
    <x v="0"/>
    <n v="79999"/>
    <x v="57"/>
    <s v="Data analytics"/>
  </r>
  <r>
    <n v="2047"/>
    <s v="171-5321293"/>
    <s v="53212"/>
    <x v="1"/>
    <n v="21"/>
    <x v="299"/>
    <x v="9"/>
    <x v="0"/>
    <x v="0"/>
    <s v="DM101"/>
    <x v="2"/>
    <n v="85499"/>
    <x v="3"/>
    <s v="Digial marketing"/>
  </r>
  <r>
    <n v="2048"/>
    <s v="402-4005885"/>
    <s v="40058"/>
    <x v="0"/>
    <n v="22"/>
    <x v="299"/>
    <x v="9"/>
    <x v="0"/>
    <x v="1"/>
    <s v="UX401"/>
    <x v="4"/>
    <n v="67990"/>
    <x v="3"/>
    <s v="UI/UX Design"/>
  </r>
  <r>
    <n v="2049"/>
    <s v="407-4658996"/>
    <s v="46589"/>
    <x v="0"/>
    <n v="20"/>
    <x v="299"/>
    <x v="9"/>
    <x v="0"/>
    <x v="2"/>
    <s v="DA202"/>
    <x v="0"/>
    <n v="79999"/>
    <x v="29"/>
    <s v="Data analytics"/>
  </r>
  <r>
    <n v="2050"/>
    <s v="403-3846766"/>
    <s v="38467"/>
    <x v="1"/>
    <n v="39"/>
    <x v="300"/>
    <x v="9"/>
    <x v="1"/>
    <x v="1"/>
    <s v="DM101"/>
    <x v="2"/>
    <n v="85499"/>
    <x v="391"/>
    <s v="Digial marketing"/>
  </r>
  <r>
    <n v="2051"/>
    <s v="403-4314121"/>
    <s v="43141"/>
    <x v="0"/>
    <n v="47"/>
    <x v="300"/>
    <x v="9"/>
    <x v="0"/>
    <x v="6"/>
    <s v="DA202"/>
    <x v="0"/>
    <n v="79999"/>
    <x v="56"/>
    <s v="Data analytics"/>
  </r>
  <r>
    <n v="2052"/>
    <s v="408-7679473"/>
    <s v="76794"/>
    <x v="0"/>
    <n v="35"/>
    <x v="300"/>
    <x v="9"/>
    <x v="0"/>
    <x v="0"/>
    <s v="DM101"/>
    <x v="2"/>
    <n v="85499"/>
    <x v="3"/>
    <s v="Digial marketing"/>
  </r>
  <r>
    <n v="2053"/>
    <s v="403-9944535"/>
    <s v="99445"/>
    <x v="0"/>
    <n v="34"/>
    <x v="300"/>
    <x v="9"/>
    <x v="0"/>
    <x v="0"/>
    <s v="BA301"/>
    <x v="1"/>
    <n v="59999"/>
    <x v="29"/>
    <s v="Business analytics"/>
  </r>
  <r>
    <n v="2054"/>
    <s v="407-4589785"/>
    <s v="45897"/>
    <x v="0"/>
    <n v="25"/>
    <x v="300"/>
    <x v="9"/>
    <x v="0"/>
    <x v="2"/>
    <s v="BA301"/>
    <x v="1"/>
    <n v="59999"/>
    <x v="108"/>
    <s v="Business analytics"/>
  </r>
  <r>
    <n v="2055"/>
    <s v="408-6580596"/>
    <s v="65805"/>
    <x v="0"/>
    <n v="30"/>
    <x v="300"/>
    <x v="9"/>
    <x v="0"/>
    <x v="5"/>
    <s v="DA202"/>
    <x v="0"/>
    <n v="79999"/>
    <x v="32"/>
    <s v="Data analytics"/>
  </r>
  <r>
    <n v="2056"/>
    <s v="404-5812684"/>
    <s v="58126"/>
    <x v="0"/>
    <n v="41"/>
    <x v="301"/>
    <x v="9"/>
    <x v="0"/>
    <x v="0"/>
    <s v="BA301"/>
    <x v="1"/>
    <n v="59999"/>
    <x v="16"/>
    <s v="Business analytics"/>
  </r>
  <r>
    <n v="2057"/>
    <s v="406-5107060"/>
    <s v="51070"/>
    <x v="0"/>
    <n v="20"/>
    <x v="301"/>
    <x v="9"/>
    <x v="0"/>
    <x v="2"/>
    <s v="DM101"/>
    <x v="2"/>
    <n v="85499"/>
    <x v="9"/>
    <s v="Digial marketing"/>
  </r>
  <r>
    <n v="2058"/>
    <s v="405-8873290"/>
    <s v="88732"/>
    <x v="0"/>
    <n v="19"/>
    <x v="301"/>
    <x v="9"/>
    <x v="0"/>
    <x v="0"/>
    <s v="DM101"/>
    <x v="2"/>
    <n v="85499"/>
    <x v="3"/>
    <s v="Digial marketing"/>
  </r>
  <r>
    <n v="2059"/>
    <s v="405-8511742"/>
    <s v="85117"/>
    <x v="0"/>
    <n v="52"/>
    <x v="301"/>
    <x v="9"/>
    <x v="0"/>
    <x v="4"/>
    <s v="BA301"/>
    <x v="1"/>
    <n v="59999"/>
    <x v="122"/>
    <s v="Business analytics"/>
  </r>
  <r>
    <n v="2060"/>
    <s v="171-7374782"/>
    <s v="73747"/>
    <x v="1"/>
    <n v="39"/>
    <x v="301"/>
    <x v="9"/>
    <x v="0"/>
    <x v="4"/>
    <s v="DM101"/>
    <x v="2"/>
    <n v="85499"/>
    <x v="28"/>
    <s v="Digial marketing"/>
  </r>
  <r>
    <n v="2061"/>
    <s v="406-1886546"/>
    <s v="18865"/>
    <x v="0"/>
    <n v="45"/>
    <x v="301"/>
    <x v="9"/>
    <x v="0"/>
    <x v="1"/>
    <s v="DA202"/>
    <x v="0"/>
    <n v="79999"/>
    <x v="136"/>
    <s v="Data analytics"/>
  </r>
  <r>
    <n v="2062"/>
    <s v="405-1352665"/>
    <s v="13526"/>
    <x v="0"/>
    <n v="29"/>
    <x v="301"/>
    <x v="9"/>
    <x v="0"/>
    <x v="2"/>
    <s v="DM101"/>
    <x v="2"/>
    <n v="85499"/>
    <x v="24"/>
    <s v="Digial marketing"/>
  </r>
  <r>
    <n v="2063"/>
    <s v="403-1316690"/>
    <s v="13166"/>
    <x v="1"/>
    <n v="39"/>
    <x v="301"/>
    <x v="9"/>
    <x v="0"/>
    <x v="2"/>
    <s v="DM101"/>
    <x v="2"/>
    <n v="85499"/>
    <x v="75"/>
    <s v="Digial marketing"/>
  </r>
  <r>
    <n v="2064"/>
    <s v="408-1686892"/>
    <s v="16868"/>
    <x v="0"/>
    <n v="72"/>
    <x v="302"/>
    <x v="9"/>
    <x v="0"/>
    <x v="6"/>
    <s v="UX401"/>
    <x v="4"/>
    <n v="67990"/>
    <x v="9"/>
    <s v="UI/UX Design"/>
  </r>
  <r>
    <n v="2065"/>
    <s v="404-9398851"/>
    <s v="93988"/>
    <x v="1"/>
    <n v="27"/>
    <x v="302"/>
    <x v="9"/>
    <x v="0"/>
    <x v="1"/>
    <s v="DA202"/>
    <x v="0"/>
    <n v="79999"/>
    <x v="519"/>
    <s v="Data analytics"/>
  </r>
  <r>
    <n v="2066"/>
    <s v="405-9368312"/>
    <s v="93683"/>
    <x v="1"/>
    <n v="23"/>
    <x v="302"/>
    <x v="9"/>
    <x v="0"/>
    <x v="6"/>
    <s v="DA202"/>
    <x v="0"/>
    <n v="79999"/>
    <x v="16"/>
    <s v="Data analytics"/>
  </r>
  <r>
    <n v="2067"/>
    <s v="402-3478381"/>
    <s v="34783"/>
    <x v="0"/>
    <n v="45"/>
    <x v="302"/>
    <x v="9"/>
    <x v="0"/>
    <x v="1"/>
    <s v="BA301"/>
    <x v="1"/>
    <n v="59999"/>
    <x v="162"/>
    <s v="Business analytics"/>
  </r>
  <r>
    <n v="2068"/>
    <s v="404-8417224"/>
    <s v="84172"/>
    <x v="0"/>
    <n v="41"/>
    <x v="302"/>
    <x v="9"/>
    <x v="0"/>
    <x v="1"/>
    <s v="DM101"/>
    <x v="2"/>
    <n v="85499"/>
    <x v="49"/>
    <s v="Digial marketing"/>
  </r>
  <r>
    <n v="2069"/>
    <s v="408-4708563"/>
    <s v="47085"/>
    <x v="0"/>
    <n v="40"/>
    <x v="303"/>
    <x v="9"/>
    <x v="0"/>
    <x v="6"/>
    <s v="DA202"/>
    <x v="0"/>
    <n v="79999"/>
    <x v="10"/>
    <s v="Data analytics"/>
  </r>
  <r>
    <n v="2070"/>
    <s v="171-2838141"/>
    <s v="28381"/>
    <x v="1"/>
    <n v="38"/>
    <x v="303"/>
    <x v="9"/>
    <x v="0"/>
    <x v="1"/>
    <s v="DM101"/>
    <x v="2"/>
    <n v="85499"/>
    <x v="15"/>
    <s v="Digial marketing"/>
  </r>
  <r>
    <n v="2071"/>
    <s v="402-8980387"/>
    <s v="89803"/>
    <x v="0"/>
    <n v="37"/>
    <x v="303"/>
    <x v="9"/>
    <x v="0"/>
    <x v="0"/>
    <s v="DM101"/>
    <x v="2"/>
    <n v="85499"/>
    <x v="1"/>
    <s v="Digial marketing"/>
  </r>
  <r>
    <n v="2072"/>
    <s v="405-6697834"/>
    <s v="66978"/>
    <x v="1"/>
    <n v="27"/>
    <x v="303"/>
    <x v="9"/>
    <x v="0"/>
    <x v="2"/>
    <s v="DM101"/>
    <x v="2"/>
    <n v="85499"/>
    <x v="502"/>
    <s v="Digial marketing"/>
  </r>
  <r>
    <n v="2073"/>
    <s v="403-7050665"/>
    <s v="70506"/>
    <x v="0"/>
    <n v="35"/>
    <x v="303"/>
    <x v="9"/>
    <x v="0"/>
    <x v="0"/>
    <s v="DA202"/>
    <x v="0"/>
    <n v="79999"/>
    <x v="29"/>
    <s v="Data analytics"/>
  </r>
  <r>
    <n v="2074"/>
    <s v="404-2642423"/>
    <s v="26424"/>
    <x v="0"/>
    <n v="30"/>
    <x v="304"/>
    <x v="9"/>
    <x v="0"/>
    <x v="5"/>
    <s v="DM101"/>
    <x v="2"/>
    <n v="85499"/>
    <x v="28"/>
    <s v="Digial marketing"/>
  </r>
  <r>
    <n v="2075"/>
    <s v="405-4651921"/>
    <s v="46519"/>
    <x v="0"/>
    <n v="65"/>
    <x v="304"/>
    <x v="9"/>
    <x v="0"/>
    <x v="2"/>
    <s v="AI001"/>
    <x v="5"/>
    <n v="119990"/>
    <x v="1"/>
    <s v="AI &amp; ML"/>
  </r>
  <r>
    <n v="2076"/>
    <s v="408-8564762"/>
    <s v="85647"/>
    <x v="1"/>
    <n v="33"/>
    <x v="304"/>
    <x v="9"/>
    <x v="0"/>
    <x v="6"/>
    <s v="BA301"/>
    <x v="1"/>
    <n v="59999"/>
    <x v="100"/>
    <s v="Business analytics"/>
  </r>
  <r>
    <n v="2077"/>
    <s v="171-4034543"/>
    <s v="40345"/>
    <x v="0"/>
    <n v="43"/>
    <x v="304"/>
    <x v="9"/>
    <x v="0"/>
    <x v="1"/>
    <s v="BA301"/>
    <x v="1"/>
    <n v="59999"/>
    <x v="347"/>
    <s v="Business analytics"/>
  </r>
  <r>
    <n v="2078"/>
    <s v="407-0370304"/>
    <s v="37030"/>
    <x v="0"/>
    <n v="33"/>
    <x v="304"/>
    <x v="9"/>
    <x v="0"/>
    <x v="1"/>
    <s v="DM101"/>
    <x v="2"/>
    <n v="85499"/>
    <x v="15"/>
    <s v="Digial marketing"/>
  </r>
  <r>
    <n v="2079"/>
    <s v="171-5342891"/>
    <s v="53428"/>
    <x v="0"/>
    <n v="36"/>
    <x v="304"/>
    <x v="9"/>
    <x v="0"/>
    <x v="0"/>
    <s v="DA202"/>
    <x v="0"/>
    <n v="79999"/>
    <x v="106"/>
    <s v="Data analytics"/>
  </r>
  <r>
    <n v="2080"/>
    <s v="404-8962789"/>
    <s v="89627"/>
    <x v="0"/>
    <n v="38"/>
    <x v="305"/>
    <x v="10"/>
    <x v="0"/>
    <x v="0"/>
    <s v="DA202"/>
    <x v="0"/>
    <n v="79999"/>
    <x v="109"/>
    <s v="Data analytics"/>
  </r>
  <r>
    <n v="2081"/>
    <s v="407-8727612"/>
    <s v="87276"/>
    <x v="0"/>
    <n v="38"/>
    <x v="305"/>
    <x v="10"/>
    <x v="0"/>
    <x v="0"/>
    <s v="DA202"/>
    <x v="0"/>
    <n v="79999"/>
    <x v="49"/>
    <s v="Data analytics"/>
  </r>
  <r>
    <n v="2082"/>
    <s v="171-0038464"/>
    <s v="38464"/>
    <x v="1"/>
    <n v="40"/>
    <x v="305"/>
    <x v="10"/>
    <x v="0"/>
    <x v="5"/>
    <s v="FSD103"/>
    <x v="3"/>
    <n v="109990"/>
    <x v="554"/>
    <s v="Full stack development"/>
  </r>
  <r>
    <n v="2083"/>
    <s v="405-7801783"/>
    <s v="78017"/>
    <x v="1"/>
    <n v="22"/>
    <x v="305"/>
    <x v="10"/>
    <x v="2"/>
    <x v="3"/>
    <s v="BA301"/>
    <x v="1"/>
    <n v="59999"/>
    <x v="555"/>
    <s v="Business analytics"/>
  </r>
  <r>
    <n v="2084"/>
    <s v="407-5192518"/>
    <s v="51925"/>
    <x v="0"/>
    <n v="36"/>
    <x v="306"/>
    <x v="10"/>
    <x v="1"/>
    <x v="0"/>
    <s v="DA202"/>
    <x v="0"/>
    <n v="79999"/>
    <x v="62"/>
    <s v="Data analytics"/>
  </r>
  <r>
    <n v="2085"/>
    <s v="407-8346154"/>
    <s v="83461"/>
    <x v="1"/>
    <n v="42"/>
    <x v="306"/>
    <x v="10"/>
    <x v="0"/>
    <x v="4"/>
    <s v="DM101"/>
    <x v="2"/>
    <n v="85499"/>
    <x v="83"/>
    <s v="Digial marketing"/>
  </r>
  <r>
    <n v="2086"/>
    <s v="408-6987211"/>
    <s v="69872"/>
    <x v="0"/>
    <n v="53"/>
    <x v="306"/>
    <x v="10"/>
    <x v="0"/>
    <x v="2"/>
    <s v="AI001"/>
    <x v="5"/>
    <n v="119990"/>
    <x v="556"/>
    <s v="AI &amp; ML"/>
  </r>
  <r>
    <n v="2087"/>
    <s v="407-3468580"/>
    <s v="34685"/>
    <x v="0"/>
    <n v="57"/>
    <x v="306"/>
    <x v="10"/>
    <x v="0"/>
    <x v="6"/>
    <s v="DA202"/>
    <x v="0"/>
    <n v="79999"/>
    <x v="178"/>
    <s v="Data analytics"/>
  </r>
  <r>
    <n v="2088"/>
    <s v="406-3251598"/>
    <s v="32515"/>
    <x v="0"/>
    <n v="30"/>
    <x v="307"/>
    <x v="10"/>
    <x v="0"/>
    <x v="0"/>
    <s v="FSD103"/>
    <x v="3"/>
    <n v="109990"/>
    <x v="557"/>
    <s v="Full stack development"/>
  </r>
  <r>
    <n v="2089"/>
    <s v="403-7198421"/>
    <s v="71984"/>
    <x v="0"/>
    <n v="39"/>
    <x v="307"/>
    <x v="10"/>
    <x v="0"/>
    <x v="0"/>
    <s v="BA301"/>
    <x v="1"/>
    <n v="59999"/>
    <x v="100"/>
    <s v="Business analytics"/>
  </r>
  <r>
    <n v="2090"/>
    <s v="402-1316762"/>
    <s v="13167"/>
    <x v="0"/>
    <n v="49"/>
    <x v="307"/>
    <x v="10"/>
    <x v="2"/>
    <x v="1"/>
    <s v="AI001"/>
    <x v="5"/>
    <n v="119990"/>
    <x v="558"/>
    <s v="AI &amp; ML"/>
  </r>
  <r>
    <n v="2091"/>
    <s v="404-0474391"/>
    <s v="47439"/>
    <x v="1"/>
    <n v="26"/>
    <x v="307"/>
    <x v="10"/>
    <x v="0"/>
    <x v="5"/>
    <s v="DA202"/>
    <x v="0"/>
    <n v="79999"/>
    <x v="62"/>
    <s v="Data analytics"/>
  </r>
  <r>
    <n v="2092"/>
    <s v="407-5418239"/>
    <s v="54182"/>
    <x v="0"/>
    <n v="47"/>
    <x v="307"/>
    <x v="10"/>
    <x v="0"/>
    <x v="1"/>
    <s v="DM101"/>
    <x v="2"/>
    <n v="85499"/>
    <x v="256"/>
    <s v="Digial marketing"/>
  </r>
  <r>
    <n v="2093"/>
    <s v="404-3043197"/>
    <s v="30431"/>
    <x v="0"/>
    <n v="70"/>
    <x v="307"/>
    <x v="10"/>
    <x v="0"/>
    <x v="2"/>
    <s v="DM101"/>
    <x v="2"/>
    <n v="85499"/>
    <x v="9"/>
    <s v="Digial marketing"/>
  </r>
  <r>
    <n v="2094"/>
    <s v="406-2041693"/>
    <s v="20416"/>
    <x v="0"/>
    <n v="44"/>
    <x v="307"/>
    <x v="10"/>
    <x v="0"/>
    <x v="2"/>
    <s v="DA202"/>
    <x v="0"/>
    <n v="79999"/>
    <x v="559"/>
    <s v="Data analytics"/>
  </r>
  <r>
    <n v="2095"/>
    <s v="402-7661456"/>
    <s v="76614"/>
    <x v="0"/>
    <n v="25"/>
    <x v="307"/>
    <x v="10"/>
    <x v="0"/>
    <x v="2"/>
    <s v="FSD103"/>
    <x v="3"/>
    <n v="109990"/>
    <x v="24"/>
    <s v="Full stack development"/>
  </r>
  <r>
    <n v="2096"/>
    <s v="407-5818162"/>
    <s v="58181"/>
    <x v="0"/>
    <n v="42"/>
    <x v="307"/>
    <x v="10"/>
    <x v="0"/>
    <x v="1"/>
    <s v="DA202"/>
    <x v="0"/>
    <n v="79999"/>
    <x v="32"/>
    <s v="Data analytics"/>
  </r>
  <r>
    <n v="2097"/>
    <s v="403-8021110"/>
    <s v="80211"/>
    <x v="0"/>
    <n v="65"/>
    <x v="307"/>
    <x v="10"/>
    <x v="0"/>
    <x v="1"/>
    <s v="DM101"/>
    <x v="2"/>
    <n v="85499"/>
    <x v="9"/>
    <s v="Digial marketing"/>
  </r>
  <r>
    <n v="2098"/>
    <s v="408-0313960"/>
    <s v="31396"/>
    <x v="0"/>
    <n v="48"/>
    <x v="307"/>
    <x v="10"/>
    <x v="0"/>
    <x v="2"/>
    <s v="DM101"/>
    <x v="2"/>
    <n v="85499"/>
    <x v="92"/>
    <s v="Digial marketing"/>
  </r>
  <r>
    <n v="2099"/>
    <s v="407-2943278"/>
    <s v="29432"/>
    <x v="1"/>
    <n v="45"/>
    <x v="307"/>
    <x v="10"/>
    <x v="0"/>
    <x v="4"/>
    <s v="DA202"/>
    <x v="0"/>
    <n v="79999"/>
    <x v="560"/>
    <s v="Data analytics"/>
  </r>
  <r>
    <n v="2100"/>
    <s v="405-7037216"/>
    <s v="70372"/>
    <x v="1"/>
    <n v="47"/>
    <x v="308"/>
    <x v="10"/>
    <x v="0"/>
    <x v="2"/>
    <s v="DA202"/>
    <x v="0"/>
    <n v="79999"/>
    <x v="561"/>
    <s v="Data analytics"/>
  </r>
  <r>
    <n v="2101"/>
    <s v="407-8422139"/>
    <s v="84221"/>
    <x v="1"/>
    <n v="47"/>
    <x v="308"/>
    <x v="10"/>
    <x v="0"/>
    <x v="4"/>
    <s v="BA301"/>
    <x v="1"/>
    <n v="59999"/>
    <x v="29"/>
    <s v="Business analytics"/>
  </r>
  <r>
    <n v="2102"/>
    <s v="406-3254028"/>
    <s v="32540"/>
    <x v="0"/>
    <n v="31"/>
    <x v="308"/>
    <x v="10"/>
    <x v="0"/>
    <x v="2"/>
    <s v="DA202"/>
    <x v="0"/>
    <n v="79999"/>
    <x v="41"/>
    <s v="Data analytics"/>
  </r>
  <r>
    <n v="2103"/>
    <s v="171-4810981"/>
    <s v="48109"/>
    <x v="0"/>
    <n v="29"/>
    <x v="308"/>
    <x v="10"/>
    <x v="0"/>
    <x v="2"/>
    <s v="DM101"/>
    <x v="2"/>
    <n v="85499"/>
    <x v="3"/>
    <s v="Digial marketing"/>
  </r>
  <r>
    <n v="2104"/>
    <s v="407-5685594"/>
    <s v="56855"/>
    <x v="0"/>
    <n v="27"/>
    <x v="308"/>
    <x v="10"/>
    <x v="0"/>
    <x v="4"/>
    <s v="DM101"/>
    <x v="2"/>
    <n v="85499"/>
    <x v="49"/>
    <s v="Digial marketing"/>
  </r>
  <r>
    <n v="2105"/>
    <s v="404-8841840"/>
    <s v="88418"/>
    <x v="0"/>
    <n v="58"/>
    <x v="308"/>
    <x v="10"/>
    <x v="0"/>
    <x v="2"/>
    <s v="UX401"/>
    <x v="4"/>
    <n v="67990"/>
    <x v="462"/>
    <s v="UI/UX Design"/>
  </r>
  <r>
    <n v="2106"/>
    <s v="405-0055961"/>
    <s v="55961"/>
    <x v="1"/>
    <n v="37"/>
    <x v="309"/>
    <x v="10"/>
    <x v="0"/>
    <x v="1"/>
    <s v="DA202"/>
    <x v="0"/>
    <n v="79999"/>
    <x v="3"/>
    <s v="Data analytics"/>
  </r>
  <r>
    <n v="2107"/>
    <s v="406-7869593"/>
    <s v="78695"/>
    <x v="1"/>
    <n v="41"/>
    <x v="309"/>
    <x v="10"/>
    <x v="0"/>
    <x v="2"/>
    <s v="FSD103"/>
    <x v="3"/>
    <n v="109990"/>
    <x v="102"/>
    <s v="Full stack development"/>
  </r>
  <r>
    <n v="2108"/>
    <s v="171-3581996"/>
    <s v="35819"/>
    <x v="0"/>
    <n v="38"/>
    <x v="309"/>
    <x v="10"/>
    <x v="0"/>
    <x v="1"/>
    <s v="DA202"/>
    <x v="0"/>
    <n v="79999"/>
    <x v="375"/>
    <s v="Data analytics"/>
  </r>
  <r>
    <n v="2109"/>
    <s v="408-1427389"/>
    <s v="14273"/>
    <x v="1"/>
    <n v="42"/>
    <x v="309"/>
    <x v="10"/>
    <x v="0"/>
    <x v="1"/>
    <s v="DM101"/>
    <x v="2"/>
    <n v="85499"/>
    <x v="3"/>
    <s v="Digial marketing"/>
  </r>
  <r>
    <n v="2110"/>
    <s v="402-7982981"/>
    <s v="79829"/>
    <x v="0"/>
    <n v="41"/>
    <x v="309"/>
    <x v="10"/>
    <x v="0"/>
    <x v="0"/>
    <s v="FSD103"/>
    <x v="3"/>
    <n v="109990"/>
    <x v="100"/>
    <s v="Full stack development"/>
  </r>
  <r>
    <n v="2111"/>
    <s v="402-5864616"/>
    <s v="58646"/>
    <x v="1"/>
    <n v="41"/>
    <x v="309"/>
    <x v="10"/>
    <x v="1"/>
    <x v="1"/>
    <s v="DM101"/>
    <x v="2"/>
    <n v="85499"/>
    <x v="562"/>
    <s v="Digial marketing"/>
  </r>
  <r>
    <n v="2112"/>
    <s v="407-2065671"/>
    <s v="20656"/>
    <x v="0"/>
    <n v="47"/>
    <x v="309"/>
    <x v="10"/>
    <x v="0"/>
    <x v="1"/>
    <s v="DM101"/>
    <x v="2"/>
    <n v="85499"/>
    <x v="343"/>
    <s v="Digial marketing"/>
  </r>
  <r>
    <n v="2113"/>
    <s v="406-8111690"/>
    <s v="81116"/>
    <x v="0"/>
    <n v="21"/>
    <x v="309"/>
    <x v="10"/>
    <x v="0"/>
    <x v="1"/>
    <s v="BA301"/>
    <x v="1"/>
    <n v="59999"/>
    <x v="72"/>
    <s v="Business analytics"/>
  </r>
  <r>
    <n v="2114"/>
    <s v="403-4073825"/>
    <s v="40738"/>
    <x v="1"/>
    <n v="66"/>
    <x v="309"/>
    <x v="10"/>
    <x v="0"/>
    <x v="1"/>
    <s v="DM101"/>
    <x v="2"/>
    <n v="85499"/>
    <x v="39"/>
    <s v="Digial marketing"/>
  </r>
  <r>
    <n v="2115"/>
    <s v="404-7469469"/>
    <s v="74694"/>
    <x v="1"/>
    <n v="70"/>
    <x v="309"/>
    <x v="10"/>
    <x v="0"/>
    <x v="1"/>
    <s v="DA202"/>
    <x v="0"/>
    <n v="79999"/>
    <x v="563"/>
    <s v="Data analytics"/>
  </r>
  <r>
    <n v="2116"/>
    <s v="408-8458322"/>
    <s v="84583"/>
    <x v="0"/>
    <n v="38"/>
    <x v="309"/>
    <x v="10"/>
    <x v="0"/>
    <x v="0"/>
    <s v="DM101"/>
    <x v="2"/>
    <n v="85499"/>
    <x v="141"/>
    <s v="Digial marketing"/>
  </r>
  <r>
    <n v="2117"/>
    <s v="405-1984696"/>
    <s v="19846"/>
    <x v="1"/>
    <n v="29"/>
    <x v="309"/>
    <x v="10"/>
    <x v="0"/>
    <x v="1"/>
    <s v="DM101"/>
    <x v="2"/>
    <n v="85499"/>
    <x v="27"/>
    <s v="Digial marketing"/>
  </r>
  <r>
    <n v="2118"/>
    <s v="171-0350833"/>
    <s v="35083"/>
    <x v="0"/>
    <n v="64"/>
    <x v="310"/>
    <x v="10"/>
    <x v="0"/>
    <x v="4"/>
    <s v="DM101"/>
    <x v="2"/>
    <n v="85499"/>
    <x v="564"/>
    <s v="Digial marketing"/>
  </r>
  <r>
    <n v="2119"/>
    <s v="404-1765927"/>
    <s v="17659"/>
    <x v="0"/>
    <n v="33"/>
    <x v="310"/>
    <x v="10"/>
    <x v="0"/>
    <x v="6"/>
    <s v="DM101"/>
    <x v="2"/>
    <n v="85499"/>
    <x v="3"/>
    <s v="Digial marketing"/>
  </r>
  <r>
    <n v="2120"/>
    <s v="406-0905251"/>
    <s v="90525"/>
    <x v="0"/>
    <n v="44"/>
    <x v="310"/>
    <x v="10"/>
    <x v="0"/>
    <x v="1"/>
    <s v="DM101"/>
    <x v="2"/>
    <n v="85499"/>
    <x v="17"/>
    <s v="Digial marketing"/>
  </r>
  <r>
    <n v="2121"/>
    <s v="402-2161304"/>
    <s v="21613"/>
    <x v="1"/>
    <n v="29"/>
    <x v="311"/>
    <x v="10"/>
    <x v="0"/>
    <x v="5"/>
    <s v="UX401"/>
    <x v="4"/>
    <n v="67990"/>
    <x v="502"/>
    <s v="UI/UX Design"/>
  </r>
  <r>
    <n v="2122"/>
    <s v="408-5442474"/>
    <s v="54424"/>
    <x v="0"/>
    <n v="47"/>
    <x v="311"/>
    <x v="10"/>
    <x v="0"/>
    <x v="3"/>
    <s v="DM101"/>
    <x v="2"/>
    <n v="85499"/>
    <x v="565"/>
    <s v="Digial marketing"/>
  </r>
  <r>
    <n v="2123"/>
    <s v="171-7705552"/>
    <s v="77055"/>
    <x v="0"/>
    <n v="41"/>
    <x v="311"/>
    <x v="10"/>
    <x v="0"/>
    <x v="0"/>
    <s v="DA202"/>
    <x v="0"/>
    <n v="79999"/>
    <x v="15"/>
    <s v="Data analytics"/>
  </r>
  <r>
    <n v="2124"/>
    <s v="402-3462756"/>
    <s v="34627"/>
    <x v="0"/>
    <n v="54"/>
    <x v="311"/>
    <x v="10"/>
    <x v="0"/>
    <x v="2"/>
    <s v="DA202"/>
    <x v="0"/>
    <n v="79999"/>
    <x v="3"/>
    <s v="Data analytics"/>
  </r>
  <r>
    <n v="2125"/>
    <s v="403-3593499"/>
    <s v="35934"/>
    <x v="1"/>
    <n v="35"/>
    <x v="311"/>
    <x v="10"/>
    <x v="0"/>
    <x v="0"/>
    <s v="DM101"/>
    <x v="2"/>
    <n v="85499"/>
    <x v="41"/>
    <s v="Digial marketing"/>
  </r>
  <r>
    <n v="2126"/>
    <s v="406-4643725"/>
    <s v="46437"/>
    <x v="1"/>
    <n v="25"/>
    <x v="311"/>
    <x v="10"/>
    <x v="2"/>
    <x v="2"/>
    <s v="UX401"/>
    <x v="4"/>
    <n v="67990"/>
    <x v="24"/>
    <s v="UI/UX Design"/>
  </r>
  <r>
    <n v="2127"/>
    <s v="408-8677263"/>
    <s v="86772"/>
    <x v="1"/>
    <n v="22"/>
    <x v="312"/>
    <x v="10"/>
    <x v="0"/>
    <x v="4"/>
    <s v="BA301"/>
    <x v="1"/>
    <n v="59999"/>
    <x v="29"/>
    <s v="Business analytics"/>
  </r>
  <r>
    <n v="2128"/>
    <s v="407-6071833"/>
    <s v="60718"/>
    <x v="0"/>
    <n v="21"/>
    <x v="312"/>
    <x v="10"/>
    <x v="0"/>
    <x v="1"/>
    <s v="UX401"/>
    <x v="4"/>
    <n v="67990"/>
    <x v="3"/>
    <s v="UI/UX Design"/>
  </r>
  <r>
    <n v="2129"/>
    <s v="404-0353138"/>
    <s v="35313"/>
    <x v="0"/>
    <n v="18"/>
    <x v="312"/>
    <x v="10"/>
    <x v="1"/>
    <x v="2"/>
    <s v="DM101"/>
    <x v="2"/>
    <n v="85499"/>
    <x v="92"/>
    <s v="Digial marketing"/>
  </r>
  <r>
    <n v="2130"/>
    <s v="406-0846188"/>
    <s v="84618"/>
    <x v="0"/>
    <n v="49"/>
    <x v="312"/>
    <x v="10"/>
    <x v="0"/>
    <x v="0"/>
    <s v="DM101"/>
    <x v="2"/>
    <n v="85499"/>
    <x v="16"/>
    <s v="Digial marketing"/>
  </r>
  <r>
    <n v="2131"/>
    <s v="402-1068814"/>
    <s v="10688"/>
    <x v="1"/>
    <n v="19"/>
    <x v="312"/>
    <x v="10"/>
    <x v="1"/>
    <x v="1"/>
    <s v="DM101"/>
    <x v="2"/>
    <n v="85499"/>
    <x v="3"/>
    <s v="Digial marketing"/>
  </r>
  <r>
    <n v="2132"/>
    <s v="404-5895316"/>
    <s v="58953"/>
    <x v="0"/>
    <n v="34"/>
    <x v="312"/>
    <x v="10"/>
    <x v="0"/>
    <x v="0"/>
    <s v="DA202"/>
    <x v="0"/>
    <n v="79999"/>
    <x v="82"/>
    <s v="Data analytics"/>
  </r>
  <r>
    <n v="2133"/>
    <s v="407-6461773"/>
    <s v="64617"/>
    <x v="0"/>
    <n v="22"/>
    <x v="312"/>
    <x v="10"/>
    <x v="0"/>
    <x v="6"/>
    <s v="DA202"/>
    <x v="0"/>
    <n v="79999"/>
    <x v="566"/>
    <s v="Data analytics"/>
  </r>
  <r>
    <n v="2134"/>
    <s v="403-2548952"/>
    <s v="25489"/>
    <x v="1"/>
    <n v="39"/>
    <x v="312"/>
    <x v="10"/>
    <x v="0"/>
    <x v="4"/>
    <s v="DM101"/>
    <x v="2"/>
    <n v="85499"/>
    <x v="16"/>
    <s v="Digial marketing"/>
  </r>
  <r>
    <n v="2135"/>
    <s v="171-8791649"/>
    <s v="87916"/>
    <x v="0"/>
    <n v="60"/>
    <x v="312"/>
    <x v="10"/>
    <x v="0"/>
    <x v="1"/>
    <s v="DM101"/>
    <x v="2"/>
    <n v="85499"/>
    <x v="145"/>
    <s v="Digial marketing"/>
  </r>
  <r>
    <n v="2136"/>
    <s v="402-4278434"/>
    <s v="42784"/>
    <x v="0"/>
    <n v="19"/>
    <x v="313"/>
    <x v="10"/>
    <x v="0"/>
    <x v="1"/>
    <s v="BA301"/>
    <x v="1"/>
    <n v="59999"/>
    <x v="29"/>
    <s v="Business analytics"/>
  </r>
  <r>
    <n v="2137"/>
    <s v="407-6297503"/>
    <s v="62975"/>
    <x v="0"/>
    <n v="22"/>
    <x v="313"/>
    <x v="10"/>
    <x v="0"/>
    <x v="1"/>
    <s v="DA202"/>
    <x v="0"/>
    <n v="79999"/>
    <x v="15"/>
    <s v="Data analytics"/>
  </r>
  <r>
    <n v="2138"/>
    <s v="402-0673849"/>
    <s v="67384"/>
    <x v="0"/>
    <n v="45"/>
    <x v="313"/>
    <x v="10"/>
    <x v="0"/>
    <x v="0"/>
    <s v="DA202"/>
    <x v="0"/>
    <n v="79999"/>
    <x v="32"/>
    <s v="Data analytics"/>
  </r>
  <r>
    <n v="2139"/>
    <s v="403-7509653"/>
    <s v="75096"/>
    <x v="0"/>
    <n v="41"/>
    <x v="313"/>
    <x v="10"/>
    <x v="0"/>
    <x v="2"/>
    <s v="DA202"/>
    <x v="0"/>
    <n v="79999"/>
    <x v="567"/>
    <s v="Data analytics"/>
  </r>
  <r>
    <n v="2140"/>
    <s v="406-9767961"/>
    <s v="97679"/>
    <x v="1"/>
    <n v="19"/>
    <x v="313"/>
    <x v="10"/>
    <x v="0"/>
    <x v="1"/>
    <s v="BA301"/>
    <x v="1"/>
    <n v="59999"/>
    <x v="32"/>
    <s v="Business analytics"/>
  </r>
  <r>
    <n v="2141"/>
    <s v="404-2464224"/>
    <s v="24642"/>
    <x v="0"/>
    <n v="22"/>
    <x v="313"/>
    <x v="10"/>
    <x v="0"/>
    <x v="0"/>
    <s v="DM101"/>
    <x v="2"/>
    <n v="85499"/>
    <x v="347"/>
    <s v="Digial marketing"/>
  </r>
  <r>
    <n v="2142"/>
    <s v="407-1263970"/>
    <s v="12639"/>
    <x v="0"/>
    <n v="24"/>
    <x v="314"/>
    <x v="10"/>
    <x v="0"/>
    <x v="1"/>
    <s v="DM101"/>
    <x v="2"/>
    <n v="85499"/>
    <x v="80"/>
    <s v="Digial marketing"/>
  </r>
  <r>
    <n v="2143"/>
    <s v="406-1516962"/>
    <s v="15169"/>
    <x v="0"/>
    <n v="32"/>
    <x v="314"/>
    <x v="10"/>
    <x v="0"/>
    <x v="2"/>
    <s v="DA202"/>
    <x v="0"/>
    <n v="79999"/>
    <x v="568"/>
    <s v="Data analytics"/>
  </r>
  <r>
    <n v="2144"/>
    <s v="406-7440325"/>
    <s v="74403"/>
    <x v="0"/>
    <n v="57"/>
    <x v="314"/>
    <x v="10"/>
    <x v="0"/>
    <x v="2"/>
    <s v="DM101"/>
    <x v="2"/>
    <n v="85499"/>
    <x v="263"/>
    <s v="Digial marketing"/>
  </r>
  <r>
    <n v="2145"/>
    <s v="407-8642951"/>
    <s v="86429"/>
    <x v="0"/>
    <n v="25"/>
    <x v="314"/>
    <x v="10"/>
    <x v="0"/>
    <x v="2"/>
    <s v="BA301"/>
    <x v="1"/>
    <n v="59999"/>
    <x v="569"/>
    <s v="Business analytics"/>
  </r>
  <r>
    <n v="2146"/>
    <s v="405-4618669"/>
    <s v="46186"/>
    <x v="1"/>
    <n v="19"/>
    <x v="314"/>
    <x v="10"/>
    <x v="0"/>
    <x v="6"/>
    <s v="DA202"/>
    <x v="0"/>
    <n v="79999"/>
    <x v="9"/>
    <s v="Data analytics"/>
  </r>
  <r>
    <n v="2147"/>
    <s v="403-3796522"/>
    <s v="37965"/>
    <x v="1"/>
    <n v="22"/>
    <x v="314"/>
    <x v="10"/>
    <x v="0"/>
    <x v="0"/>
    <s v="BA301"/>
    <x v="1"/>
    <n v="59999"/>
    <x v="9"/>
    <s v="Business analytics"/>
  </r>
  <r>
    <n v="2148"/>
    <s v="404-2480544"/>
    <s v="24805"/>
    <x v="0"/>
    <n v="72"/>
    <x v="315"/>
    <x v="10"/>
    <x v="0"/>
    <x v="1"/>
    <s v="DA202"/>
    <x v="0"/>
    <n v="79999"/>
    <x v="200"/>
    <s v="Data analytics"/>
  </r>
  <r>
    <n v="2149"/>
    <s v="171-0913446"/>
    <s v="91344"/>
    <x v="0"/>
    <n v="60"/>
    <x v="315"/>
    <x v="10"/>
    <x v="0"/>
    <x v="1"/>
    <s v="BA301"/>
    <x v="1"/>
    <n v="59999"/>
    <x v="570"/>
    <s v="Business analytics"/>
  </r>
  <r>
    <n v="2150"/>
    <s v="404-8625194"/>
    <s v="86251"/>
    <x v="1"/>
    <n v="35"/>
    <x v="315"/>
    <x v="10"/>
    <x v="0"/>
    <x v="1"/>
    <s v="DM101"/>
    <x v="2"/>
    <n v="85499"/>
    <x v="571"/>
    <s v="Digial marketing"/>
  </r>
  <r>
    <n v="2151"/>
    <s v="405-3874835"/>
    <s v="38748"/>
    <x v="0"/>
    <n v="21"/>
    <x v="315"/>
    <x v="10"/>
    <x v="0"/>
    <x v="2"/>
    <s v="UX401"/>
    <x v="4"/>
    <n v="67990"/>
    <x v="572"/>
    <s v="UI/UX Design"/>
  </r>
  <r>
    <n v="2152"/>
    <s v="171-2600022"/>
    <s v="26000"/>
    <x v="0"/>
    <n v="30"/>
    <x v="315"/>
    <x v="10"/>
    <x v="0"/>
    <x v="1"/>
    <s v="DM101"/>
    <x v="2"/>
    <n v="85499"/>
    <x v="17"/>
    <s v="Digial marketing"/>
  </r>
  <r>
    <n v="2153"/>
    <s v="402-6605213"/>
    <s v="66052"/>
    <x v="0"/>
    <n v="39"/>
    <x v="315"/>
    <x v="10"/>
    <x v="0"/>
    <x v="4"/>
    <s v="UX401"/>
    <x v="4"/>
    <n v="67990"/>
    <x v="573"/>
    <s v="UI/UX Design"/>
  </r>
  <r>
    <n v="2154"/>
    <s v="171-8579295"/>
    <s v="85792"/>
    <x v="0"/>
    <n v="20"/>
    <x v="315"/>
    <x v="10"/>
    <x v="0"/>
    <x v="0"/>
    <s v="DA202"/>
    <x v="0"/>
    <n v="79999"/>
    <x v="391"/>
    <s v="Data analytics"/>
  </r>
  <r>
    <n v="2155"/>
    <s v="402-6502487"/>
    <s v="65024"/>
    <x v="0"/>
    <n v="45"/>
    <x v="315"/>
    <x v="10"/>
    <x v="0"/>
    <x v="1"/>
    <s v="DM101"/>
    <x v="2"/>
    <n v="85499"/>
    <x v="574"/>
    <s v="Digial marketing"/>
  </r>
  <r>
    <n v="2156"/>
    <s v="403-0917472"/>
    <s v="91747"/>
    <x v="0"/>
    <n v="22"/>
    <x v="315"/>
    <x v="10"/>
    <x v="0"/>
    <x v="2"/>
    <s v="BA301"/>
    <x v="1"/>
    <n v="59999"/>
    <x v="339"/>
    <s v="Business analytics"/>
  </r>
  <r>
    <n v="2157"/>
    <s v="171-6043487"/>
    <s v="60434"/>
    <x v="0"/>
    <n v="29"/>
    <x v="316"/>
    <x v="10"/>
    <x v="0"/>
    <x v="0"/>
    <s v="DM101"/>
    <x v="2"/>
    <n v="85499"/>
    <x v="575"/>
    <s v="Digial marketing"/>
  </r>
  <r>
    <n v="2158"/>
    <s v="405-7095372"/>
    <s v="70953"/>
    <x v="0"/>
    <n v="18"/>
    <x v="316"/>
    <x v="10"/>
    <x v="0"/>
    <x v="2"/>
    <s v="DA202"/>
    <x v="0"/>
    <n v="79999"/>
    <x v="3"/>
    <s v="Data analytics"/>
  </r>
  <r>
    <n v="2159"/>
    <s v="403-9843251"/>
    <s v="98432"/>
    <x v="0"/>
    <n v="41"/>
    <x v="316"/>
    <x v="10"/>
    <x v="0"/>
    <x v="6"/>
    <s v="BA301"/>
    <x v="1"/>
    <n v="59999"/>
    <x v="5"/>
    <s v="Business analytics"/>
  </r>
  <r>
    <n v="2160"/>
    <s v="407-3395769"/>
    <s v="33957"/>
    <x v="0"/>
    <n v="24"/>
    <x v="316"/>
    <x v="10"/>
    <x v="0"/>
    <x v="2"/>
    <s v="FSD103"/>
    <x v="3"/>
    <n v="109990"/>
    <x v="15"/>
    <s v="Full stack development"/>
  </r>
  <r>
    <n v="2161"/>
    <s v="403-4321648"/>
    <s v="43216"/>
    <x v="0"/>
    <n v="26"/>
    <x v="316"/>
    <x v="10"/>
    <x v="0"/>
    <x v="3"/>
    <s v="DM101"/>
    <x v="2"/>
    <n v="85499"/>
    <x v="3"/>
    <s v="Digial marketing"/>
  </r>
  <r>
    <n v="2162"/>
    <s v="403-0742597"/>
    <s v="74259"/>
    <x v="1"/>
    <n v="35"/>
    <x v="316"/>
    <x v="10"/>
    <x v="0"/>
    <x v="2"/>
    <s v="DA202"/>
    <x v="0"/>
    <n v="79999"/>
    <x v="17"/>
    <s v="Data analytics"/>
  </r>
  <r>
    <n v="2163"/>
    <s v="404-1643229"/>
    <s v="16432"/>
    <x v="1"/>
    <n v="67"/>
    <x v="317"/>
    <x v="10"/>
    <x v="0"/>
    <x v="0"/>
    <s v="UX401"/>
    <x v="4"/>
    <n v="67990"/>
    <x v="31"/>
    <s v="UI/UX Design"/>
  </r>
  <r>
    <n v="2164"/>
    <s v="404-7183519"/>
    <s v="71835"/>
    <x v="0"/>
    <n v="66"/>
    <x v="317"/>
    <x v="10"/>
    <x v="1"/>
    <x v="1"/>
    <s v="DA202"/>
    <x v="0"/>
    <n v="79999"/>
    <x v="16"/>
    <s v="Data analytics"/>
  </r>
  <r>
    <n v="2165"/>
    <s v="406-9224821"/>
    <s v="92248"/>
    <x v="0"/>
    <n v="27"/>
    <x v="317"/>
    <x v="10"/>
    <x v="0"/>
    <x v="2"/>
    <s v="DM101"/>
    <x v="2"/>
    <n v="85499"/>
    <x v="339"/>
    <s v="Digial marketing"/>
  </r>
  <r>
    <n v="2166"/>
    <s v="403-3521154"/>
    <s v="35211"/>
    <x v="1"/>
    <n v="58"/>
    <x v="317"/>
    <x v="10"/>
    <x v="2"/>
    <x v="0"/>
    <s v="BA301"/>
    <x v="1"/>
    <n v="59999"/>
    <x v="424"/>
    <s v="Business analytics"/>
  </r>
  <r>
    <n v="2167"/>
    <s v="402-7657456"/>
    <s v="76574"/>
    <x v="0"/>
    <n v="27"/>
    <x v="317"/>
    <x v="10"/>
    <x v="0"/>
    <x v="1"/>
    <s v="DA202"/>
    <x v="0"/>
    <n v="79999"/>
    <x v="3"/>
    <s v="Data analytics"/>
  </r>
  <r>
    <n v="2168"/>
    <s v="405-0075904"/>
    <s v="75904"/>
    <x v="0"/>
    <n v="31"/>
    <x v="317"/>
    <x v="10"/>
    <x v="0"/>
    <x v="0"/>
    <s v="BA301"/>
    <x v="1"/>
    <n v="59999"/>
    <x v="31"/>
    <s v="Business analytics"/>
  </r>
  <r>
    <n v="2169"/>
    <s v="403-7195818"/>
    <s v="71958"/>
    <x v="1"/>
    <n v="36"/>
    <x v="317"/>
    <x v="10"/>
    <x v="0"/>
    <x v="0"/>
    <s v="UX401"/>
    <x v="4"/>
    <n v="67990"/>
    <x v="3"/>
    <s v="UI/UX Design"/>
  </r>
  <r>
    <n v="2170"/>
    <s v="408-1985955"/>
    <s v="19859"/>
    <x v="0"/>
    <n v="25"/>
    <x v="317"/>
    <x v="10"/>
    <x v="0"/>
    <x v="1"/>
    <s v="DM101"/>
    <x v="2"/>
    <n v="85499"/>
    <x v="356"/>
    <s v="Digial marketing"/>
  </r>
  <r>
    <n v="2171"/>
    <s v="403-3543997"/>
    <s v="35439"/>
    <x v="0"/>
    <n v="49"/>
    <x v="317"/>
    <x v="10"/>
    <x v="0"/>
    <x v="6"/>
    <s v="BA301"/>
    <x v="1"/>
    <n v="59999"/>
    <x v="360"/>
    <s v="Business analytics"/>
  </r>
  <r>
    <n v="2172"/>
    <s v="405-1058598"/>
    <s v="10585"/>
    <x v="1"/>
    <n v="20"/>
    <x v="318"/>
    <x v="10"/>
    <x v="0"/>
    <x v="5"/>
    <s v="DA202"/>
    <x v="0"/>
    <n v="79999"/>
    <x v="9"/>
    <s v="Data analytics"/>
  </r>
  <r>
    <n v="2173"/>
    <s v="404-0065388"/>
    <s v="65388"/>
    <x v="0"/>
    <n v="19"/>
    <x v="318"/>
    <x v="10"/>
    <x v="0"/>
    <x v="6"/>
    <s v="DA202"/>
    <x v="0"/>
    <n v="79999"/>
    <x v="3"/>
    <s v="Data analytics"/>
  </r>
  <r>
    <n v="2174"/>
    <s v="171-8678391"/>
    <s v="86783"/>
    <x v="1"/>
    <n v="40"/>
    <x v="318"/>
    <x v="10"/>
    <x v="1"/>
    <x v="1"/>
    <s v="DA202"/>
    <x v="0"/>
    <n v="79999"/>
    <x v="9"/>
    <s v="Data analytics"/>
  </r>
  <r>
    <n v="2175"/>
    <s v="405-5978684"/>
    <s v="59786"/>
    <x v="1"/>
    <n v="78"/>
    <x v="318"/>
    <x v="10"/>
    <x v="0"/>
    <x v="6"/>
    <s v="DM101"/>
    <x v="2"/>
    <n v="85499"/>
    <x v="15"/>
    <s v="Digial marketing"/>
  </r>
  <r>
    <n v="2176"/>
    <s v="171-9831778"/>
    <s v="98317"/>
    <x v="1"/>
    <n v="42"/>
    <x v="318"/>
    <x v="10"/>
    <x v="0"/>
    <x v="4"/>
    <s v="DM101"/>
    <x v="2"/>
    <n v="85499"/>
    <x v="16"/>
    <s v="Digial marketing"/>
  </r>
  <r>
    <n v="2177"/>
    <s v="407-1379331"/>
    <s v="13793"/>
    <x v="0"/>
    <n v="40"/>
    <x v="318"/>
    <x v="10"/>
    <x v="0"/>
    <x v="1"/>
    <s v="UX401"/>
    <x v="4"/>
    <n v="67990"/>
    <x v="14"/>
    <s v="UI/UX Design"/>
  </r>
  <r>
    <n v="2178"/>
    <s v="408-6744039"/>
    <s v="67440"/>
    <x v="0"/>
    <n v="20"/>
    <x v="319"/>
    <x v="10"/>
    <x v="0"/>
    <x v="0"/>
    <s v="DA202"/>
    <x v="0"/>
    <n v="79999"/>
    <x v="56"/>
    <s v="Data analytics"/>
  </r>
  <r>
    <n v="2179"/>
    <s v="408-0091009"/>
    <s v="91009"/>
    <x v="0"/>
    <n v="77"/>
    <x v="319"/>
    <x v="10"/>
    <x v="0"/>
    <x v="1"/>
    <s v="FSD103"/>
    <x v="3"/>
    <n v="109990"/>
    <x v="174"/>
    <s v="Full stack development"/>
  </r>
  <r>
    <n v="2180"/>
    <s v="407-5838255"/>
    <s v="58382"/>
    <x v="0"/>
    <n v="48"/>
    <x v="319"/>
    <x v="10"/>
    <x v="0"/>
    <x v="2"/>
    <s v="BA301"/>
    <x v="1"/>
    <n v="59999"/>
    <x v="41"/>
    <s v="Business analytics"/>
  </r>
  <r>
    <n v="2181"/>
    <s v="406-4355482"/>
    <s v="43554"/>
    <x v="1"/>
    <n v="34"/>
    <x v="319"/>
    <x v="10"/>
    <x v="0"/>
    <x v="3"/>
    <s v="DA202"/>
    <x v="0"/>
    <n v="79999"/>
    <x v="391"/>
    <s v="Data analytics"/>
  </r>
  <r>
    <n v="2182"/>
    <s v="404-4102579"/>
    <s v="41025"/>
    <x v="0"/>
    <n v="22"/>
    <x v="319"/>
    <x v="10"/>
    <x v="0"/>
    <x v="0"/>
    <s v="DA202"/>
    <x v="0"/>
    <n v="79999"/>
    <x v="286"/>
    <s v="Data analytics"/>
  </r>
  <r>
    <n v="2183"/>
    <s v="405-2145174"/>
    <s v="21451"/>
    <x v="1"/>
    <n v="41"/>
    <x v="319"/>
    <x v="10"/>
    <x v="0"/>
    <x v="1"/>
    <s v="DA202"/>
    <x v="0"/>
    <n v="79999"/>
    <x v="16"/>
    <s v="Data analytics"/>
  </r>
  <r>
    <n v="2184"/>
    <s v="171-3874425"/>
    <s v="38744"/>
    <x v="0"/>
    <n v="26"/>
    <x v="319"/>
    <x v="10"/>
    <x v="0"/>
    <x v="1"/>
    <s v="DM101"/>
    <x v="2"/>
    <n v="85499"/>
    <x v="3"/>
    <s v="Digial marketing"/>
  </r>
  <r>
    <n v="2185"/>
    <s v="407-0621983"/>
    <s v="62198"/>
    <x v="0"/>
    <n v="31"/>
    <x v="320"/>
    <x v="10"/>
    <x v="0"/>
    <x v="2"/>
    <s v="UX401"/>
    <x v="4"/>
    <n v="67990"/>
    <x v="576"/>
    <s v="UI/UX Design"/>
  </r>
  <r>
    <n v="2186"/>
    <s v="408-0881227"/>
    <s v="88122"/>
    <x v="0"/>
    <n v="23"/>
    <x v="320"/>
    <x v="10"/>
    <x v="0"/>
    <x v="2"/>
    <s v="DA202"/>
    <x v="0"/>
    <n v="79999"/>
    <x v="29"/>
    <s v="Data analytics"/>
  </r>
  <r>
    <n v="2187"/>
    <s v="408-6676412"/>
    <s v="66764"/>
    <x v="1"/>
    <n v="37"/>
    <x v="320"/>
    <x v="10"/>
    <x v="0"/>
    <x v="1"/>
    <s v="DM101"/>
    <x v="2"/>
    <n v="85499"/>
    <x v="32"/>
    <s v="Digial marketing"/>
  </r>
  <r>
    <n v="2188"/>
    <s v="171-6732909"/>
    <s v="67329"/>
    <x v="0"/>
    <n v="37"/>
    <x v="320"/>
    <x v="10"/>
    <x v="0"/>
    <x v="2"/>
    <s v="UX401"/>
    <x v="4"/>
    <n v="67990"/>
    <x v="110"/>
    <s v="UI/UX Design"/>
  </r>
  <r>
    <n v="2189"/>
    <s v="403-5815063"/>
    <s v="58150"/>
    <x v="0"/>
    <n v="24"/>
    <x v="321"/>
    <x v="10"/>
    <x v="0"/>
    <x v="1"/>
    <s v="DM101"/>
    <x v="2"/>
    <n v="85499"/>
    <x v="49"/>
    <s v="Digial marketing"/>
  </r>
  <r>
    <n v="2190"/>
    <s v="407-4132467"/>
    <s v="41324"/>
    <x v="0"/>
    <n v="67"/>
    <x v="321"/>
    <x v="10"/>
    <x v="0"/>
    <x v="1"/>
    <s v="DA202"/>
    <x v="0"/>
    <n v="79999"/>
    <x v="83"/>
    <s v="Data analytics"/>
  </r>
  <r>
    <n v="2191"/>
    <s v="406-6147757"/>
    <s v="61477"/>
    <x v="0"/>
    <n v="43"/>
    <x v="321"/>
    <x v="10"/>
    <x v="0"/>
    <x v="2"/>
    <s v="DM101"/>
    <x v="2"/>
    <n v="85499"/>
    <x v="49"/>
    <s v="Digial marketing"/>
  </r>
  <r>
    <n v="2192"/>
    <s v="171-3202123"/>
    <s v="32021"/>
    <x v="0"/>
    <n v="71"/>
    <x v="321"/>
    <x v="10"/>
    <x v="0"/>
    <x v="0"/>
    <s v="UX401"/>
    <x v="4"/>
    <n v="67990"/>
    <x v="56"/>
    <s v="UI/UX Design"/>
  </r>
  <r>
    <n v="2193"/>
    <s v="408-3894523"/>
    <s v="38945"/>
    <x v="1"/>
    <n v="44"/>
    <x v="321"/>
    <x v="10"/>
    <x v="0"/>
    <x v="2"/>
    <s v="DM101"/>
    <x v="2"/>
    <n v="85499"/>
    <x v="32"/>
    <s v="Digial marketing"/>
  </r>
  <r>
    <n v="2194"/>
    <s v="406-8457885"/>
    <s v="84578"/>
    <x v="0"/>
    <n v="33"/>
    <x v="321"/>
    <x v="10"/>
    <x v="0"/>
    <x v="1"/>
    <s v="DA202"/>
    <x v="0"/>
    <n v="79999"/>
    <x v="235"/>
    <s v="Data analytics"/>
  </r>
  <r>
    <n v="2195"/>
    <s v="403-6073591"/>
    <s v="60735"/>
    <x v="1"/>
    <n v="28"/>
    <x v="321"/>
    <x v="10"/>
    <x v="2"/>
    <x v="1"/>
    <s v="DA202"/>
    <x v="0"/>
    <n v="79999"/>
    <x v="128"/>
    <s v="Data analytics"/>
  </r>
  <r>
    <n v="2196"/>
    <s v="171-3747283"/>
    <s v="37472"/>
    <x v="1"/>
    <n v="46"/>
    <x v="321"/>
    <x v="10"/>
    <x v="0"/>
    <x v="0"/>
    <s v="DM101"/>
    <x v="2"/>
    <n v="85499"/>
    <x v="16"/>
    <s v="Digial marketing"/>
  </r>
  <r>
    <n v="2197"/>
    <s v="403-9170808"/>
    <s v="91708"/>
    <x v="0"/>
    <n v="47"/>
    <x v="321"/>
    <x v="10"/>
    <x v="0"/>
    <x v="1"/>
    <s v="DA202"/>
    <x v="0"/>
    <n v="79999"/>
    <x v="91"/>
    <s v="Data analytics"/>
  </r>
  <r>
    <n v="2198"/>
    <s v="407-1515405"/>
    <s v="15154"/>
    <x v="0"/>
    <n v="74"/>
    <x v="322"/>
    <x v="10"/>
    <x v="1"/>
    <x v="2"/>
    <s v="DM101"/>
    <x v="2"/>
    <n v="85499"/>
    <x v="255"/>
    <s v="Digial marketing"/>
  </r>
  <r>
    <n v="2199"/>
    <s v="405-5734480"/>
    <s v="57344"/>
    <x v="0"/>
    <n v="25"/>
    <x v="322"/>
    <x v="10"/>
    <x v="0"/>
    <x v="1"/>
    <s v="DA202"/>
    <x v="0"/>
    <n v="79999"/>
    <x v="47"/>
    <s v="Data analytics"/>
  </r>
  <r>
    <n v="2200"/>
    <s v="407-4683912"/>
    <s v="46839"/>
    <x v="0"/>
    <n v="39"/>
    <x v="322"/>
    <x v="10"/>
    <x v="0"/>
    <x v="4"/>
    <s v="DM101"/>
    <x v="2"/>
    <n v="85499"/>
    <x v="577"/>
    <s v="Digial marketing"/>
  </r>
  <r>
    <n v="2201"/>
    <s v="403-1332699"/>
    <s v="13326"/>
    <x v="0"/>
    <n v="71"/>
    <x v="322"/>
    <x v="10"/>
    <x v="0"/>
    <x v="2"/>
    <s v="DM101"/>
    <x v="2"/>
    <n v="85499"/>
    <x v="3"/>
    <s v="Digial marketing"/>
  </r>
  <r>
    <n v="2202"/>
    <s v="406-5215354"/>
    <s v="52153"/>
    <x v="1"/>
    <n v="19"/>
    <x v="322"/>
    <x v="10"/>
    <x v="0"/>
    <x v="1"/>
    <s v="DM101"/>
    <x v="2"/>
    <n v="85499"/>
    <x v="9"/>
    <s v="Digial marketing"/>
  </r>
  <r>
    <n v="2203"/>
    <s v="406-9447226"/>
    <s v="94472"/>
    <x v="0"/>
    <n v="29"/>
    <x v="322"/>
    <x v="10"/>
    <x v="0"/>
    <x v="1"/>
    <s v="DA202"/>
    <x v="0"/>
    <n v="79999"/>
    <x v="578"/>
    <s v="Data analytics"/>
  </r>
  <r>
    <n v="2204"/>
    <s v="404-8439223"/>
    <s v="84392"/>
    <x v="0"/>
    <n v="18"/>
    <x v="322"/>
    <x v="10"/>
    <x v="0"/>
    <x v="0"/>
    <s v="DM101"/>
    <x v="2"/>
    <n v="85499"/>
    <x v="15"/>
    <s v="Digial marketing"/>
  </r>
  <r>
    <n v="2205"/>
    <s v="407-1214634"/>
    <s v="12146"/>
    <x v="0"/>
    <n v="24"/>
    <x v="322"/>
    <x v="10"/>
    <x v="0"/>
    <x v="1"/>
    <s v="DM101"/>
    <x v="2"/>
    <n v="85499"/>
    <x v="15"/>
    <s v="Digial marketing"/>
  </r>
  <r>
    <n v="2206"/>
    <s v="405-0682326"/>
    <s v="68232"/>
    <x v="1"/>
    <n v="30"/>
    <x v="322"/>
    <x v="10"/>
    <x v="0"/>
    <x v="2"/>
    <s v="DM101"/>
    <x v="2"/>
    <n v="85499"/>
    <x v="49"/>
    <s v="Digial marketing"/>
  </r>
  <r>
    <n v="2207"/>
    <s v="407-8405721"/>
    <s v="84057"/>
    <x v="1"/>
    <n v="38"/>
    <x v="322"/>
    <x v="10"/>
    <x v="0"/>
    <x v="4"/>
    <s v="DA202"/>
    <x v="0"/>
    <n v="79999"/>
    <x v="16"/>
    <s v="Data analytics"/>
  </r>
  <r>
    <n v="2208"/>
    <s v="406-4126879"/>
    <s v="41268"/>
    <x v="0"/>
    <n v="38"/>
    <x v="322"/>
    <x v="10"/>
    <x v="0"/>
    <x v="2"/>
    <s v="DA202"/>
    <x v="0"/>
    <n v="79999"/>
    <x v="17"/>
    <s v="Data analytics"/>
  </r>
  <r>
    <n v="2209"/>
    <s v="402-4627834"/>
    <s v="46278"/>
    <x v="0"/>
    <n v="41"/>
    <x v="322"/>
    <x v="10"/>
    <x v="0"/>
    <x v="1"/>
    <s v="DM101"/>
    <x v="2"/>
    <n v="85499"/>
    <x v="24"/>
    <s v="Digial marketing"/>
  </r>
  <r>
    <n v="2210"/>
    <s v="408-9913530"/>
    <s v="99135"/>
    <x v="1"/>
    <n v="20"/>
    <x v="323"/>
    <x v="10"/>
    <x v="0"/>
    <x v="2"/>
    <s v="BA301"/>
    <x v="1"/>
    <n v="59999"/>
    <x v="106"/>
    <s v="Business analytics"/>
  </r>
  <r>
    <n v="2211"/>
    <s v="408-1061002"/>
    <s v="10610"/>
    <x v="0"/>
    <n v="29"/>
    <x v="323"/>
    <x v="10"/>
    <x v="0"/>
    <x v="2"/>
    <s v="DM101"/>
    <x v="2"/>
    <n v="85499"/>
    <x v="579"/>
    <s v="Digial marketing"/>
  </r>
  <r>
    <n v="2212"/>
    <s v="408-0185390"/>
    <s v="18539"/>
    <x v="1"/>
    <n v="27"/>
    <x v="323"/>
    <x v="10"/>
    <x v="0"/>
    <x v="6"/>
    <s v="DM101"/>
    <x v="2"/>
    <n v="85499"/>
    <x v="580"/>
    <s v="Digial marketing"/>
  </r>
  <r>
    <n v="2213"/>
    <s v="405-5911006"/>
    <s v="59110"/>
    <x v="0"/>
    <n v="29"/>
    <x v="323"/>
    <x v="10"/>
    <x v="0"/>
    <x v="4"/>
    <s v="BA301"/>
    <x v="1"/>
    <n v="59999"/>
    <x v="3"/>
    <s v="Business analytics"/>
  </r>
  <r>
    <n v="2214"/>
    <s v="408-7405550"/>
    <s v="74055"/>
    <x v="1"/>
    <n v="23"/>
    <x v="323"/>
    <x v="10"/>
    <x v="0"/>
    <x v="0"/>
    <s v="DM101"/>
    <x v="2"/>
    <n v="85499"/>
    <x v="9"/>
    <s v="Digial marketing"/>
  </r>
  <r>
    <n v="2215"/>
    <s v="404-1360799"/>
    <s v="13607"/>
    <x v="1"/>
    <n v="72"/>
    <x v="323"/>
    <x v="10"/>
    <x v="0"/>
    <x v="3"/>
    <s v="UX401"/>
    <x v="4"/>
    <n v="67990"/>
    <x v="581"/>
    <s v="UI/UX Design"/>
  </r>
  <r>
    <n v="2216"/>
    <s v="405-9350802"/>
    <s v="93508"/>
    <x v="0"/>
    <n v="48"/>
    <x v="324"/>
    <x v="10"/>
    <x v="0"/>
    <x v="1"/>
    <s v="DM101"/>
    <x v="2"/>
    <n v="85499"/>
    <x v="255"/>
    <s v="Digial marketing"/>
  </r>
  <r>
    <n v="2217"/>
    <s v="403-6221872"/>
    <s v="62218"/>
    <x v="1"/>
    <n v="20"/>
    <x v="324"/>
    <x v="10"/>
    <x v="2"/>
    <x v="1"/>
    <s v="BA301"/>
    <x v="1"/>
    <n v="59999"/>
    <x v="16"/>
    <s v="Business analytics"/>
  </r>
  <r>
    <n v="2218"/>
    <s v="403-7908182"/>
    <s v="79081"/>
    <x v="1"/>
    <n v="35"/>
    <x v="324"/>
    <x v="10"/>
    <x v="0"/>
    <x v="2"/>
    <s v="BA301"/>
    <x v="1"/>
    <n v="59999"/>
    <x v="40"/>
    <s v="Business analytics"/>
  </r>
  <r>
    <n v="2219"/>
    <s v="404-4383538"/>
    <s v="43835"/>
    <x v="0"/>
    <n v="40"/>
    <x v="324"/>
    <x v="10"/>
    <x v="0"/>
    <x v="1"/>
    <s v="DM101"/>
    <x v="2"/>
    <n v="85499"/>
    <x v="32"/>
    <s v="Digial marketing"/>
  </r>
  <r>
    <n v="2220"/>
    <s v="403-2216196"/>
    <s v="22161"/>
    <x v="0"/>
    <n v="29"/>
    <x v="324"/>
    <x v="10"/>
    <x v="0"/>
    <x v="6"/>
    <s v="AI001"/>
    <x v="5"/>
    <n v="119990"/>
    <x v="571"/>
    <s v="AI &amp; ML"/>
  </r>
  <r>
    <n v="2221"/>
    <s v="403-2894081"/>
    <s v="28940"/>
    <x v="0"/>
    <n v="24"/>
    <x v="325"/>
    <x v="10"/>
    <x v="0"/>
    <x v="0"/>
    <s v="UX401"/>
    <x v="4"/>
    <n v="67990"/>
    <x v="49"/>
    <s v="UI/UX Design"/>
  </r>
  <r>
    <n v="2222"/>
    <s v="402-8664121"/>
    <s v="86641"/>
    <x v="0"/>
    <n v="54"/>
    <x v="325"/>
    <x v="10"/>
    <x v="0"/>
    <x v="3"/>
    <s v="DM101"/>
    <x v="2"/>
    <n v="85499"/>
    <x v="49"/>
    <s v="Digial marketing"/>
  </r>
  <r>
    <n v="2223"/>
    <s v="171-0089766"/>
    <s v="89766"/>
    <x v="0"/>
    <n v="45"/>
    <x v="325"/>
    <x v="10"/>
    <x v="0"/>
    <x v="1"/>
    <s v="DM101"/>
    <x v="2"/>
    <n v="85499"/>
    <x v="62"/>
    <s v="Digial marketing"/>
  </r>
  <r>
    <n v="2224"/>
    <s v="402-6763947"/>
    <s v="67639"/>
    <x v="0"/>
    <n v="48"/>
    <x v="325"/>
    <x v="10"/>
    <x v="0"/>
    <x v="0"/>
    <s v="DA202"/>
    <x v="0"/>
    <n v="79999"/>
    <x v="9"/>
    <s v="Data analytics"/>
  </r>
  <r>
    <n v="2225"/>
    <s v="408-5244855"/>
    <s v="52448"/>
    <x v="0"/>
    <n v="30"/>
    <x v="325"/>
    <x v="10"/>
    <x v="0"/>
    <x v="1"/>
    <s v="DM101"/>
    <x v="2"/>
    <n v="85499"/>
    <x v="79"/>
    <s v="Digial marketing"/>
  </r>
  <r>
    <n v="2226"/>
    <s v="404-6279164"/>
    <s v="62791"/>
    <x v="0"/>
    <n v="65"/>
    <x v="325"/>
    <x v="10"/>
    <x v="0"/>
    <x v="1"/>
    <s v="DA202"/>
    <x v="0"/>
    <n v="79999"/>
    <x v="9"/>
    <s v="Data analytics"/>
  </r>
  <r>
    <n v="2227"/>
    <s v="406-3112261"/>
    <s v="31122"/>
    <x v="0"/>
    <n v="48"/>
    <x v="325"/>
    <x v="10"/>
    <x v="0"/>
    <x v="0"/>
    <s v="DA202"/>
    <x v="0"/>
    <n v="79999"/>
    <x v="25"/>
    <s v="Data analytics"/>
  </r>
  <r>
    <n v="2228"/>
    <s v="405-9676408"/>
    <s v="96764"/>
    <x v="0"/>
    <n v="33"/>
    <x v="325"/>
    <x v="10"/>
    <x v="0"/>
    <x v="1"/>
    <s v="DA202"/>
    <x v="0"/>
    <n v="79999"/>
    <x v="31"/>
    <s v="Data analytics"/>
  </r>
  <r>
    <n v="2229"/>
    <s v="402-8254180"/>
    <s v="82541"/>
    <x v="0"/>
    <n v="31"/>
    <x v="325"/>
    <x v="10"/>
    <x v="0"/>
    <x v="1"/>
    <s v="DM101"/>
    <x v="2"/>
    <n v="85499"/>
    <x v="15"/>
    <s v="Digial marketing"/>
  </r>
  <r>
    <n v="2230"/>
    <s v="405-9021711"/>
    <s v="90217"/>
    <x v="1"/>
    <n v="75"/>
    <x v="325"/>
    <x v="10"/>
    <x v="0"/>
    <x v="2"/>
    <s v="DA202"/>
    <x v="0"/>
    <n v="79999"/>
    <x v="3"/>
    <s v="Data analytics"/>
  </r>
  <r>
    <n v="2231"/>
    <s v="406-7455297"/>
    <s v="74552"/>
    <x v="1"/>
    <n v="48"/>
    <x v="325"/>
    <x v="10"/>
    <x v="0"/>
    <x v="2"/>
    <s v="BA301"/>
    <x v="1"/>
    <n v="59999"/>
    <x v="24"/>
    <s v="Business analytics"/>
  </r>
  <r>
    <n v="2232"/>
    <s v="403-7071010"/>
    <s v="70710"/>
    <x v="0"/>
    <n v="45"/>
    <x v="326"/>
    <x v="10"/>
    <x v="0"/>
    <x v="3"/>
    <s v="DM101"/>
    <x v="2"/>
    <n v="85499"/>
    <x v="31"/>
    <s v="Digial marketing"/>
  </r>
  <r>
    <n v="2233"/>
    <s v="403-6698179"/>
    <s v="66981"/>
    <x v="0"/>
    <n v="33"/>
    <x v="326"/>
    <x v="10"/>
    <x v="0"/>
    <x v="5"/>
    <s v="DA202"/>
    <x v="0"/>
    <n v="79999"/>
    <x v="49"/>
    <s v="Data analytics"/>
  </r>
  <r>
    <n v="2234"/>
    <s v="408-5480358"/>
    <s v="54803"/>
    <x v="0"/>
    <n v="32"/>
    <x v="326"/>
    <x v="10"/>
    <x v="0"/>
    <x v="1"/>
    <s v="DM101"/>
    <x v="2"/>
    <n v="85499"/>
    <x v="582"/>
    <s v="Digial marketing"/>
  </r>
  <r>
    <n v="2235"/>
    <s v="408-3875102"/>
    <s v="38751"/>
    <x v="0"/>
    <n v="68"/>
    <x v="326"/>
    <x v="10"/>
    <x v="0"/>
    <x v="1"/>
    <s v="DA202"/>
    <x v="0"/>
    <n v="79999"/>
    <x v="583"/>
    <s v="Data analytics"/>
  </r>
  <r>
    <n v="2236"/>
    <s v="404-2769744"/>
    <s v="27697"/>
    <x v="1"/>
    <n v="43"/>
    <x v="326"/>
    <x v="10"/>
    <x v="0"/>
    <x v="1"/>
    <s v="DM101"/>
    <x v="2"/>
    <n v="85499"/>
    <x v="80"/>
    <s v="Digial marketing"/>
  </r>
  <r>
    <n v="2237"/>
    <s v="405-1105765"/>
    <s v="11057"/>
    <x v="0"/>
    <n v="28"/>
    <x v="326"/>
    <x v="10"/>
    <x v="0"/>
    <x v="1"/>
    <s v="BA301"/>
    <x v="1"/>
    <n v="59999"/>
    <x v="16"/>
    <s v="Business analytics"/>
  </r>
  <r>
    <n v="2238"/>
    <s v="406-9991724"/>
    <s v="99917"/>
    <x v="0"/>
    <n v="36"/>
    <x v="326"/>
    <x v="10"/>
    <x v="0"/>
    <x v="6"/>
    <s v="DM101"/>
    <x v="2"/>
    <n v="85499"/>
    <x v="584"/>
    <s v="Digial marketing"/>
  </r>
  <r>
    <n v="2239"/>
    <s v="403-9380885"/>
    <s v="93808"/>
    <x v="1"/>
    <n v="70"/>
    <x v="327"/>
    <x v="10"/>
    <x v="0"/>
    <x v="3"/>
    <s v="DM101"/>
    <x v="2"/>
    <n v="85499"/>
    <x v="7"/>
    <s v="Digial marketing"/>
  </r>
  <r>
    <n v="2240"/>
    <s v="406-8856991"/>
    <s v="88569"/>
    <x v="1"/>
    <n v="42"/>
    <x v="327"/>
    <x v="10"/>
    <x v="0"/>
    <x v="0"/>
    <s v="DM101"/>
    <x v="2"/>
    <n v="85499"/>
    <x v="28"/>
    <s v="Digial marketing"/>
  </r>
  <r>
    <n v="2241"/>
    <s v="405-0271059"/>
    <s v="27105"/>
    <x v="1"/>
    <n v="36"/>
    <x v="327"/>
    <x v="10"/>
    <x v="0"/>
    <x v="1"/>
    <s v="DA202"/>
    <x v="0"/>
    <n v="79999"/>
    <x v="16"/>
    <s v="Data analytics"/>
  </r>
  <r>
    <n v="2242"/>
    <s v="407-2680985"/>
    <s v="26809"/>
    <x v="1"/>
    <n v="18"/>
    <x v="327"/>
    <x v="10"/>
    <x v="0"/>
    <x v="1"/>
    <s v="DM101"/>
    <x v="2"/>
    <n v="85499"/>
    <x v="585"/>
    <s v="Digial marketing"/>
  </r>
  <r>
    <n v="2243"/>
    <s v="404-6421240"/>
    <s v="64212"/>
    <x v="1"/>
    <n v="30"/>
    <x v="327"/>
    <x v="10"/>
    <x v="0"/>
    <x v="2"/>
    <s v="DA202"/>
    <x v="0"/>
    <n v="79999"/>
    <x v="35"/>
    <s v="Data analytics"/>
  </r>
  <r>
    <n v="2244"/>
    <s v="171-8430718"/>
    <s v="84307"/>
    <x v="0"/>
    <n v="30"/>
    <x v="327"/>
    <x v="10"/>
    <x v="0"/>
    <x v="0"/>
    <s v="DM101"/>
    <x v="2"/>
    <n v="85499"/>
    <x v="586"/>
    <s v="Digial marketing"/>
  </r>
  <r>
    <n v="2245"/>
    <s v="405-8521330"/>
    <s v="85213"/>
    <x v="0"/>
    <n v="35"/>
    <x v="327"/>
    <x v="10"/>
    <x v="0"/>
    <x v="1"/>
    <s v="FSD103"/>
    <x v="3"/>
    <n v="109990"/>
    <x v="587"/>
    <s v="Full stack development"/>
  </r>
  <r>
    <n v="2246"/>
    <s v="404-1313070"/>
    <s v="13130"/>
    <x v="1"/>
    <n v="46"/>
    <x v="327"/>
    <x v="10"/>
    <x v="0"/>
    <x v="0"/>
    <s v="FSD103"/>
    <x v="3"/>
    <n v="109990"/>
    <x v="120"/>
    <s v="Full stack development"/>
  </r>
  <r>
    <n v="2247"/>
    <s v="404-9966373"/>
    <s v="99663"/>
    <x v="0"/>
    <n v="35"/>
    <x v="327"/>
    <x v="10"/>
    <x v="0"/>
    <x v="3"/>
    <s v="DM101"/>
    <x v="2"/>
    <n v="85499"/>
    <x v="80"/>
    <s v="Digial marketing"/>
  </r>
  <r>
    <n v="2248"/>
    <s v="407-8952648"/>
    <s v="89526"/>
    <x v="0"/>
    <n v="53"/>
    <x v="327"/>
    <x v="10"/>
    <x v="0"/>
    <x v="0"/>
    <s v="DM101"/>
    <x v="2"/>
    <n v="85499"/>
    <x v="11"/>
    <s v="Digial marketing"/>
  </r>
  <r>
    <n v="2249"/>
    <s v="402-7515893"/>
    <s v="75158"/>
    <x v="0"/>
    <n v="38"/>
    <x v="328"/>
    <x v="10"/>
    <x v="0"/>
    <x v="0"/>
    <s v="DA202"/>
    <x v="0"/>
    <n v="79999"/>
    <x v="588"/>
    <s v="Data analytics"/>
  </r>
  <r>
    <n v="2250"/>
    <s v="402-9154254"/>
    <s v="91542"/>
    <x v="0"/>
    <n v="53"/>
    <x v="328"/>
    <x v="10"/>
    <x v="0"/>
    <x v="3"/>
    <s v="DM101"/>
    <x v="2"/>
    <n v="85499"/>
    <x v="48"/>
    <s v="Digial marketing"/>
  </r>
  <r>
    <n v="2251"/>
    <s v="171-1859343"/>
    <s v="18593"/>
    <x v="0"/>
    <n v="48"/>
    <x v="328"/>
    <x v="10"/>
    <x v="0"/>
    <x v="6"/>
    <s v="DA202"/>
    <x v="0"/>
    <n v="79999"/>
    <x v="16"/>
    <s v="Data analytics"/>
  </r>
  <r>
    <n v="2252"/>
    <s v="406-6009210"/>
    <s v="60092"/>
    <x v="0"/>
    <n v="29"/>
    <x v="328"/>
    <x v="10"/>
    <x v="0"/>
    <x v="2"/>
    <s v="DA202"/>
    <x v="0"/>
    <n v="79999"/>
    <x v="589"/>
    <s v="Data analytics"/>
  </r>
  <r>
    <n v="2253"/>
    <s v="407-1377456"/>
    <s v="13774"/>
    <x v="0"/>
    <n v="48"/>
    <x v="328"/>
    <x v="10"/>
    <x v="0"/>
    <x v="6"/>
    <s v="DM101"/>
    <x v="2"/>
    <n v="85499"/>
    <x v="9"/>
    <s v="Digial marketing"/>
  </r>
  <r>
    <n v="2254"/>
    <s v="402-3726795"/>
    <s v="37267"/>
    <x v="1"/>
    <n v="26"/>
    <x v="329"/>
    <x v="10"/>
    <x v="0"/>
    <x v="2"/>
    <s v="BA301"/>
    <x v="1"/>
    <n v="59999"/>
    <x v="49"/>
    <s v="Business analytics"/>
  </r>
  <r>
    <n v="2255"/>
    <s v="408-9989920"/>
    <s v="99899"/>
    <x v="0"/>
    <n v="24"/>
    <x v="329"/>
    <x v="10"/>
    <x v="0"/>
    <x v="5"/>
    <s v="FSD103"/>
    <x v="3"/>
    <n v="109990"/>
    <x v="461"/>
    <s v="Full stack development"/>
  </r>
  <r>
    <n v="2256"/>
    <s v="403-4959443"/>
    <s v="49594"/>
    <x v="0"/>
    <n v="37"/>
    <x v="329"/>
    <x v="10"/>
    <x v="0"/>
    <x v="2"/>
    <s v="DA202"/>
    <x v="0"/>
    <n v="79999"/>
    <x v="79"/>
    <s v="Data analytics"/>
  </r>
  <r>
    <n v="2257"/>
    <s v="406-4743521"/>
    <s v="47435"/>
    <x v="1"/>
    <n v="32"/>
    <x v="329"/>
    <x v="10"/>
    <x v="0"/>
    <x v="6"/>
    <s v="DM101"/>
    <x v="2"/>
    <n v="85499"/>
    <x v="22"/>
    <s v="Digial marketing"/>
  </r>
  <r>
    <n v="2258"/>
    <s v="402-5712287"/>
    <s v="57122"/>
    <x v="1"/>
    <n v="45"/>
    <x v="329"/>
    <x v="10"/>
    <x v="0"/>
    <x v="6"/>
    <s v="DA202"/>
    <x v="0"/>
    <n v="79999"/>
    <x v="590"/>
    <s v="Data analytics"/>
  </r>
  <r>
    <n v="2259"/>
    <s v="408-6824015"/>
    <s v="68240"/>
    <x v="0"/>
    <n v="44"/>
    <x v="329"/>
    <x v="10"/>
    <x v="0"/>
    <x v="1"/>
    <s v="DA202"/>
    <x v="0"/>
    <n v="79999"/>
    <x v="3"/>
    <s v="Data analytics"/>
  </r>
  <r>
    <n v="2260"/>
    <s v="408-6629457"/>
    <s v="66294"/>
    <x v="0"/>
    <n v="44"/>
    <x v="330"/>
    <x v="10"/>
    <x v="0"/>
    <x v="0"/>
    <s v="DA202"/>
    <x v="0"/>
    <n v="79999"/>
    <x v="591"/>
    <s v="Data analytics"/>
  </r>
  <r>
    <n v="2261"/>
    <s v="406-8511259"/>
    <s v="85112"/>
    <x v="1"/>
    <n v="42"/>
    <x v="330"/>
    <x v="10"/>
    <x v="0"/>
    <x v="1"/>
    <s v="UX401"/>
    <x v="4"/>
    <n v="67990"/>
    <x v="422"/>
    <s v="UI/UX Design"/>
  </r>
  <r>
    <n v="2262"/>
    <s v="404-0075504"/>
    <s v="75504"/>
    <x v="1"/>
    <n v="31"/>
    <x v="330"/>
    <x v="10"/>
    <x v="0"/>
    <x v="2"/>
    <s v="DM101"/>
    <x v="2"/>
    <n v="85499"/>
    <x v="9"/>
    <s v="Digial marketing"/>
  </r>
  <r>
    <n v="2263"/>
    <s v="171-4752565"/>
    <s v="47525"/>
    <x v="0"/>
    <n v="21"/>
    <x v="330"/>
    <x v="10"/>
    <x v="0"/>
    <x v="2"/>
    <s v="DA202"/>
    <x v="0"/>
    <n v="79999"/>
    <x v="9"/>
    <s v="Data analytics"/>
  </r>
  <r>
    <n v="2264"/>
    <s v="403-6708978"/>
    <s v="67089"/>
    <x v="1"/>
    <n v="26"/>
    <x v="331"/>
    <x v="10"/>
    <x v="0"/>
    <x v="0"/>
    <s v="DM101"/>
    <x v="2"/>
    <n v="85499"/>
    <x v="16"/>
    <s v="Digial marketing"/>
  </r>
  <r>
    <n v="2265"/>
    <s v="407-2987343"/>
    <s v="29873"/>
    <x v="0"/>
    <n v="29"/>
    <x v="331"/>
    <x v="10"/>
    <x v="0"/>
    <x v="0"/>
    <s v="BA301"/>
    <x v="1"/>
    <n v="59999"/>
    <x v="402"/>
    <s v="Business analytics"/>
  </r>
  <r>
    <n v="2266"/>
    <s v="171-1658898"/>
    <s v="16588"/>
    <x v="0"/>
    <n v="48"/>
    <x v="331"/>
    <x v="10"/>
    <x v="0"/>
    <x v="1"/>
    <s v="UX401"/>
    <x v="4"/>
    <n v="67990"/>
    <x v="209"/>
    <s v="UI/UX Design"/>
  </r>
  <r>
    <n v="2267"/>
    <s v="408-7595163"/>
    <s v="75951"/>
    <x v="0"/>
    <n v="23"/>
    <x v="331"/>
    <x v="10"/>
    <x v="0"/>
    <x v="0"/>
    <s v="DA202"/>
    <x v="0"/>
    <n v="79999"/>
    <x v="592"/>
    <s v="Data analytics"/>
  </r>
  <r>
    <n v="2268"/>
    <s v="406-8167108"/>
    <s v="81671"/>
    <x v="1"/>
    <n v="63"/>
    <x v="331"/>
    <x v="10"/>
    <x v="0"/>
    <x v="1"/>
    <s v="DM101"/>
    <x v="2"/>
    <n v="85499"/>
    <x v="17"/>
    <s v="Digial marketing"/>
  </r>
  <r>
    <n v="2269"/>
    <s v="406-3506932"/>
    <s v="35069"/>
    <x v="0"/>
    <n v="28"/>
    <x v="331"/>
    <x v="10"/>
    <x v="0"/>
    <x v="3"/>
    <s v="DM101"/>
    <x v="2"/>
    <n v="85499"/>
    <x v="24"/>
    <s v="Digial marketing"/>
  </r>
  <r>
    <n v="2270"/>
    <s v="408-7593599"/>
    <s v="75935"/>
    <x v="0"/>
    <n v="34"/>
    <x v="331"/>
    <x v="10"/>
    <x v="0"/>
    <x v="0"/>
    <s v="DM101"/>
    <x v="2"/>
    <n v="85499"/>
    <x v="108"/>
    <s v="Digial marketing"/>
  </r>
  <r>
    <n v="2271"/>
    <s v="404-0167012"/>
    <s v="16701"/>
    <x v="1"/>
    <n v="27"/>
    <x v="331"/>
    <x v="10"/>
    <x v="0"/>
    <x v="0"/>
    <s v="BA301"/>
    <x v="1"/>
    <n v="59999"/>
    <x v="593"/>
    <s v="Business analytics"/>
  </r>
  <r>
    <n v="2272"/>
    <s v="408-4141363"/>
    <s v="41413"/>
    <x v="1"/>
    <n v="30"/>
    <x v="331"/>
    <x v="10"/>
    <x v="0"/>
    <x v="1"/>
    <s v="DA202"/>
    <x v="0"/>
    <n v="79999"/>
    <x v="398"/>
    <s v="Data analytics"/>
  </r>
  <r>
    <n v="2273"/>
    <s v="405-9160962"/>
    <s v="91609"/>
    <x v="0"/>
    <n v="44"/>
    <x v="332"/>
    <x v="10"/>
    <x v="1"/>
    <x v="0"/>
    <s v="DM101"/>
    <x v="2"/>
    <n v="85499"/>
    <x v="594"/>
    <s v="Digial marketing"/>
  </r>
  <r>
    <n v="2274"/>
    <s v="404-8445088"/>
    <s v="84450"/>
    <x v="1"/>
    <n v="41"/>
    <x v="332"/>
    <x v="10"/>
    <x v="0"/>
    <x v="5"/>
    <s v="DM101"/>
    <x v="2"/>
    <n v="85499"/>
    <x v="595"/>
    <s v="Digial marketing"/>
  </r>
  <r>
    <n v="2275"/>
    <s v="402-1341390"/>
    <s v="13413"/>
    <x v="1"/>
    <n v="26"/>
    <x v="332"/>
    <x v="10"/>
    <x v="0"/>
    <x v="0"/>
    <s v="DM101"/>
    <x v="2"/>
    <n v="85499"/>
    <x v="346"/>
    <s v="Digial marketing"/>
  </r>
  <r>
    <n v="2276"/>
    <s v="407-3257728"/>
    <s v="32577"/>
    <x v="1"/>
    <n v="75"/>
    <x v="332"/>
    <x v="10"/>
    <x v="0"/>
    <x v="1"/>
    <s v="DA202"/>
    <x v="0"/>
    <n v="79999"/>
    <x v="24"/>
    <s v="Data analytics"/>
  </r>
  <r>
    <n v="2277"/>
    <s v="408-0002447"/>
    <s v="2447"/>
    <x v="1"/>
    <n v="78"/>
    <x v="332"/>
    <x v="10"/>
    <x v="1"/>
    <x v="3"/>
    <s v="BA301"/>
    <x v="1"/>
    <n v="59999"/>
    <x v="15"/>
    <s v="Business analytics"/>
  </r>
  <r>
    <n v="2278"/>
    <s v="408-1513436"/>
    <s v="15134"/>
    <x v="0"/>
    <n v="45"/>
    <x v="332"/>
    <x v="10"/>
    <x v="0"/>
    <x v="1"/>
    <s v="BA301"/>
    <x v="1"/>
    <n v="59999"/>
    <x v="47"/>
    <s v="Business analytics"/>
  </r>
  <r>
    <n v="2279"/>
    <s v="408-9068476"/>
    <s v="90684"/>
    <x v="1"/>
    <n v="35"/>
    <x v="333"/>
    <x v="10"/>
    <x v="0"/>
    <x v="6"/>
    <s v="DA202"/>
    <x v="0"/>
    <n v="79999"/>
    <x v="596"/>
    <s v="Data analytics"/>
  </r>
  <r>
    <n v="2280"/>
    <s v="402-9159993"/>
    <s v="91599"/>
    <x v="0"/>
    <n v="40"/>
    <x v="333"/>
    <x v="10"/>
    <x v="0"/>
    <x v="6"/>
    <s v="DA202"/>
    <x v="0"/>
    <n v="79999"/>
    <x v="100"/>
    <s v="Data analytics"/>
  </r>
  <r>
    <n v="2281"/>
    <s v="171-3697156"/>
    <s v="36971"/>
    <x v="1"/>
    <n v="33"/>
    <x v="333"/>
    <x v="10"/>
    <x v="2"/>
    <x v="5"/>
    <s v="DM101"/>
    <x v="2"/>
    <n v="85499"/>
    <x v="115"/>
    <s v="Digial marketing"/>
  </r>
  <r>
    <n v="2282"/>
    <s v="403-0595996"/>
    <s v="59599"/>
    <x v="1"/>
    <n v="72"/>
    <x v="333"/>
    <x v="10"/>
    <x v="0"/>
    <x v="1"/>
    <s v="HR201"/>
    <x v="6"/>
    <n v="41999"/>
    <x v="597"/>
    <s v="HR Analytics"/>
  </r>
  <r>
    <n v="2283"/>
    <s v="408-8828515"/>
    <s v="88285"/>
    <x v="0"/>
    <n v="41"/>
    <x v="333"/>
    <x v="10"/>
    <x v="0"/>
    <x v="0"/>
    <s v="DA202"/>
    <x v="0"/>
    <n v="79999"/>
    <x v="305"/>
    <s v="Data analytics"/>
  </r>
  <r>
    <n v="2284"/>
    <s v="406-7188468"/>
    <s v="71884"/>
    <x v="1"/>
    <n v="29"/>
    <x v="334"/>
    <x v="10"/>
    <x v="0"/>
    <x v="1"/>
    <s v="BA301"/>
    <x v="1"/>
    <n v="59999"/>
    <x v="243"/>
    <s v="Business analytics"/>
  </r>
  <r>
    <n v="2285"/>
    <s v="405-1276193"/>
    <s v="12761"/>
    <x v="0"/>
    <n v="19"/>
    <x v="334"/>
    <x v="10"/>
    <x v="0"/>
    <x v="1"/>
    <s v="DM101"/>
    <x v="2"/>
    <n v="85499"/>
    <x v="307"/>
    <s v="Digial marketing"/>
  </r>
  <r>
    <n v="2286"/>
    <s v="405-3374547"/>
    <s v="33745"/>
    <x v="0"/>
    <n v="20"/>
    <x v="334"/>
    <x v="10"/>
    <x v="0"/>
    <x v="1"/>
    <s v="FSD103"/>
    <x v="3"/>
    <n v="109990"/>
    <x v="168"/>
    <s v="Full stack development"/>
  </r>
  <r>
    <n v="2287"/>
    <s v="407-9194697"/>
    <s v="91946"/>
    <x v="0"/>
    <n v="37"/>
    <x v="334"/>
    <x v="10"/>
    <x v="0"/>
    <x v="0"/>
    <s v="DA202"/>
    <x v="0"/>
    <n v="79999"/>
    <x v="5"/>
    <s v="Data analytics"/>
  </r>
  <r>
    <n v="2288"/>
    <s v="408-3853700"/>
    <s v="38537"/>
    <x v="1"/>
    <n v="38"/>
    <x v="334"/>
    <x v="10"/>
    <x v="0"/>
    <x v="1"/>
    <s v="DM101"/>
    <x v="2"/>
    <n v="85499"/>
    <x v="255"/>
    <s v="Digial marketing"/>
  </r>
  <r>
    <n v="2289"/>
    <s v="404-7222119"/>
    <s v="72221"/>
    <x v="0"/>
    <n v="21"/>
    <x v="334"/>
    <x v="10"/>
    <x v="0"/>
    <x v="0"/>
    <s v="DA202"/>
    <x v="0"/>
    <n v="79999"/>
    <x v="567"/>
    <s v="Data analytics"/>
  </r>
  <r>
    <n v="2290"/>
    <s v="404-0097026"/>
    <s v="97026"/>
    <x v="1"/>
    <n v="58"/>
    <x v="334"/>
    <x v="10"/>
    <x v="0"/>
    <x v="4"/>
    <s v="DM101"/>
    <x v="2"/>
    <n v="85499"/>
    <x v="15"/>
    <s v="Digial marketing"/>
  </r>
  <r>
    <n v="2291"/>
    <s v="405-6172892"/>
    <s v="61728"/>
    <x v="0"/>
    <n v="58"/>
    <x v="335"/>
    <x v="11"/>
    <x v="1"/>
    <x v="1"/>
    <s v="DM101"/>
    <x v="2"/>
    <n v="85499"/>
    <x v="29"/>
    <s v="Digial marketing"/>
  </r>
  <r>
    <n v="2292"/>
    <s v="402-6669769"/>
    <s v="66697"/>
    <x v="0"/>
    <n v="38"/>
    <x v="335"/>
    <x v="11"/>
    <x v="0"/>
    <x v="4"/>
    <s v="DA202"/>
    <x v="0"/>
    <n v="79999"/>
    <x v="598"/>
    <s v="Data analytics"/>
  </r>
  <r>
    <n v="2293"/>
    <s v="407-9950108"/>
    <s v="99501"/>
    <x v="0"/>
    <n v="21"/>
    <x v="335"/>
    <x v="11"/>
    <x v="0"/>
    <x v="2"/>
    <s v="DM101"/>
    <x v="2"/>
    <n v="85499"/>
    <x v="599"/>
    <s v="Digial marketing"/>
  </r>
  <r>
    <n v="2294"/>
    <s v="407-5710699"/>
    <s v="57106"/>
    <x v="0"/>
    <n v="42"/>
    <x v="335"/>
    <x v="11"/>
    <x v="0"/>
    <x v="4"/>
    <s v="DA202"/>
    <x v="0"/>
    <n v="79999"/>
    <x v="3"/>
    <s v="Data analytics"/>
  </r>
  <r>
    <n v="2295"/>
    <s v="171-2326012"/>
    <s v="23260"/>
    <x v="0"/>
    <n v="30"/>
    <x v="335"/>
    <x v="11"/>
    <x v="0"/>
    <x v="1"/>
    <s v="DM101"/>
    <x v="2"/>
    <n v="85499"/>
    <x v="600"/>
    <s v="Digial marketing"/>
  </r>
  <r>
    <n v="2296"/>
    <s v="408-6327421"/>
    <s v="63274"/>
    <x v="0"/>
    <n v="32"/>
    <x v="335"/>
    <x v="11"/>
    <x v="0"/>
    <x v="4"/>
    <s v="DM101"/>
    <x v="2"/>
    <n v="85499"/>
    <x v="601"/>
    <s v="Digial marketing"/>
  </r>
  <r>
    <n v="2297"/>
    <s v="407-6540091"/>
    <s v="65400"/>
    <x v="1"/>
    <n v="56"/>
    <x v="336"/>
    <x v="11"/>
    <x v="0"/>
    <x v="1"/>
    <s v="BA301"/>
    <x v="1"/>
    <n v="59999"/>
    <x v="591"/>
    <s v="Business analytics"/>
  </r>
  <r>
    <n v="2298"/>
    <s v="408-5354625"/>
    <s v="53546"/>
    <x v="1"/>
    <n v="38"/>
    <x v="336"/>
    <x v="11"/>
    <x v="0"/>
    <x v="1"/>
    <s v="BA301"/>
    <x v="1"/>
    <n v="59999"/>
    <x v="3"/>
    <s v="Business analytics"/>
  </r>
  <r>
    <n v="2299"/>
    <s v="403-0214588"/>
    <s v="21458"/>
    <x v="1"/>
    <n v="48"/>
    <x v="336"/>
    <x v="11"/>
    <x v="0"/>
    <x v="1"/>
    <s v="BA301"/>
    <x v="1"/>
    <n v="59999"/>
    <x v="15"/>
    <s v="Business analytics"/>
  </r>
  <r>
    <n v="2300"/>
    <s v="408-7734807"/>
    <s v="77348"/>
    <x v="0"/>
    <n v="74"/>
    <x v="336"/>
    <x v="11"/>
    <x v="0"/>
    <x v="2"/>
    <s v="FSD103"/>
    <x v="3"/>
    <n v="109990"/>
    <x v="602"/>
    <s v="Full stack development"/>
  </r>
  <r>
    <n v="2301"/>
    <s v="405-8826664"/>
    <s v="88266"/>
    <x v="0"/>
    <n v="37"/>
    <x v="336"/>
    <x v="11"/>
    <x v="0"/>
    <x v="4"/>
    <s v="DM101"/>
    <x v="2"/>
    <n v="85499"/>
    <x v="3"/>
    <s v="Digial marketing"/>
  </r>
  <r>
    <n v="2302"/>
    <s v="405-8016756"/>
    <s v="80167"/>
    <x v="0"/>
    <n v="31"/>
    <x v="336"/>
    <x v="11"/>
    <x v="0"/>
    <x v="0"/>
    <s v="DM101"/>
    <x v="2"/>
    <n v="85499"/>
    <x v="110"/>
    <s v="Digial marketing"/>
  </r>
  <r>
    <n v="2303"/>
    <s v="405-8215315"/>
    <s v="82153"/>
    <x v="0"/>
    <n v="21"/>
    <x v="336"/>
    <x v="11"/>
    <x v="0"/>
    <x v="0"/>
    <s v="DA202"/>
    <x v="0"/>
    <n v="79999"/>
    <x v="16"/>
    <s v="Data analytics"/>
  </r>
  <r>
    <n v="2304"/>
    <s v="407-5356726"/>
    <s v="53567"/>
    <x v="0"/>
    <n v="27"/>
    <x v="337"/>
    <x v="11"/>
    <x v="0"/>
    <x v="0"/>
    <s v="DM101"/>
    <x v="2"/>
    <n v="85499"/>
    <x v="603"/>
    <s v="Digial marketing"/>
  </r>
  <r>
    <n v="2305"/>
    <s v="407-8906539"/>
    <s v="89065"/>
    <x v="0"/>
    <n v="38"/>
    <x v="337"/>
    <x v="11"/>
    <x v="0"/>
    <x v="3"/>
    <s v="DM101"/>
    <x v="2"/>
    <n v="85499"/>
    <x v="15"/>
    <s v="Digial marketing"/>
  </r>
  <r>
    <n v="2306"/>
    <s v="408-3286680"/>
    <s v="32866"/>
    <x v="0"/>
    <n v="46"/>
    <x v="337"/>
    <x v="11"/>
    <x v="0"/>
    <x v="0"/>
    <s v="HR201"/>
    <x v="6"/>
    <n v="41999"/>
    <x v="8"/>
    <s v="HR Analytics"/>
  </r>
  <r>
    <n v="2307"/>
    <s v="404-4012913"/>
    <s v="40129"/>
    <x v="0"/>
    <n v="29"/>
    <x v="338"/>
    <x v="11"/>
    <x v="0"/>
    <x v="2"/>
    <s v="BA301"/>
    <x v="1"/>
    <n v="59999"/>
    <x v="9"/>
    <s v="Business analytics"/>
  </r>
  <r>
    <n v="2308"/>
    <s v="403-1177320"/>
    <s v="11773"/>
    <x v="1"/>
    <n v="74"/>
    <x v="338"/>
    <x v="11"/>
    <x v="0"/>
    <x v="6"/>
    <s v="DM101"/>
    <x v="2"/>
    <n v="85499"/>
    <x v="1"/>
    <s v="Digial marketing"/>
  </r>
  <r>
    <n v="2309"/>
    <s v="408-8677263"/>
    <s v="86772"/>
    <x v="1"/>
    <n v="35"/>
    <x v="338"/>
    <x v="11"/>
    <x v="0"/>
    <x v="1"/>
    <s v="BA301"/>
    <x v="1"/>
    <n v="59999"/>
    <x v="135"/>
    <s v="Business analytics"/>
  </r>
  <r>
    <n v="2310"/>
    <s v="402-0360722"/>
    <s v="36072"/>
    <x v="0"/>
    <n v="63"/>
    <x v="338"/>
    <x v="11"/>
    <x v="0"/>
    <x v="6"/>
    <s v="DA202"/>
    <x v="0"/>
    <n v="79999"/>
    <x v="17"/>
    <s v="Data analytics"/>
  </r>
  <r>
    <n v="2311"/>
    <s v="406-4292660"/>
    <s v="42926"/>
    <x v="0"/>
    <n v="23"/>
    <x v="338"/>
    <x v="11"/>
    <x v="0"/>
    <x v="6"/>
    <s v="DM101"/>
    <x v="2"/>
    <n v="85499"/>
    <x v="32"/>
    <s v="Digial marketing"/>
  </r>
  <r>
    <n v="2312"/>
    <s v="403-6787728"/>
    <s v="67877"/>
    <x v="0"/>
    <n v="19"/>
    <x v="339"/>
    <x v="11"/>
    <x v="0"/>
    <x v="1"/>
    <s v="BA301"/>
    <x v="1"/>
    <n v="59999"/>
    <x v="24"/>
    <s v="Business analytics"/>
  </r>
  <r>
    <n v="2313"/>
    <s v="408-8778560"/>
    <s v="87785"/>
    <x v="0"/>
    <n v="77"/>
    <x v="339"/>
    <x v="11"/>
    <x v="0"/>
    <x v="2"/>
    <s v="DA202"/>
    <x v="0"/>
    <n v="79999"/>
    <x v="14"/>
    <s v="Data analytics"/>
  </r>
  <r>
    <n v="2314"/>
    <s v="405-5625629"/>
    <s v="56256"/>
    <x v="0"/>
    <n v="48"/>
    <x v="339"/>
    <x v="11"/>
    <x v="0"/>
    <x v="0"/>
    <s v="UX401"/>
    <x v="4"/>
    <n v="67990"/>
    <x v="41"/>
    <s v="UI/UX Design"/>
  </r>
  <r>
    <n v="2315"/>
    <s v="408-1730029"/>
    <s v="17300"/>
    <x v="0"/>
    <n v="31"/>
    <x v="339"/>
    <x v="11"/>
    <x v="0"/>
    <x v="6"/>
    <s v="FSD103"/>
    <x v="3"/>
    <n v="109990"/>
    <x v="54"/>
    <s v="Full stack development"/>
  </r>
  <r>
    <n v="2316"/>
    <s v="404-2585232"/>
    <s v="25852"/>
    <x v="0"/>
    <n v="55"/>
    <x v="339"/>
    <x v="11"/>
    <x v="0"/>
    <x v="1"/>
    <s v="DM101"/>
    <x v="2"/>
    <n v="85499"/>
    <x v="468"/>
    <s v="Digial marketing"/>
  </r>
  <r>
    <n v="2317"/>
    <s v="404-5500403"/>
    <s v="55004"/>
    <x v="1"/>
    <n v="32"/>
    <x v="339"/>
    <x v="11"/>
    <x v="0"/>
    <x v="0"/>
    <s v="DM101"/>
    <x v="2"/>
    <n v="85499"/>
    <x v="16"/>
    <s v="Digial marketing"/>
  </r>
  <r>
    <n v="2318"/>
    <s v="403-6435974"/>
    <s v="64359"/>
    <x v="1"/>
    <n v="31"/>
    <x v="339"/>
    <x v="11"/>
    <x v="0"/>
    <x v="3"/>
    <s v="UX401"/>
    <x v="4"/>
    <n v="67990"/>
    <x v="147"/>
    <s v="UI/UX Design"/>
  </r>
  <r>
    <n v="2319"/>
    <s v="403-6649146"/>
    <s v="66491"/>
    <x v="1"/>
    <n v="60"/>
    <x v="339"/>
    <x v="11"/>
    <x v="1"/>
    <x v="2"/>
    <s v="DA202"/>
    <x v="0"/>
    <n v="79999"/>
    <x v="95"/>
    <s v="Data analytics"/>
  </r>
  <r>
    <n v="2320"/>
    <s v="403-4314323"/>
    <s v="43143"/>
    <x v="1"/>
    <n v="36"/>
    <x v="339"/>
    <x v="11"/>
    <x v="0"/>
    <x v="5"/>
    <s v="DA202"/>
    <x v="0"/>
    <n v="79999"/>
    <x v="3"/>
    <s v="Data analytics"/>
  </r>
  <r>
    <n v="2321"/>
    <s v="402-5592916"/>
    <s v="55929"/>
    <x v="0"/>
    <n v="41"/>
    <x v="339"/>
    <x v="11"/>
    <x v="0"/>
    <x v="0"/>
    <s v="DM101"/>
    <x v="2"/>
    <n v="85499"/>
    <x v="15"/>
    <s v="Digial marketing"/>
  </r>
  <r>
    <n v="2322"/>
    <s v="403-9401489"/>
    <s v="94014"/>
    <x v="1"/>
    <n v="32"/>
    <x v="340"/>
    <x v="11"/>
    <x v="0"/>
    <x v="2"/>
    <s v="DA202"/>
    <x v="0"/>
    <n v="79999"/>
    <x v="461"/>
    <s v="Data analytics"/>
  </r>
  <r>
    <n v="2323"/>
    <s v="404-3091660"/>
    <s v="30916"/>
    <x v="1"/>
    <n v="21"/>
    <x v="340"/>
    <x v="11"/>
    <x v="0"/>
    <x v="4"/>
    <s v="BA301"/>
    <x v="1"/>
    <n v="59999"/>
    <x v="15"/>
    <s v="Business analytics"/>
  </r>
  <r>
    <n v="2324"/>
    <s v="407-0241873"/>
    <s v="24187"/>
    <x v="0"/>
    <n v="30"/>
    <x v="340"/>
    <x v="11"/>
    <x v="0"/>
    <x v="1"/>
    <s v="DA202"/>
    <x v="0"/>
    <n v="79999"/>
    <x v="604"/>
    <s v="Data analytics"/>
  </r>
  <r>
    <n v="2325"/>
    <s v="171-9793016"/>
    <s v="97930"/>
    <x v="1"/>
    <n v="43"/>
    <x v="340"/>
    <x v="11"/>
    <x v="0"/>
    <x v="0"/>
    <s v="BA301"/>
    <x v="1"/>
    <n v="59999"/>
    <x v="185"/>
    <s v="Business analytics"/>
  </r>
  <r>
    <n v="2326"/>
    <s v="407-8909433"/>
    <s v="89094"/>
    <x v="0"/>
    <n v="27"/>
    <x v="340"/>
    <x v="11"/>
    <x v="0"/>
    <x v="1"/>
    <s v="DA202"/>
    <x v="0"/>
    <n v="79999"/>
    <x v="605"/>
    <s v="Data analytics"/>
  </r>
  <r>
    <n v="2327"/>
    <s v="403-5346586"/>
    <s v="53465"/>
    <x v="1"/>
    <n v="38"/>
    <x v="341"/>
    <x v="11"/>
    <x v="0"/>
    <x v="2"/>
    <s v="DM101"/>
    <x v="2"/>
    <n v="85499"/>
    <x v="606"/>
    <s v="Digial marketing"/>
  </r>
  <r>
    <n v="2328"/>
    <s v="406-1748887"/>
    <s v="17488"/>
    <x v="0"/>
    <n v="32"/>
    <x v="341"/>
    <x v="11"/>
    <x v="0"/>
    <x v="0"/>
    <s v="DA202"/>
    <x v="0"/>
    <n v="79999"/>
    <x v="3"/>
    <s v="Data analytics"/>
  </r>
  <r>
    <n v="2329"/>
    <s v="402-9803492"/>
    <s v="98034"/>
    <x v="1"/>
    <n v="22"/>
    <x v="341"/>
    <x v="11"/>
    <x v="0"/>
    <x v="1"/>
    <s v="BA301"/>
    <x v="1"/>
    <n v="59999"/>
    <x v="15"/>
    <s v="Business analytics"/>
  </r>
  <r>
    <n v="2330"/>
    <s v="404-2716293"/>
    <s v="27162"/>
    <x v="0"/>
    <n v="21"/>
    <x v="341"/>
    <x v="11"/>
    <x v="0"/>
    <x v="1"/>
    <s v="HR201"/>
    <x v="6"/>
    <n v="41999"/>
    <x v="15"/>
    <s v="HR Analytics"/>
  </r>
  <r>
    <n v="2331"/>
    <s v="406-5980377"/>
    <s v="59803"/>
    <x v="0"/>
    <n v="34"/>
    <x v="341"/>
    <x v="11"/>
    <x v="0"/>
    <x v="2"/>
    <s v="DM101"/>
    <x v="2"/>
    <n v="85499"/>
    <x v="15"/>
    <s v="Digial marketing"/>
  </r>
  <r>
    <n v="2332"/>
    <s v="402-6206735"/>
    <s v="62067"/>
    <x v="0"/>
    <n v="30"/>
    <x v="341"/>
    <x v="11"/>
    <x v="0"/>
    <x v="6"/>
    <s v="DM101"/>
    <x v="2"/>
    <n v="85499"/>
    <x v="38"/>
    <s v="Digial marketing"/>
  </r>
  <r>
    <n v="2333"/>
    <s v="406-4738816"/>
    <s v="47388"/>
    <x v="1"/>
    <n v="47"/>
    <x v="341"/>
    <x v="11"/>
    <x v="0"/>
    <x v="0"/>
    <s v="DM101"/>
    <x v="2"/>
    <n v="85499"/>
    <x v="607"/>
    <s v="Digial marketing"/>
  </r>
  <r>
    <n v="2334"/>
    <s v="407-2142487"/>
    <s v="21424"/>
    <x v="0"/>
    <n v="64"/>
    <x v="342"/>
    <x v="11"/>
    <x v="0"/>
    <x v="2"/>
    <s v="DM101"/>
    <x v="2"/>
    <n v="85499"/>
    <x v="15"/>
    <s v="Digial marketing"/>
  </r>
  <r>
    <n v="2335"/>
    <s v="407-1739151"/>
    <s v="17391"/>
    <x v="0"/>
    <n v="41"/>
    <x v="342"/>
    <x v="11"/>
    <x v="1"/>
    <x v="0"/>
    <s v="DM101"/>
    <x v="2"/>
    <n v="85499"/>
    <x v="363"/>
    <s v="Digial marketing"/>
  </r>
  <r>
    <n v="2336"/>
    <s v="402-9247662"/>
    <s v="92476"/>
    <x v="1"/>
    <n v="41"/>
    <x v="342"/>
    <x v="11"/>
    <x v="0"/>
    <x v="1"/>
    <s v="DM101"/>
    <x v="2"/>
    <n v="85499"/>
    <x v="399"/>
    <s v="Digial marketing"/>
  </r>
  <r>
    <n v="2337"/>
    <s v="406-2064749"/>
    <s v="20647"/>
    <x v="0"/>
    <n v="29"/>
    <x v="342"/>
    <x v="11"/>
    <x v="0"/>
    <x v="1"/>
    <s v="DM101"/>
    <x v="2"/>
    <n v="85499"/>
    <x v="17"/>
    <s v="Digial marketing"/>
  </r>
  <r>
    <n v="2338"/>
    <s v="407-0268826"/>
    <s v="26882"/>
    <x v="1"/>
    <n v="38"/>
    <x v="342"/>
    <x v="11"/>
    <x v="0"/>
    <x v="0"/>
    <s v="DA202"/>
    <x v="0"/>
    <n v="79999"/>
    <x v="3"/>
    <s v="Data analytics"/>
  </r>
  <r>
    <n v="2339"/>
    <s v="408-1780831"/>
    <s v="17808"/>
    <x v="0"/>
    <n v="30"/>
    <x v="343"/>
    <x v="11"/>
    <x v="0"/>
    <x v="3"/>
    <s v="UX401"/>
    <x v="4"/>
    <n v="67990"/>
    <x v="49"/>
    <s v="UI/UX Design"/>
  </r>
  <r>
    <n v="2340"/>
    <s v="171-3760677"/>
    <s v="37606"/>
    <x v="1"/>
    <n v="40"/>
    <x v="343"/>
    <x v="11"/>
    <x v="0"/>
    <x v="2"/>
    <s v="AI001"/>
    <x v="5"/>
    <n v="119990"/>
    <x v="3"/>
    <s v="AI &amp; ML"/>
  </r>
  <r>
    <n v="2341"/>
    <s v="171-8358309"/>
    <s v="83583"/>
    <x v="1"/>
    <n v="47"/>
    <x v="343"/>
    <x v="11"/>
    <x v="0"/>
    <x v="1"/>
    <s v="DM101"/>
    <x v="2"/>
    <n v="85499"/>
    <x v="608"/>
    <s v="Digial marketing"/>
  </r>
  <r>
    <n v="2342"/>
    <s v="402-6366831"/>
    <s v="63668"/>
    <x v="0"/>
    <n v="45"/>
    <x v="343"/>
    <x v="11"/>
    <x v="0"/>
    <x v="3"/>
    <s v="DM101"/>
    <x v="2"/>
    <n v="85499"/>
    <x v="609"/>
    <s v="Digial marketing"/>
  </r>
  <r>
    <n v="2343"/>
    <s v="406-9414300"/>
    <s v="94143"/>
    <x v="0"/>
    <n v="37"/>
    <x v="343"/>
    <x v="11"/>
    <x v="0"/>
    <x v="0"/>
    <s v="DM101"/>
    <x v="2"/>
    <n v="85499"/>
    <x v="16"/>
    <s v="Digial marketing"/>
  </r>
  <r>
    <n v="2344"/>
    <s v="405-1049385"/>
    <s v="10493"/>
    <x v="0"/>
    <n v="27"/>
    <x v="343"/>
    <x v="11"/>
    <x v="2"/>
    <x v="1"/>
    <s v="DA202"/>
    <x v="0"/>
    <n v="79999"/>
    <x v="3"/>
    <s v="Data analytics"/>
  </r>
  <r>
    <n v="2345"/>
    <s v="402-1868221"/>
    <s v="18682"/>
    <x v="1"/>
    <n v="36"/>
    <x v="343"/>
    <x v="11"/>
    <x v="0"/>
    <x v="6"/>
    <s v="FSD103"/>
    <x v="3"/>
    <n v="109990"/>
    <x v="610"/>
    <s v="Full stack development"/>
  </r>
  <r>
    <n v="2346"/>
    <s v="402-8098396"/>
    <s v="80983"/>
    <x v="1"/>
    <n v="39"/>
    <x v="344"/>
    <x v="11"/>
    <x v="0"/>
    <x v="0"/>
    <s v="DM101"/>
    <x v="2"/>
    <n v="85499"/>
    <x v="611"/>
    <s v="Digial marketing"/>
  </r>
  <r>
    <n v="2347"/>
    <s v="408-6964335"/>
    <s v="69643"/>
    <x v="0"/>
    <n v="65"/>
    <x v="344"/>
    <x v="11"/>
    <x v="0"/>
    <x v="4"/>
    <s v="DM101"/>
    <x v="2"/>
    <n v="85499"/>
    <x v="56"/>
    <s v="Digial marketing"/>
  </r>
  <r>
    <n v="2348"/>
    <s v="406-9190126"/>
    <s v="91901"/>
    <x v="1"/>
    <n v="43"/>
    <x v="344"/>
    <x v="11"/>
    <x v="0"/>
    <x v="0"/>
    <s v="DA202"/>
    <x v="0"/>
    <n v="79999"/>
    <x v="29"/>
    <s v="Data analytics"/>
  </r>
  <r>
    <n v="2349"/>
    <s v="403-1350979"/>
    <s v="13509"/>
    <x v="1"/>
    <n v="22"/>
    <x v="344"/>
    <x v="11"/>
    <x v="0"/>
    <x v="1"/>
    <s v="BA301"/>
    <x v="1"/>
    <n v="59999"/>
    <x v="9"/>
    <s v="Business analytics"/>
  </r>
  <r>
    <n v="2350"/>
    <s v="404-7723881"/>
    <s v="77238"/>
    <x v="0"/>
    <n v="57"/>
    <x v="345"/>
    <x v="11"/>
    <x v="0"/>
    <x v="0"/>
    <s v="DA202"/>
    <x v="0"/>
    <n v="79999"/>
    <x v="15"/>
    <s v="Data analytics"/>
  </r>
  <r>
    <n v="2351"/>
    <s v="408-9219146"/>
    <s v="92191"/>
    <x v="1"/>
    <n v="18"/>
    <x v="345"/>
    <x v="11"/>
    <x v="0"/>
    <x v="6"/>
    <s v="DM101"/>
    <x v="2"/>
    <n v="85499"/>
    <x v="3"/>
    <s v="Digial marketing"/>
  </r>
  <r>
    <n v="2352"/>
    <s v="405-9728104"/>
    <s v="97281"/>
    <x v="0"/>
    <n v="40"/>
    <x v="345"/>
    <x v="11"/>
    <x v="0"/>
    <x v="3"/>
    <s v="DM101"/>
    <x v="2"/>
    <n v="85499"/>
    <x v="57"/>
    <s v="Digial marketing"/>
  </r>
  <r>
    <n v="2353"/>
    <s v="407-4752785"/>
    <s v="47527"/>
    <x v="1"/>
    <n v="30"/>
    <x v="345"/>
    <x v="11"/>
    <x v="0"/>
    <x v="0"/>
    <s v="DM101"/>
    <x v="2"/>
    <n v="85499"/>
    <x v="28"/>
    <s v="Digial marketing"/>
  </r>
  <r>
    <n v="2354"/>
    <s v="403-4643700"/>
    <s v="46437"/>
    <x v="1"/>
    <n v="23"/>
    <x v="345"/>
    <x v="11"/>
    <x v="0"/>
    <x v="2"/>
    <s v="BA301"/>
    <x v="1"/>
    <n v="59999"/>
    <x v="356"/>
    <s v="Business analytics"/>
  </r>
  <r>
    <n v="2355"/>
    <s v="404-9843033"/>
    <s v="98430"/>
    <x v="0"/>
    <n v="22"/>
    <x v="345"/>
    <x v="11"/>
    <x v="0"/>
    <x v="1"/>
    <s v="DA202"/>
    <x v="0"/>
    <n v="79999"/>
    <x v="29"/>
    <s v="Data analytics"/>
  </r>
  <r>
    <n v="2356"/>
    <s v="404-9391434"/>
    <s v="93914"/>
    <x v="0"/>
    <n v="77"/>
    <x v="345"/>
    <x v="11"/>
    <x v="0"/>
    <x v="1"/>
    <s v="DM101"/>
    <x v="2"/>
    <n v="85499"/>
    <x v="291"/>
    <s v="Digial marketing"/>
  </r>
  <r>
    <n v="2357"/>
    <s v="406-5057657"/>
    <s v="50576"/>
    <x v="0"/>
    <n v="28"/>
    <x v="346"/>
    <x v="11"/>
    <x v="0"/>
    <x v="1"/>
    <s v="DM101"/>
    <x v="2"/>
    <n v="85499"/>
    <x v="38"/>
    <s v="Digial marketing"/>
  </r>
  <r>
    <n v="2358"/>
    <s v="171-1139839"/>
    <s v="11398"/>
    <x v="1"/>
    <n v="26"/>
    <x v="346"/>
    <x v="11"/>
    <x v="0"/>
    <x v="0"/>
    <s v="DM101"/>
    <x v="2"/>
    <n v="85499"/>
    <x v="612"/>
    <s v="Digial marketing"/>
  </r>
  <r>
    <n v="2359"/>
    <s v="171-9992706"/>
    <s v="99927"/>
    <x v="0"/>
    <n v="47"/>
    <x v="346"/>
    <x v="11"/>
    <x v="0"/>
    <x v="2"/>
    <s v="DM101"/>
    <x v="2"/>
    <n v="85499"/>
    <x v="9"/>
    <s v="Digial marketing"/>
  </r>
  <r>
    <n v="2360"/>
    <s v="406-9823954"/>
    <s v="98239"/>
    <x v="0"/>
    <n v="54"/>
    <x v="346"/>
    <x v="11"/>
    <x v="0"/>
    <x v="1"/>
    <s v="DA202"/>
    <x v="0"/>
    <n v="79999"/>
    <x v="106"/>
    <s v="Data analytics"/>
  </r>
  <r>
    <n v="2361"/>
    <s v="403-5049655"/>
    <s v="50496"/>
    <x v="1"/>
    <n v="20"/>
    <x v="346"/>
    <x v="11"/>
    <x v="0"/>
    <x v="2"/>
    <s v="DM101"/>
    <x v="2"/>
    <n v="85499"/>
    <x v="498"/>
    <s v="Digial marketing"/>
  </r>
  <r>
    <n v="2362"/>
    <s v="404-3028273"/>
    <s v="30282"/>
    <x v="0"/>
    <n v="40"/>
    <x v="346"/>
    <x v="11"/>
    <x v="0"/>
    <x v="1"/>
    <s v="FSD103"/>
    <x v="3"/>
    <n v="109990"/>
    <x v="167"/>
    <s v="Full stack development"/>
  </r>
  <r>
    <n v="2363"/>
    <s v="408-3239954"/>
    <s v="32399"/>
    <x v="1"/>
    <n v="33"/>
    <x v="346"/>
    <x v="11"/>
    <x v="0"/>
    <x v="0"/>
    <s v="DA202"/>
    <x v="0"/>
    <n v="79999"/>
    <x v="346"/>
    <s v="Data analytics"/>
  </r>
  <r>
    <n v="2364"/>
    <s v="405-4724097"/>
    <s v="47240"/>
    <x v="0"/>
    <n v="46"/>
    <x v="346"/>
    <x v="11"/>
    <x v="0"/>
    <x v="0"/>
    <s v="BA301"/>
    <x v="1"/>
    <n v="59999"/>
    <x v="19"/>
    <s v="Business analytics"/>
  </r>
  <r>
    <n v="2365"/>
    <s v="171-5554881"/>
    <s v="55548"/>
    <x v="1"/>
    <n v="19"/>
    <x v="347"/>
    <x v="11"/>
    <x v="0"/>
    <x v="0"/>
    <s v="DM101"/>
    <x v="2"/>
    <n v="85499"/>
    <x v="183"/>
    <s v="Digial marketing"/>
  </r>
  <r>
    <n v="2366"/>
    <s v="407-6642083"/>
    <s v="66420"/>
    <x v="0"/>
    <n v="20"/>
    <x v="347"/>
    <x v="11"/>
    <x v="0"/>
    <x v="1"/>
    <s v="DM101"/>
    <x v="2"/>
    <n v="85499"/>
    <x v="613"/>
    <s v="Digial marketing"/>
  </r>
  <r>
    <n v="2367"/>
    <s v="404-7807096"/>
    <s v="78070"/>
    <x v="1"/>
    <n v="63"/>
    <x v="347"/>
    <x v="11"/>
    <x v="0"/>
    <x v="1"/>
    <s v="DA202"/>
    <x v="0"/>
    <n v="79999"/>
    <x v="3"/>
    <s v="Data analytics"/>
  </r>
  <r>
    <n v="2368"/>
    <s v="171-5659388"/>
    <s v="56593"/>
    <x v="0"/>
    <n v="18"/>
    <x v="347"/>
    <x v="11"/>
    <x v="0"/>
    <x v="0"/>
    <s v="BA301"/>
    <x v="1"/>
    <n v="59999"/>
    <x v="462"/>
    <s v="Business analytics"/>
  </r>
  <r>
    <n v="2369"/>
    <s v="407-8662285"/>
    <s v="86622"/>
    <x v="0"/>
    <n v="37"/>
    <x v="347"/>
    <x v="11"/>
    <x v="0"/>
    <x v="0"/>
    <s v="DM101"/>
    <x v="2"/>
    <n v="85499"/>
    <x v="24"/>
    <s v="Digial marketing"/>
  </r>
  <r>
    <n v="2370"/>
    <s v="404-1451938"/>
    <s v="14519"/>
    <x v="0"/>
    <n v="29"/>
    <x v="347"/>
    <x v="11"/>
    <x v="0"/>
    <x v="0"/>
    <s v="DM101"/>
    <x v="2"/>
    <n v="85499"/>
    <x v="614"/>
    <s v="Digial marketing"/>
  </r>
  <r>
    <n v="2371"/>
    <s v="407-4720257"/>
    <s v="47202"/>
    <x v="0"/>
    <n v="35"/>
    <x v="347"/>
    <x v="11"/>
    <x v="0"/>
    <x v="4"/>
    <s v="DM101"/>
    <x v="2"/>
    <n v="85499"/>
    <x v="615"/>
    <s v="Digial marketing"/>
  </r>
  <r>
    <n v="2372"/>
    <s v="405-3066997"/>
    <s v="30669"/>
    <x v="0"/>
    <n v="55"/>
    <x v="348"/>
    <x v="11"/>
    <x v="2"/>
    <x v="5"/>
    <s v="DM101"/>
    <x v="2"/>
    <n v="85499"/>
    <x v="16"/>
    <s v="Digial marketing"/>
  </r>
  <r>
    <n v="2373"/>
    <s v="403-6177070"/>
    <s v="61770"/>
    <x v="0"/>
    <n v="24"/>
    <x v="348"/>
    <x v="11"/>
    <x v="0"/>
    <x v="0"/>
    <s v="DA202"/>
    <x v="0"/>
    <n v="79999"/>
    <x v="616"/>
    <s v="Data analytics"/>
  </r>
  <r>
    <n v="2374"/>
    <s v="406-6130013"/>
    <s v="61300"/>
    <x v="0"/>
    <n v="33"/>
    <x v="348"/>
    <x v="11"/>
    <x v="1"/>
    <x v="1"/>
    <s v="DM101"/>
    <x v="2"/>
    <n v="85499"/>
    <x v="74"/>
    <s v="Digial marketing"/>
  </r>
  <r>
    <n v="2375"/>
    <s v="406-9970855"/>
    <s v="99708"/>
    <x v="0"/>
    <n v="21"/>
    <x v="348"/>
    <x v="11"/>
    <x v="0"/>
    <x v="1"/>
    <s v="DA202"/>
    <x v="0"/>
    <n v="79999"/>
    <x v="56"/>
    <s v="Data analytics"/>
  </r>
  <r>
    <n v="2376"/>
    <s v="402-5310064"/>
    <s v="53100"/>
    <x v="1"/>
    <n v="24"/>
    <x v="348"/>
    <x v="11"/>
    <x v="0"/>
    <x v="2"/>
    <s v="FSD103"/>
    <x v="3"/>
    <n v="109990"/>
    <x v="15"/>
    <s v="Full stack development"/>
  </r>
  <r>
    <n v="2377"/>
    <s v="404-3817580"/>
    <s v="38175"/>
    <x v="0"/>
    <n v="37"/>
    <x v="348"/>
    <x v="11"/>
    <x v="0"/>
    <x v="2"/>
    <s v="DM101"/>
    <x v="2"/>
    <n v="85499"/>
    <x v="617"/>
    <s v="Digial marketing"/>
  </r>
  <r>
    <n v="2378"/>
    <s v="402-3668418"/>
    <s v="36684"/>
    <x v="0"/>
    <n v="48"/>
    <x v="348"/>
    <x v="11"/>
    <x v="0"/>
    <x v="0"/>
    <s v="DM101"/>
    <x v="2"/>
    <n v="85499"/>
    <x v="618"/>
    <s v="Digial marketing"/>
  </r>
  <r>
    <n v="2379"/>
    <s v="404-5603753"/>
    <s v="56037"/>
    <x v="0"/>
    <n v="21"/>
    <x v="348"/>
    <x v="11"/>
    <x v="0"/>
    <x v="3"/>
    <s v="BA301"/>
    <x v="1"/>
    <n v="59999"/>
    <x v="361"/>
    <s v="Business analytics"/>
  </r>
  <r>
    <n v="2380"/>
    <s v="407-2414151"/>
    <s v="24141"/>
    <x v="1"/>
    <n v="19"/>
    <x v="348"/>
    <x v="11"/>
    <x v="0"/>
    <x v="0"/>
    <s v="FSD103"/>
    <x v="3"/>
    <n v="109990"/>
    <x v="9"/>
    <s v="Full stack development"/>
  </r>
  <r>
    <n v="2381"/>
    <s v="405-2466082"/>
    <s v="24660"/>
    <x v="0"/>
    <n v="23"/>
    <x v="348"/>
    <x v="11"/>
    <x v="0"/>
    <x v="2"/>
    <s v="DM101"/>
    <x v="2"/>
    <n v="85499"/>
    <x v="15"/>
    <s v="Digial marketing"/>
  </r>
  <r>
    <n v="2382"/>
    <s v="405-9694068"/>
    <s v="96940"/>
    <x v="0"/>
    <n v="55"/>
    <x v="348"/>
    <x v="11"/>
    <x v="0"/>
    <x v="2"/>
    <s v="DA202"/>
    <x v="0"/>
    <n v="79999"/>
    <x v="47"/>
    <s v="Data analytics"/>
  </r>
  <r>
    <n v="2383"/>
    <s v="404-9496812"/>
    <s v="94968"/>
    <x v="1"/>
    <n v="43"/>
    <x v="348"/>
    <x v="11"/>
    <x v="0"/>
    <x v="2"/>
    <s v="DA202"/>
    <x v="0"/>
    <n v="79999"/>
    <x v="15"/>
    <s v="Data analytics"/>
  </r>
  <r>
    <n v="2384"/>
    <s v="407-9677130"/>
    <s v="96771"/>
    <x v="0"/>
    <n v="28"/>
    <x v="349"/>
    <x v="11"/>
    <x v="0"/>
    <x v="1"/>
    <s v="BA301"/>
    <x v="1"/>
    <n v="59999"/>
    <x v="89"/>
    <s v="Business analytics"/>
  </r>
  <r>
    <n v="2385"/>
    <s v="404-7329212"/>
    <s v="73292"/>
    <x v="0"/>
    <n v="45"/>
    <x v="349"/>
    <x v="11"/>
    <x v="1"/>
    <x v="0"/>
    <s v="DM101"/>
    <x v="2"/>
    <n v="85499"/>
    <x v="148"/>
    <s v="Digial marketing"/>
  </r>
  <r>
    <n v="2386"/>
    <s v="406-7817885"/>
    <s v="78178"/>
    <x v="1"/>
    <n v="36"/>
    <x v="349"/>
    <x v="11"/>
    <x v="0"/>
    <x v="2"/>
    <s v="DA202"/>
    <x v="0"/>
    <n v="79999"/>
    <x v="619"/>
    <s v="Data analytics"/>
  </r>
  <r>
    <n v="2387"/>
    <s v="408-6571890"/>
    <s v="65718"/>
    <x v="0"/>
    <n v="22"/>
    <x v="349"/>
    <x v="11"/>
    <x v="0"/>
    <x v="1"/>
    <s v="DA202"/>
    <x v="0"/>
    <n v="79999"/>
    <x v="92"/>
    <s v="Data analytics"/>
  </r>
  <r>
    <n v="2388"/>
    <s v="405-8350295"/>
    <s v="83502"/>
    <x v="0"/>
    <n v="22"/>
    <x v="349"/>
    <x v="11"/>
    <x v="2"/>
    <x v="4"/>
    <s v="DA202"/>
    <x v="0"/>
    <n v="79999"/>
    <x v="15"/>
    <s v="Data analytics"/>
  </r>
  <r>
    <n v="2389"/>
    <s v="404-9943161"/>
    <s v="99431"/>
    <x v="0"/>
    <n v="43"/>
    <x v="349"/>
    <x v="11"/>
    <x v="0"/>
    <x v="1"/>
    <s v="DA202"/>
    <x v="0"/>
    <n v="79999"/>
    <x v="9"/>
    <s v="Data analytics"/>
  </r>
  <r>
    <n v="2390"/>
    <s v="171-5487299"/>
    <s v="54872"/>
    <x v="0"/>
    <n v="30"/>
    <x v="349"/>
    <x v="11"/>
    <x v="0"/>
    <x v="4"/>
    <s v="AI001"/>
    <x v="5"/>
    <n v="119990"/>
    <x v="344"/>
    <s v="AI &amp; ML"/>
  </r>
  <r>
    <n v="2391"/>
    <s v="404-2567376"/>
    <s v="25673"/>
    <x v="0"/>
    <n v="34"/>
    <x v="349"/>
    <x v="11"/>
    <x v="0"/>
    <x v="0"/>
    <s v="DM101"/>
    <x v="2"/>
    <n v="85499"/>
    <x v="620"/>
    <s v="Digial marketing"/>
  </r>
  <r>
    <n v="2392"/>
    <s v="404-4158727"/>
    <s v="41587"/>
    <x v="1"/>
    <n v="26"/>
    <x v="349"/>
    <x v="11"/>
    <x v="0"/>
    <x v="2"/>
    <s v="BA301"/>
    <x v="1"/>
    <n v="59999"/>
    <x v="9"/>
    <s v="Business analytics"/>
  </r>
  <r>
    <n v="2393"/>
    <s v="407-3321735"/>
    <s v="33217"/>
    <x v="0"/>
    <n v="32"/>
    <x v="349"/>
    <x v="11"/>
    <x v="0"/>
    <x v="0"/>
    <s v="DM101"/>
    <x v="2"/>
    <n v="85499"/>
    <x v="9"/>
    <s v="Digial marketing"/>
  </r>
  <r>
    <n v="2394"/>
    <s v="403-3676844"/>
    <s v="36768"/>
    <x v="0"/>
    <n v="42"/>
    <x v="350"/>
    <x v="11"/>
    <x v="0"/>
    <x v="1"/>
    <s v="BA301"/>
    <x v="1"/>
    <n v="59999"/>
    <x v="100"/>
    <s v="Business analytics"/>
  </r>
  <r>
    <n v="2395"/>
    <s v="403-3949548"/>
    <s v="39495"/>
    <x v="0"/>
    <n v="21"/>
    <x v="350"/>
    <x v="11"/>
    <x v="0"/>
    <x v="1"/>
    <s v="DA202"/>
    <x v="0"/>
    <n v="79999"/>
    <x v="621"/>
    <s v="Data analytics"/>
  </r>
  <r>
    <n v="2396"/>
    <s v="403-6984128"/>
    <s v="69841"/>
    <x v="0"/>
    <n v="36"/>
    <x v="350"/>
    <x v="11"/>
    <x v="0"/>
    <x v="0"/>
    <s v="DM101"/>
    <x v="2"/>
    <n v="85499"/>
    <x v="622"/>
    <s v="Digial marketing"/>
  </r>
  <r>
    <n v="2397"/>
    <s v="402-7587606"/>
    <s v="75876"/>
    <x v="0"/>
    <n v="46"/>
    <x v="350"/>
    <x v="11"/>
    <x v="1"/>
    <x v="0"/>
    <s v="DA202"/>
    <x v="0"/>
    <n v="79999"/>
    <x v="95"/>
    <s v="Data analytics"/>
  </r>
  <r>
    <n v="2398"/>
    <s v="403-2289900"/>
    <s v="22899"/>
    <x v="0"/>
    <n v="26"/>
    <x v="350"/>
    <x v="11"/>
    <x v="0"/>
    <x v="0"/>
    <s v="UX401"/>
    <x v="4"/>
    <n v="67990"/>
    <x v="3"/>
    <s v="UI/UX Design"/>
  </r>
  <r>
    <n v="2399"/>
    <s v="408-8414294"/>
    <s v="84142"/>
    <x v="0"/>
    <n v="19"/>
    <x v="350"/>
    <x v="11"/>
    <x v="0"/>
    <x v="0"/>
    <s v="FSD103"/>
    <x v="3"/>
    <n v="109990"/>
    <x v="141"/>
    <s v="Full stack development"/>
  </r>
  <r>
    <n v="2400"/>
    <s v="407-6298508"/>
    <s v="62985"/>
    <x v="1"/>
    <n v="24"/>
    <x v="351"/>
    <x v="11"/>
    <x v="0"/>
    <x v="0"/>
    <s v="FSD103"/>
    <x v="3"/>
    <n v="109990"/>
    <x v="3"/>
    <s v="Full stack development"/>
  </r>
  <r>
    <n v="2401"/>
    <s v="403-2726667"/>
    <s v="27266"/>
    <x v="0"/>
    <n v="59"/>
    <x v="351"/>
    <x v="11"/>
    <x v="0"/>
    <x v="1"/>
    <s v="DM101"/>
    <x v="2"/>
    <n v="85499"/>
    <x v="92"/>
    <s v="Digial marketing"/>
  </r>
  <r>
    <n v="2402"/>
    <s v="408-7674920"/>
    <s v="76749"/>
    <x v="0"/>
    <n v="24"/>
    <x v="351"/>
    <x v="11"/>
    <x v="0"/>
    <x v="1"/>
    <s v="FSD103"/>
    <x v="3"/>
    <n v="109990"/>
    <x v="9"/>
    <s v="Full stack development"/>
  </r>
  <r>
    <n v="2403"/>
    <s v="171-3001563"/>
    <s v="30015"/>
    <x v="0"/>
    <n v="46"/>
    <x v="351"/>
    <x v="11"/>
    <x v="0"/>
    <x v="2"/>
    <s v="DM101"/>
    <x v="2"/>
    <n v="85499"/>
    <x v="89"/>
    <s v="Digial marketing"/>
  </r>
  <r>
    <n v="2404"/>
    <s v="403-2079988"/>
    <s v="20799"/>
    <x v="0"/>
    <n v="41"/>
    <x v="351"/>
    <x v="11"/>
    <x v="0"/>
    <x v="4"/>
    <s v="DM101"/>
    <x v="2"/>
    <n v="85499"/>
    <x v="9"/>
    <s v="Digial marketing"/>
  </r>
  <r>
    <n v="2405"/>
    <s v="171-1150817"/>
    <s v="11508"/>
    <x v="0"/>
    <n v="28"/>
    <x v="351"/>
    <x v="11"/>
    <x v="0"/>
    <x v="1"/>
    <s v="FSD103"/>
    <x v="3"/>
    <n v="109990"/>
    <x v="216"/>
    <s v="Full stack development"/>
  </r>
  <r>
    <n v="2406"/>
    <s v="402-6188672"/>
    <s v="61886"/>
    <x v="0"/>
    <n v="37"/>
    <x v="351"/>
    <x v="11"/>
    <x v="0"/>
    <x v="6"/>
    <s v="BA301"/>
    <x v="1"/>
    <n v="59999"/>
    <x v="3"/>
    <s v="Business analytics"/>
  </r>
  <r>
    <n v="2407"/>
    <s v="407-6833884"/>
    <s v="68338"/>
    <x v="0"/>
    <n v="24"/>
    <x v="351"/>
    <x v="11"/>
    <x v="0"/>
    <x v="1"/>
    <s v="DM101"/>
    <x v="2"/>
    <n v="85499"/>
    <x v="1"/>
    <s v="Digial marketing"/>
  </r>
  <r>
    <n v="2408"/>
    <s v="405-3249649"/>
    <s v="32496"/>
    <x v="1"/>
    <n v="20"/>
    <x v="351"/>
    <x v="11"/>
    <x v="0"/>
    <x v="2"/>
    <s v="UX401"/>
    <x v="4"/>
    <n v="67990"/>
    <x v="84"/>
    <s v="UI/UX Design"/>
  </r>
  <r>
    <n v="2409"/>
    <s v="171-1814444"/>
    <s v="18144"/>
    <x v="0"/>
    <n v="28"/>
    <x v="351"/>
    <x v="11"/>
    <x v="0"/>
    <x v="1"/>
    <s v="FSD103"/>
    <x v="3"/>
    <n v="109990"/>
    <x v="623"/>
    <s v="Full stack development"/>
  </r>
  <r>
    <n v="2410"/>
    <s v="405-9746730"/>
    <s v="97467"/>
    <x v="0"/>
    <n v="45"/>
    <x v="351"/>
    <x v="11"/>
    <x v="0"/>
    <x v="0"/>
    <s v="AI001"/>
    <x v="5"/>
    <n v="119990"/>
    <x v="9"/>
    <s v="AI &amp; ML"/>
  </r>
  <r>
    <n v="2411"/>
    <s v="403-3465545"/>
    <s v="34655"/>
    <x v="1"/>
    <n v="53"/>
    <x v="352"/>
    <x v="11"/>
    <x v="0"/>
    <x v="1"/>
    <s v="DA202"/>
    <x v="0"/>
    <n v="79999"/>
    <x v="375"/>
    <s v="Data analytics"/>
  </r>
  <r>
    <n v="2412"/>
    <s v="402-0215826"/>
    <s v="21582"/>
    <x v="1"/>
    <n v="29"/>
    <x v="352"/>
    <x v="11"/>
    <x v="0"/>
    <x v="2"/>
    <s v="DM101"/>
    <x v="2"/>
    <n v="85499"/>
    <x v="19"/>
    <s v="Digial marketing"/>
  </r>
  <r>
    <n v="2413"/>
    <s v="404-2303810"/>
    <s v="23038"/>
    <x v="0"/>
    <n v="64"/>
    <x v="353"/>
    <x v="11"/>
    <x v="0"/>
    <x v="1"/>
    <s v="DA202"/>
    <x v="0"/>
    <n v="79999"/>
    <x v="100"/>
    <s v="Data analytics"/>
  </r>
  <r>
    <n v="2414"/>
    <s v="408-1244124"/>
    <s v="12441"/>
    <x v="0"/>
    <n v="44"/>
    <x v="353"/>
    <x v="11"/>
    <x v="0"/>
    <x v="0"/>
    <s v="DM101"/>
    <x v="2"/>
    <n v="85499"/>
    <x v="29"/>
    <s v="Digial marketing"/>
  </r>
  <r>
    <n v="2415"/>
    <s v="406-2009045"/>
    <s v="20090"/>
    <x v="0"/>
    <n v="56"/>
    <x v="353"/>
    <x v="11"/>
    <x v="0"/>
    <x v="0"/>
    <s v="DM101"/>
    <x v="2"/>
    <n v="85499"/>
    <x v="35"/>
    <s v="Digial marketing"/>
  </r>
  <r>
    <n v="2416"/>
    <s v="406-1021489"/>
    <s v="10214"/>
    <x v="0"/>
    <n v="36"/>
    <x v="353"/>
    <x v="11"/>
    <x v="0"/>
    <x v="1"/>
    <s v="UX401"/>
    <x v="4"/>
    <n v="67990"/>
    <x v="29"/>
    <s v="UI/UX Design"/>
  </r>
  <r>
    <n v="2417"/>
    <s v="407-4536579"/>
    <s v="45365"/>
    <x v="0"/>
    <n v="45"/>
    <x v="353"/>
    <x v="11"/>
    <x v="0"/>
    <x v="0"/>
    <s v="DA202"/>
    <x v="0"/>
    <n v="79999"/>
    <x v="9"/>
    <s v="Data analytics"/>
  </r>
  <r>
    <n v="2418"/>
    <s v="406-3622241"/>
    <s v="36222"/>
    <x v="0"/>
    <n v="20"/>
    <x v="353"/>
    <x v="11"/>
    <x v="0"/>
    <x v="0"/>
    <s v="DM101"/>
    <x v="2"/>
    <n v="85499"/>
    <x v="367"/>
    <s v="Digial marketing"/>
  </r>
  <r>
    <n v="2419"/>
    <s v="406-4347582"/>
    <s v="43475"/>
    <x v="1"/>
    <n v="44"/>
    <x v="353"/>
    <x v="11"/>
    <x v="0"/>
    <x v="1"/>
    <s v="DM101"/>
    <x v="2"/>
    <n v="85499"/>
    <x v="49"/>
    <s v="Digial marketing"/>
  </r>
  <r>
    <n v="2420"/>
    <s v="408-8733141"/>
    <s v="87331"/>
    <x v="0"/>
    <n v="62"/>
    <x v="353"/>
    <x v="11"/>
    <x v="0"/>
    <x v="1"/>
    <s v="FSD103"/>
    <x v="3"/>
    <n v="109990"/>
    <x v="624"/>
    <s v="Full stack development"/>
  </r>
  <r>
    <n v="2421"/>
    <s v="403-8759769"/>
    <s v="87597"/>
    <x v="0"/>
    <n v="27"/>
    <x v="354"/>
    <x v="11"/>
    <x v="2"/>
    <x v="4"/>
    <s v="DM101"/>
    <x v="2"/>
    <n v="85499"/>
    <x v="625"/>
    <s v="Digial marketing"/>
  </r>
  <r>
    <n v="2422"/>
    <s v="404-8159711"/>
    <s v="81597"/>
    <x v="0"/>
    <n v="65"/>
    <x v="354"/>
    <x v="11"/>
    <x v="0"/>
    <x v="2"/>
    <s v="DM101"/>
    <x v="2"/>
    <n v="85499"/>
    <x v="128"/>
    <s v="Digial marketing"/>
  </r>
  <r>
    <n v="2423"/>
    <s v="408-6455820"/>
    <s v="64558"/>
    <x v="0"/>
    <n v="45"/>
    <x v="354"/>
    <x v="11"/>
    <x v="0"/>
    <x v="4"/>
    <s v="FSD103"/>
    <x v="3"/>
    <n v="109990"/>
    <x v="3"/>
    <s v="Full stack development"/>
  </r>
  <r>
    <n v="2424"/>
    <s v="171-3144807"/>
    <s v="31448"/>
    <x v="0"/>
    <n v="35"/>
    <x v="354"/>
    <x v="11"/>
    <x v="0"/>
    <x v="0"/>
    <s v="DM101"/>
    <x v="2"/>
    <n v="85499"/>
    <x v="17"/>
    <s v="Digial marketing"/>
  </r>
  <r>
    <n v="2425"/>
    <s v="171-2265638"/>
    <s v="22656"/>
    <x v="1"/>
    <n v="39"/>
    <x v="354"/>
    <x v="11"/>
    <x v="0"/>
    <x v="0"/>
    <s v="DM101"/>
    <x v="2"/>
    <n v="85499"/>
    <x v="138"/>
    <s v="Digial marketing"/>
  </r>
  <r>
    <n v="2426"/>
    <s v="403-9462001"/>
    <s v="94620"/>
    <x v="1"/>
    <n v="43"/>
    <x v="354"/>
    <x v="11"/>
    <x v="0"/>
    <x v="5"/>
    <s v="AI001"/>
    <x v="5"/>
    <n v="119990"/>
    <x v="41"/>
    <s v="AI &amp; ML"/>
  </r>
  <r>
    <n v="2427"/>
    <s v="402-1035887"/>
    <s v="10358"/>
    <x v="0"/>
    <n v="55"/>
    <x v="354"/>
    <x v="11"/>
    <x v="0"/>
    <x v="1"/>
    <s v="CC002"/>
    <x v="7"/>
    <n v="99990"/>
    <x v="626"/>
    <s v="Cloud Computing"/>
  </r>
  <r>
    <n v="2428"/>
    <s v="404-2570797"/>
    <s v="25707"/>
    <x v="0"/>
    <n v="45"/>
    <x v="354"/>
    <x v="11"/>
    <x v="0"/>
    <x v="1"/>
    <s v="DA202"/>
    <x v="0"/>
    <n v="79999"/>
    <x v="332"/>
    <s v="Data analytics"/>
  </r>
  <r>
    <n v="2429"/>
    <s v="408-3853503"/>
    <s v="38535"/>
    <x v="0"/>
    <n v="34"/>
    <x v="355"/>
    <x v="11"/>
    <x v="0"/>
    <x v="2"/>
    <s v="DM101"/>
    <x v="2"/>
    <n v="85499"/>
    <x v="57"/>
    <s v="Digial marketing"/>
  </r>
  <r>
    <n v="2430"/>
    <s v="402-4613837"/>
    <s v="46138"/>
    <x v="0"/>
    <n v="30"/>
    <x v="355"/>
    <x v="11"/>
    <x v="0"/>
    <x v="1"/>
    <s v="DM101"/>
    <x v="2"/>
    <n v="85499"/>
    <x v="580"/>
    <s v="Digial marketing"/>
  </r>
  <r>
    <n v="2431"/>
    <s v="407-7598159"/>
    <s v="75981"/>
    <x v="1"/>
    <n v="32"/>
    <x v="355"/>
    <x v="11"/>
    <x v="0"/>
    <x v="1"/>
    <s v="BA301"/>
    <x v="1"/>
    <n v="59999"/>
    <x v="3"/>
    <s v="Business analytics"/>
  </r>
  <r>
    <n v="2432"/>
    <s v="403-2856508"/>
    <s v="28565"/>
    <x v="0"/>
    <n v="51"/>
    <x v="355"/>
    <x v="11"/>
    <x v="0"/>
    <x v="1"/>
    <s v="FSD103"/>
    <x v="3"/>
    <n v="109990"/>
    <x v="49"/>
    <s v="Full stack development"/>
  </r>
  <r>
    <n v="2433"/>
    <s v="407-2688057"/>
    <s v="26880"/>
    <x v="0"/>
    <n v="46"/>
    <x v="355"/>
    <x v="11"/>
    <x v="0"/>
    <x v="2"/>
    <s v="DA202"/>
    <x v="0"/>
    <n v="79999"/>
    <x v="17"/>
    <s v="Data analytics"/>
  </r>
  <r>
    <n v="2434"/>
    <s v="171-3961903"/>
    <s v="39619"/>
    <x v="1"/>
    <n v="47"/>
    <x v="355"/>
    <x v="11"/>
    <x v="0"/>
    <x v="1"/>
    <s v="DM101"/>
    <x v="2"/>
    <n v="85499"/>
    <x v="3"/>
    <s v="Digial marketing"/>
  </r>
  <r>
    <n v="2435"/>
    <s v="407-6524171"/>
    <s v="65241"/>
    <x v="0"/>
    <n v="39"/>
    <x v="355"/>
    <x v="11"/>
    <x v="0"/>
    <x v="0"/>
    <s v="DM101"/>
    <x v="2"/>
    <n v="85499"/>
    <x v="627"/>
    <s v="Digial marketing"/>
  </r>
  <r>
    <n v="2436"/>
    <s v="404-2013002"/>
    <s v="20130"/>
    <x v="1"/>
    <n v="35"/>
    <x v="355"/>
    <x v="11"/>
    <x v="0"/>
    <x v="6"/>
    <s v="UX401"/>
    <x v="4"/>
    <n v="67990"/>
    <x v="92"/>
    <s v="UI/UX Design"/>
  </r>
  <r>
    <n v="2437"/>
    <s v="405-9151025"/>
    <s v="91510"/>
    <x v="0"/>
    <n v="44"/>
    <x v="355"/>
    <x v="11"/>
    <x v="2"/>
    <x v="2"/>
    <s v="DM101"/>
    <x v="2"/>
    <n v="85499"/>
    <x v="623"/>
    <s v="Digial marketing"/>
  </r>
  <r>
    <n v="2438"/>
    <s v="407-4197977"/>
    <s v="41979"/>
    <x v="1"/>
    <n v="39"/>
    <x v="355"/>
    <x v="11"/>
    <x v="0"/>
    <x v="4"/>
    <s v="BA301"/>
    <x v="1"/>
    <n v="59999"/>
    <x v="15"/>
    <s v="Business analytics"/>
  </r>
  <r>
    <n v="2439"/>
    <s v="403-3794022"/>
    <s v="37940"/>
    <x v="0"/>
    <n v="50"/>
    <x v="355"/>
    <x v="11"/>
    <x v="0"/>
    <x v="1"/>
    <s v="DA202"/>
    <x v="0"/>
    <n v="79999"/>
    <x v="92"/>
    <s v="Data analytics"/>
  </r>
  <r>
    <n v="2440"/>
    <s v="171-8977406"/>
    <s v="89774"/>
    <x v="0"/>
    <n v="76"/>
    <x v="356"/>
    <x v="11"/>
    <x v="0"/>
    <x v="6"/>
    <s v="DM101"/>
    <x v="2"/>
    <n v="85499"/>
    <x v="17"/>
    <s v="Digial marketing"/>
  </r>
  <r>
    <n v="2441"/>
    <s v="404-2875267"/>
    <s v="28752"/>
    <x v="0"/>
    <n v="78"/>
    <x v="356"/>
    <x v="11"/>
    <x v="0"/>
    <x v="0"/>
    <s v="DM101"/>
    <x v="2"/>
    <n v="85499"/>
    <x v="3"/>
    <s v="Digial marketing"/>
  </r>
  <r>
    <n v="2442"/>
    <s v="404-2064671"/>
    <s v="20646"/>
    <x v="0"/>
    <n v="23"/>
    <x v="356"/>
    <x v="11"/>
    <x v="0"/>
    <x v="3"/>
    <s v="DM101"/>
    <x v="2"/>
    <n v="85499"/>
    <x v="15"/>
    <s v="Digial marketing"/>
  </r>
  <r>
    <n v="2443"/>
    <s v="171-6343981"/>
    <s v="63439"/>
    <x v="1"/>
    <n v="27"/>
    <x v="356"/>
    <x v="11"/>
    <x v="0"/>
    <x v="0"/>
    <s v="FSD103"/>
    <x v="3"/>
    <n v="109990"/>
    <x v="2"/>
    <s v="Full stack development"/>
  </r>
  <r>
    <n v="2444"/>
    <s v="404-3116548"/>
    <s v="31165"/>
    <x v="1"/>
    <n v="28"/>
    <x v="356"/>
    <x v="11"/>
    <x v="0"/>
    <x v="0"/>
    <s v="DM101"/>
    <x v="2"/>
    <n v="85499"/>
    <x v="628"/>
    <s v="Digial marketing"/>
  </r>
  <r>
    <n v="2445"/>
    <s v="403-6300874"/>
    <s v="63008"/>
    <x v="0"/>
    <n v="52"/>
    <x v="356"/>
    <x v="11"/>
    <x v="0"/>
    <x v="1"/>
    <s v="DM101"/>
    <x v="2"/>
    <n v="85499"/>
    <x v="100"/>
    <s v="Digial marketing"/>
  </r>
  <r>
    <n v="2446"/>
    <s v="406-0644445"/>
    <s v="64444"/>
    <x v="0"/>
    <n v="43"/>
    <x v="356"/>
    <x v="11"/>
    <x v="0"/>
    <x v="1"/>
    <s v="CC002"/>
    <x v="7"/>
    <n v="99990"/>
    <x v="16"/>
    <s v="Cloud Computing"/>
  </r>
  <r>
    <n v="2447"/>
    <s v="407-9958706"/>
    <s v="99587"/>
    <x v="0"/>
    <n v="26"/>
    <x v="356"/>
    <x v="11"/>
    <x v="0"/>
    <x v="1"/>
    <s v="DM101"/>
    <x v="2"/>
    <n v="85499"/>
    <x v="453"/>
    <s v="Digial marketing"/>
  </r>
  <r>
    <n v="2448"/>
    <s v="404-8566095"/>
    <s v="85660"/>
    <x v="0"/>
    <n v="39"/>
    <x v="356"/>
    <x v="11"/>
    <x v="0"/>
    <x v="2"/>
    <s v="DM101"/>
    <x v="2"/>
    <n v="85499"/>
    <x v="629"/>
    <s v="Digial marketing"/>
  </r>
  <r>
    <n v="2449"/>
    <s v="408-9072191"/>
    <s v="90721"/>
    <x v="0"/>
    <n v="51"/>
    <x v="357"/>
    <x v="11"/>
    <x v="0"/>
    <x v="1"/>
    <s v="DM101"/>
    <x v="2"/>
    <n v="85499"/>
    <x v="255"/>
    <s v="Digial marketing"/>
  </r>
  <r>
    <n v="2450"/>
    <s v="406-7468805"/>
    <s v="74688"/>
    <x v="0"/>
    <n v="38"/>
    <x v="357"/>
    <x v="11"/>
    <x v="0"/>
    <x v="2"/>
    <s v="DA202"/>
    <x v="0"/>
    <n v="79999"/>
    <x v="9"/>
    <s v="Data analytics"/>
  </r>
  <r>
    <n v="2451"/>
    <s v="402-8452110"/>
    <s v="84521"/>
    <x v="1"/>
    <n v="57"/>
    <x v="357"/>
    <x v="11"/>
    <x v="0"/>
    <x v="1"/>
    <s v="BA301"/>
    <x v="1"/>
    <n v="59999"/>
    <x v="630"/>
    <s v="Business analytics"/>
  </r>
  <r>
    <n v="2452"/>
    <s v="407-1517876"/>
    <s v="15178"/>
    <x v="1"/>
    <n v="44"/>
    <x v="357"/>
    <x v="11"/>
    <x v="0"/>
    <x v="4"/>
    <s v="DM101"/>
    <x v="2"/>
    <n v="85499"/>
    <x v="461"/>
    <s v="Digial marketing"/>
  </r>
  <r>
    <n v="2453"/>
    <s v="405-1825505"/>
    <s v="18255"/>
    <x v="0"/>
    <n v="41"/>
    <x v="357"/>
    <x v="11"/>
    <x v="0"/>
    <x v="5"/>
    <s v="DA202"/>
    <x v="0"/>
    <n v="79999"/>
    <x v="600"/>
    <s v="Data analytics"/>
  </r>
  <r>
    <n v="2454"/>
    <s v="404-0057433"/>
    <s v="57433"/>
    <x v="0"/>
    <n v="39"/>
    <x v="357"/>
    <x v="11"/>
    <x v="0"/>
    <x v="5"/>
    <s v="DM101"/>
    <x v="2"/>
    <n v="85499"/>
    <x v="24"/>
    <s v="Digial marketing"/>
  </r>
  <r>
    <n v="2455"/>
    <s v="405-1749648"/>
    <s v="17496"/>
    <x v="1"/>
    <n v="65"/>
    <x v="357"/>
    <x v="11"/>
    <x v="0"/>
    <x v="1"/>
    <s v="DA202"/>
    <x v="0"/>
    <n v="79999"/>
    <x v="15"/>
    <s v="Data analytics"/>
  </r>
  <r>
    <n v="2456"/>
    <s v="408-2132537"/>
    <s v="21325"/>
    <x v="0"/>
    <n v="63"/>
    <x v="358"/>
    <x v="11"/>
    <x v="0"/>
    <x v="6"/>
    <s v="UX401"/>
    <x v="4"/>
    <n v="67990"/>
    <x v="39"/>
    <s v="UI/UX Design"/>
  </r>
  <r>
    <n v="2457"/>
    <s v="404-6512796"/>
    <s v="65127"/>
    <x v="0"/>
    <n v="20"/>
    <x v="358"/>
    <x v="11"/>
    <x v="0"/>
    <x v="3"/>
    <s v="DM101"/>
    <x v="2"/>
    <n v="85499"/>
    <x v="1"/>
    <s v="Digial marketing"/>
  </r>
  <r>
    <n v="2458"/>
    <s v="405-7631084"/>
    <s v="76310"/>
    <x v="0"/>
    <n v="44"/>
    <x v="358"/>
    <x v="11"/>
    <x v="0"/>
    <x v="0"/>
    <s v="DA202"/>
    <x v="0"/>
    <n v="79999"/>
    <x v="3"/>
    <s v="Data analytics"/>
  </r>
  <r>
    <n v="2459"/>
    <s v="404-9034911"/>
    <s v="90349"/>
    <x v="0"/>
    <n v="42"/>
    <x v="358"/>
    <x v="11"/>
    <x v="0"/>
    <x v="2"/>
    <s v="FSD103"/>
    <x v="3"/>
    <n v="109990"/>
    <x v="433"/>
    <s v="Full stack development"/>
  </r>
  <r>
    <n v="2460"/>
    <s v="402-8980339"/>
    <s v="89803"/>
    <x v="0"/>
    <n v="59"/>
    <x v="358"/>
    <x v="11"/>
    <x v="0"/>
    <x v="2"/>
    <s v="DA202"/>
    <x v="0"/>
    <n v="79999"/>
    <x v="16"/>
    <s v="Data analytics"/>
  </r>
  <r>
    <n v="2461"/>
    <s v="405-1458506"/>
    <s v="14585"/>
    <x v="0"/>
    <n v="34"/>
    <x v="358"/>
    <x v="11"/>
    <x v="0"/>
    <x v="1"/>
    <s v="DA202"/>
    <x v="0"/>
    <n v="79999"/>
    <x v="3"/>
    <s v="Data analytics"/>
  </r>
  <r>
    <n v="2462"/>
    <s v="404-1400117"/>
    <s v="14001"/>
    <x v="0"/>
    <n v="49"/>
    <x v="358"/>
    <x v="11"/>
    <x v="0"/>
    <x v="0"/>
    <s v="BA301"/>
    <x v="1"/>
    <n v="59999"/>
    <x v="631"/>
    <s v="Business analytics"/>
  </r>
  <r>
    <n v="2463"/>
    <s v="402-9471386"/>
    <s v="94713"/>
    <x v="1"/>
    <n v="31"/>
    <x v="358"/>
    <x v="11"/>
    <x v="0"/>
    <x v="5"/>
    <s v="BA301"/>
    <x v="1"/>
    <n v="59999"/>
    <x v="332"/>
    <s v="Business analytics"/>
  </r>
  <r>
    <n v="2464"/>
    <s v="402-9757005"/>
    <s v="97570"/>
    <x v="1"/>
    <n v="19"/>
    <x v="358"/>
    <x v="11"/>
    <x v="0"/>
    <x v="2"/>
    <s v="DM101"/>
    <x v="2"/>
    <n v="85499"/>
    <x v="3"/>
    <s v="Digial marketing"/>
  </r>
  <r>
    <n v="2465"/>
    <s v="407-2707392"/>
    <s v="27073"/>
    <x v="0"/>
    <n v="31"/>
    <x v="359"/>
    <x v="11"/>
    <x v="0"/>
    <x v="1"/>
    <s v="FSD103"/>
    <x v="3"/>
    <n v="109990"/>
    <x v="144"/>
    <s v="Full stack development"/>
  </r>
  <r>
    <n v="2466"/>
    <s v="407-3887492"/>
    <s v="38874"/>
    <x v="0"/>
    <n v="44"/>
    <x v="359"/>
    <x v="11"/>
    <x v="0"/>
    <x v="1"/>
    <s v="DM101"/>
    <x v="2"/>
    <n v="85499"/>
    <x v="74"/>
    <s v="Digial marketing"/>
  </r>
  <r>
    <n v="2467"/>
    <s v="402-0931370"/>
    <s v="93137"/>
    <x v="1"/>
    <n v="28"/>
    <x v="359"/>
    <x v="11"/>
    <x v="0"/>
    <x v="0"/>
    <s v="DA202"/>
    <x v="0"/>
    <n v="79999"/>
    <x v="3"/>
    <s v="Data analytics"/>
  </r>
  <r>
    <n v="2468"/>
    <s v="403-3761167"/>
    <s v="37611"/>
    <x v="0"/>
    <n v="59"/>
    <x v="359"/>
    <x v="11"/>
    <x v="0"/>
    <x v="0"/>
    <s v="DA202"/>
    <x v="0"/>
    <n v="79999"/>
    <x v="57"/>
    <s v="Data analytics"/>
  </r>
  <r>
    <n v="2469"/>
    <s v="406-4227337"/>
    <s v="42273"/>
    <x v="0"/>
    <n v="41"/>
    <x v="359"/>
    <x v="11"/>
    <x v="2"/>
    <x v="1"/>
    <s v="DM101"/>
    <x v="2"/>
    <n v="85499"/>
    <x v="632"/>
    <s v="Digial marketing"/>
  </r>
  <r>
    <n v="2470"/>
    <s v="408-7712012"/>
    <s v="77120"/>
    <x v="0"/>
    <n v="24"/>
    <x v="360"/>
    <x v="11"/>
    <x v="1"/>
    <x v="0"/>
    <s v="DM101"/>
    <x v="2"/>
    <n v="85499"/>
    <x v="209"/>
    <s v="Digial marketing"/>
  </r>
  <r>
    <n v="2471"/>
    <s v="406-6427473"/>
    <s v="64274"/>
    <x v="1"/>
    <n v="44"/>
    <x v="360"/>
    <x v="11"/>
    <x v="0"/>
    <x v="0"/>
    <s v="DA202"/>
    <x v="0"/>
    <n v="79999"/>
    <x v="185"/>
    <s v="Data analytics"/>
  </r>
  <r>
    <n v="2472"/>
    <s v="402-4932505"/>
    <s v="49325"/>
    <x v="0"/>
    <n v="27"/>
    <x v="360"/>
    <x v="11"/>
    <x v="0"/>
    <x v="4"/>
    <s v="DA202"/>
    <x v="0"/>
    <n v="79999"/>
    <x v="75"/>
    <s v="Data analytics"/>
  </r>
  <r>
    <n v="2473"/>
    <s v="405-4276422"/>
    <s v="42764"/>
    <x v="0"/>
    <n v="33"/>
    <x v="360"/>
    <x v="11"/>
    <x v="0"/>
    <x v="5"/>
    <s v="DM101"/>
    <x v="2"/>
    <n v="85499"/>
    <x v="167"/>
    <s v="Digial marketing"/>
  </r>
  <r>
    <n v="2474"/>
    <s v="404-2210884"/>
    <s v="22108"/>
    <x v="0"/>
    <n v="24"/>
    <x v="361"/>
    <x v="11"/>
    <x v="0"/>
    <x v="1"/>
    <s v="DM101"/>
    <x v="2"/>
    <n v="85499"/>
    <x v="48"/>
    <s v="Digial marketing"/>
  </r>
  <r>
    <n v="2475"/>
    <s v="402-2160772"/>
    <s v="21607"/>
    <x v="0"/>
    <n v="29"/>
    <x v="361"/>
    <x v="11"/>
    <x v="0"/>
    <x v="1"/>
    <s v="BA301"/>
    <x v="1"/>
    <n v="59999"/>
    <x v="24"/>
    <s v="Business analytics"/>
  </r>
  <r>
    <n v="2476"/>
    <s v="403-4173957"/>
    <s v="41739"/>
    <x v="0"/>
    <n v="18"/>
    <x v="361"/>
    <x v="11"/>
    <x v="0"/>
    <x v="1"/>
    <s v="DA202"/>
    <x v="0"/>
    <n v="79999"/>
    <x v="431"/>
    <s v="Data analytics"/>
  </r>
  <r>
    <n v="2477"/>
    <s v="404-1332523"/>
    <s v="13325"/>
    <x v="0"/>
    <n v="34"/>
    <x v="361"/>
    <x v="11"/>
    <x v="0"/>
    <x v="1"/>
    <s v="DA202"/>
    <x v="0"/>
    <n v="79999"/>
    <x v="1"/>
    <s v="Data analytics"/>
  </r>
  <r>
    <n v="2478"/>
    <s v="405-9732130"/>
    <s v="97321"/>
    <x v="0"/>
    <n v="23"/>
    <x v="362"/>
    <x v="11"/>
    <x v="0"/>
    <x v="1"/>
    <s v="DA202"/>
    <x v="0"/>
    <n v="79999"/>
    <x v="29"/>
    <s v="Data analytics"/>
  </r>
  <r>
    <n v="2479"/>
    <s v="403-0658712"/>
    <s v="65871"/>
    <x v="0"/>
    <n v="40"/>
    <x v="362"/>
    <x v="11"/>
    <x v="1"/>
    <x v="2"/>
    <s v="DA202"/>
    <x v="0"/>
    <n v="79999"/>
    <x v="25"/>
    <s v="Data analytics"/>
  </r>
  <r>
    <n v="2480"/>
    <s v="408-4957480"/>
    <s v="49574"/>
    <x v="0"/>
    <n v="47"/>
    <x v="362"/>
    <x v="11"/>
    <x v="0"/>
    <x v="2"/>
    <s v="DM101"/>
    <x v="2"/>
    <n v="85499"/>
    <x v="9"/>
    <s v="Digial marketing"/>
  </r>
  <r>
    <n v="2481"/>
    <s v="406-3630092"/>
    <s v="36300"/>
    <x v="0"/>
    <n v="26"/>
    <x v="362"/>
    <x v="11"/>
    <x v="0"/>
    <x v="0"/>
    <s v="DA202"/>
    <x v="0"/>
    <n v="79999"/>
    <x v="43"/>
    <s v="Data analytics"/>
  </r>
  <r>
    <n v="2482"/>
    <s v="403-2553067"/>
    <s v="25530"/>
    <x v="1"/>
    <n v="48"/>
    <x v="363"/>
    <x v="11"/>
    <x v="0"/>
    <x v="1"/>
    <s v="DA202"/>
    <x v="0"/>
    <n v="79999"/>
    <x v="92"/>
    <s v="Data analytics"/>
  </r>
  <r>
    <n v="2483"/>
    <s v="403-6044333"/>
    <s v="60443"/>
    <x v="0"/>
    <n v="28"/>
    <x v="364"/>
    <x v="11"/>
    <x v="0"/>
    <x v="1"/>
    <s v="DM101"/>
    <x v="2"/>
    <n v="85499"/>
    <x v="3"/>
    <s v="Digial marketing"/>
  </r>
  <r>
    <n v="2484"/>
    <s v="171-8677000"/>
    <s v="86770"/>
    <x v="0"/>
    <n v="31"/>
    <x v="364"/>
    <x v="11"/>
    <x v="2"/>
    <x v="2"/>
    <s v="DA202"/>
    <x v="0"/>
    <n v="79999"/>
    <x v="67"/>
    <s v="Data analytics"/>
  </r>
  <r>
    <n v="2485"/>
    <s v="171-0863515"/>
    <s v="86351"/>
    <x v="0"/>
    <n v="39"/>
    <x v="364"/>
    <x v="11"/>
    <x v="0"/>
    <x v="4"/>
    <s v="FSD103"/>
    <x v="3"/>
    <n v="109990"/>
    <x v="56"/>
    <s v="Full stack development"/>
  </r>
  <r>
    <n v="2486"/>
    <s v="408-9453928"/>
    <s v="94539"/>
    <x v="1"/>
    <n v="25"/>
    <x v="364"/>
    <x v="11"/>
    <x v="0"/>
    <x v="0"/>
    <s v="BA301"/>
    <x v="1"/>
    <n v="59999"/>
    <x v="300"/>
    <s v="Business analytics"/>
  </r>
  <r>
    <n v="2487"/>
    <s v="404-7666098"/>
    <s v="76660"/>
    <x v="0"/>
    <n v="71"/>
    <x v="364"/>
    <x v="11"/>
    <x v="0"/>
    <x v="1"/>
    <s v="BA301"/>
    <x v="1"/>
    <n v="59999"/>
    <x v="315"/>
    <s v="Business analytics"/>
  </r>
  <r>
    <n v="2488"/>
    <s v="404-4131628"/>
    <s v="41316"/>
    <x v="0"/>
    <n v="32"/>
    <x v="364"/>
    <x v="11"/>
    <x v="0"/>
    <x v="1"/>
    <s v="DA202"/>
    <x v="0"/>
    <n v="79999"/>
    <x v="5"/>
    <s v="Data analytics"/>
  </r>
  <r>
    <n v="2489"/>
    <s v="402-6411993"/>
    <s v="64119"/>
    <x v="0"/>
    <n v="31"/>
    <x v="364"/>
    <x v="11"/>
    <x v="0"/>
    <x v="1"/>
    <s v="DA202"/>
    <x v="0"/>
    <n v="79999"/>
    <x v="343"/>
    <s v="Data analytics"/>
  </r>
  <r>
    <n v="2490"/>
    <s v="403-2651163"/>
    <s v="26511"/>
    <x v="0"/>
    <n v="22"/>
    <x v="364"/>
    <x v="11"/>
    <x v="2"/>
    <x v="0"/>
    <s v="FSD103"/>
    <x v="3"/>
    <n v="109990"/>
    <x v="29"/>
    <s v="Full stack development"/>
  </r>
  <r>
    <n v="2491"/>
    <s v="402-1453158"/>
    <s v="14531"/>
    <x v="0"/>
    <n v="32"/>
    <x v="364"/>
    <x v="11"/>
    <x v="0"/>
    <x v="0"/>
    <s v="BA301"/>
    <x v="1"/>
    <n v="59999"/>
    <x v="79"/>
    <s v="Business analytics"/>
  </r>
  <r>
    <n v="2492"/>
    <s v="403-6954756"/>
    <s v="69547"/>
    <x v="0"/>
    <n v="36"/>
    <x v="365"/>
    <x v="11"/>
    <x v="0"/>
    <x v="6"/>
    <s v="DA202"/>
    <x v="0"/>
    <n v="79999"/>
    <x v="15"/>
    <s v="Data analytics"/>
  </r>
  <r>
    <n v="2493"/>
    <s v="406-7658363"/>
    <s v="76583"/>
    <x v="1"/>
    <n v="49"/>
    <x v="365"/>
    <x v="11"/>
    <x v="0"/>
    <x v="1"/>
    <s v="BA301"/>
    <x v="1"/>
    <n v="59999"/>
    <x v="1"/>
    <s v="Business analytics"/>
  </r>
  <r>
    <n v="2494"/>
    <s v="407-0648349"/>
    <s v="64834"/>
    <x v="1"/>
    <n v="65"/>
    <x v="365"/>
    <x v="11"/>
    <x v="0"/>
    <x v="1"/>
    <s v="DM101"/>
    <x v="2"/>
    <n v="85499"/>
    <x v="633"/>
    <s v="Digial marketing"/>
  </r>
  <r>
    <n v="2495"/>
    <s v="406-0619591"/>
    <s v="61959"/>
    <x v="1"/>
    <n v="36"/>
    <x v="365"/>
    <x v="11"/>
    <x v="0"/>
    <x v="1"/>
    <s v="BA301"/>
    <x v="1"/>
    <n v="59999"/>
    <x v="89"/>
    <s v="Business analytics"/>
  </r>
  <r>
    <n v="2496"/>
    <s v="171-8129672"/>
    <s v="81296"/>
    <x v="0"/>
    <n v="39"/>
    <x v="365"/>
    <x v="11"/>
    <x v="1"/>
    <x v="0"/>
    <s v="FSD103"/>
    <x v="3"/>
    <n v="109990"/>
    <x v="3"/>
    <s v="Full stack development"/>
  </r>
  <r>
    <n v="2497"/>
    <s v="402-9688290"/>
    <s v="96882"/>
    <x v="1"/>
    <n v="56"/>
    <x v="365"/>
    <x v="11"/>
    <x v="0"/>
    <x v="1"/>
    <s v="BA301"/>
    <x v="1"/>
    <n v="59999"/>
    <x v="49"/>
    <s v="Business analytics"/>
  </r>
  <r>
    <n v="2498"/>
    <s v="408-8413254"/>
    <s v="84132"/>
    <x v="0"/>
    <n v="70"/>
    <x v="365"/>
    <x v="11"/>
    <x v="0"/>
    <x v="1"/>
    <s v="DA202"/>
    <x v="0"/>
    <n v="79999"/>
    <x v="29"/>
    <s v="Data analytics"/>
  </r>
  <r>
    <n v="2499"/>
    <s v="406-3247235"/>
    <s v="32472"/>
    <x v="0"/>
    <n v="50"/>
    <x v="365"/>
    <x v="11"/>
    <x v="2"/>
    <x v="1"/>
    <s v="DA202"/>
    <x v="0"/>
    <n v="79999"/>
    <x v="200"/>
    <s v="Data analytic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B2BAE1-5E04-4142-9F74-F6A56145237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A4:B13" firstHeaderRow="1" firstDataRow="1" firstDataCol="1"/>
  <pivotFields count="16">
    <pivotField showAll="0"/>
    <pivotField dataField="1" showAll="0"/>
    <pivotField showAll="0"/>
    <pivotField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showAll="0">
      <items count="8">
        <item x="3"/>
        <item x="1"/>
        <item x="2"/>
        <item x="5"/>
        <item x="4"/>
        <item x="0"/>
        <item x="6"/>
        <item t="default"/>
      </items>
    </pivotField>
    <pivotField showAll="0"/>
    <pivotField axis="axisRow" showAll="0">
      <items count="9">
        <item x="5"/>
        <item x="1"/>
        <item x="7"/>
        <item x="0"/>
        <item x="2"/>
        <item x="3"/>
        <item x="6"/>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9">
    <i>
      <x/>
    </i>
    <i>
      <x v="1"/>
    </i>
    <i>
      <x v="2"/>
    </i>
    <i>
      <x v="3"/>
    </i>
    <i>
      <x v="4"/>
    </i>
    <i>
      <x v="5"/>
    </i>
    <i>
      <x v="6"/>
    </i>
    <i>
      <x v="7"/>
    </i>
    <i t="grand">
      <x/>
    </i>
  </rowItems>
  <colItems count="1">
    <i/>
  </colItems>
  <dataFields count="1">
    <dataField name="Count of Enrollment ID" fld="1" subtotal="count" baseField="0" baseItem="0"/>
  </dataFields>
  <chartFormats count="2">
    <chartFormat chart="22" format="4"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562" name="Enrollmen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C196B4-807A-440C-90C5-13E65DAFC21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4:B12" firstHeaderRow="1" firstDataRow="1" firstDataCol="1"/>
  <pivotFields count="16">
    <pivotField showAll="0"/>
    <pivotField dataField="1" showAll="0"/>
    <pivotField showAll="0"/>
    <pivotField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axis="axisRow" showAll="0">
      <items count="8">
        <item x="3"/>
        <item x="1"/>
        <item x="2"/>
        <item x="5"/>
        <item x="4"/>
        <item x="0"/>
        <item x="6"/>
        <item t="default"/>
      </items>
    </pivotField>
    <pivotField showAll="0"/>
    <pivotField showAll="0">
      <items count="9">
        <item x="5"/>
        <item x="1"/>
        <item x="7"/>
        <item x="0"/>
        <item x="2"/>
        <item x="3"/>
        <item x="6"/>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Count of Enrollment ID" fld="1" subtotal="count" baseField="0" baseItem="0"/>
  </dataFields>
  <chartFormats count="2">
    <chartFormat chart="7"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562" name="Enrollmen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C32479-5F79-4F24-A7C3-ACA6462FA46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4:B13" firstHeaderRow="1" firstDataRow="1" firstDataCol="1"/>
  <pivotFields count="16">
    <pivotField showAll="0"/>
    <pivotField showAll="0"/>
    <pivotField showAll="0"/>
    <pivotField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showAll="0">
      <items count="8">
        <item x="3"/>
        <item x="1"/>
        <item x="2"/>
        <item x="5"/>
        <item x="4"/>
        <item x="0"/>
        <item x="6"/>
        <item t="default"/>
      </items>
    </pivotField>
    <pivotField showAll="0"/>
    <pivotField axis="axisRow" showAll="0">
      <items count="9">
        <item x="5"/>
        <item x="1"/>
        <item x="7"/>
        <item x="0"/>
        <item x="2"/>
        <item x="3"/>
        <item x="6"/>
        <item x="4"/>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9">
    <i>
      <x/>
    </i>
    <i>
      <x v="1"/>
    </i>
    <i>
      <x v="2"/>
    </i>
    <i>
      <x v="3"/>
    </i>
    <i>
      <x v="4"/>
    </i>
    <i>
      <x v="5"/>
    </i>
    <i>
      <x v="6"/>
    </i>
    <i>
      <x v="7"/>
    </i>
    <i t="grand">
      <x/>
    </i>
  </rowItems>
  <colItems count="1">
    <i/>
  </colItems>
  <dataFields count="1">
    <dataField name="Sum of Fees" fld="11" baseField="0" baseItem="0"/>
  </dataFields>
  <chartFormats count="2">
    <chartFormat chart="10" format="7"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562" name="Enrollmen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C47BC5-D5AF-4C54-ADAC-4E26B368AAF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5:B18" firstHeaderRow="1" firstDataRow="1" firstDataCol="1"/>
  <pivotFields count="16">
    <pivotField showAll="0"/>
    <pivotField dataField="1" showAll="0"/>
    <pivotField showAll="0"/>
    <pivotField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13">
        <item x="0"/>
        <item x="1"/>
        <item x="2"/>
        <item x="3"/>
        <item x="4"/>
        <item x="5"/>
        <item x="6"/>
        <item x="7"/>
        <item x="8"/>
        <item x="9"/>
        <item x="10"/>
        <item x="11"/>
        <item t="default"/>
      </items>
    </pivotField>
    <pivotField showAll="0"/>
    <pivotField showAll="0">
      <items count="8">
        <item x="3"/>
        <item x="1"/>
        <item x="2"/>
        <item x="5"/>
        <item x="4"/>
        <item x="0"/>
        <item x="6"/>
        <item t="default"/>
      </items>
    </pivotField>
    <pivotField showAll="0"/>
    <pivotField showAll="0">
      <items count="9">
        <item x="5"/>
        <item x="1"/>
        <item x="7"/>
        <item x="0"/>
        <item x="2"/>
        <item x="3"/>
        <item x="6"/>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Count of Enrollment ID" fld="1" subtotal="count" baseField="0" baseItem="0"/>
  </dataFields>
  <chartFormats count="2">
    <chartFormat chart="5"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562" name="Enrollmen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BCB1E5-1A1A-4955-9EF8-8CF774920E0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5:B8" firstHeaderRow="1" firstDataRow="1" firstDataCol="1"/>
  <pivotFields count="16">
    <pivotField showAll="0"/>
    <pivotField dataField="1" showAll="0"/>
    <pivotField showAll="0"/>
    <pivotField axis="axisRow" showAll="0">
      <items count="3">
        <item x="0"/>
        <item x="1"/>
        <item t="default"/>
      </items>
    </pivotField>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showAll="0">
      <items count="8">
        <item x="3"/>
        <item x="1"/>
        <item x="2"/>
        <item x="5"/>
        <item x="4"/>
        <item x="0"/>
        <item x="6"/>
        <item t="default"/>
      </items>
    </pivotField>
    <pivotField showAll="0"/>
    <pivotField showAll="0">
      <items count="9">
        <item x="5"/>
        <item x="1"/>
        <item x="7"/>
        <item x="0"/>
        <item x="2"/>
        <item x="3"/>
        <item x="6"/>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Enrollment ID" fld="1" subtotal="count" baseField="0" baseItem="0"/>
  </dataFields>
  <chartFormats count="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0" format="13" series="1">
      <pivotArea type="data" outline="0" fieldPosition="0">
        <references count="1">
          <reference field="4294967294" count="1" selected="0">
            <x v="0"/>
          </reference>
        </references>
      </pivotArea>
    </chartFormat>
    <chartFormat chart="0" format="14">
      <pivotArea type="data" outline="0" fieldPosition="0">
        <references count="2">
          <reference field="4294967294" count="1" selected="0">
            <x v="0"/>
          </reference>
          <reference field="3" count="1" selected="0">
            <x v="0"/>
          </reference>
        </references>
      </pivotArea>
    </chartFormat>
    <chartFormat chart="0" format="1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5" type="dateBetween" evalOrder="-1" id="562" name="Enrollmen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C2F595-B6EA-4F70-9975-02505E46C61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4:C8" firstHeaderRow="1" firstDataRow="1" firstDataCol="1"/>
  <pivotFields count="16">
    <pivotField showAll="0"/>
    <pivotField dataField="1" showAll="0"/>
    <pivotField showAll="0"/>
    <pivotField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axis="axisRow" showAll="0">
      <items count="4">
        <item x="1"/>
        <item x="0"/>
        <item x="2"/>
        <item t="default"/>
      </items>
    </pivotField>
    <pivotField showAll="0">
      <items count="8">
        <item x="3"/>
        <item x="1"/>
        <item x="2"/>
        <item x="5"/>
        <item x="4"/>
        <item x="0"/>
        <item x="6"/>
        <item t="default"/>
      </items>
    </pivotField>
    <pivotField showAll="0"/>
    <pivotField showAll="0">
      <items count="9">
        <item x="5"/>
        <item x="1"/>
        <item x="7"/>
        <item x="0"/>
        <item x="2"/>
        <item x="3"/>
        <item x="6"/>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Count of Enrollment ID" fld="1" subtotal="count" baseField="0" baseItem="0"/>
  </dataFields>
  <chartFormats count="8">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7" count="1" selected="0">
            <x v="0"/>
          </reference>
        </references>
      </pivotArea>
    </chartFormat>
    <chartFormat chart="5" format="15">
      <pivotArea type="data" outline="0" fieldPosition="0">
        <references count="2">
          <reference field="4294967294" count="1" selected="0">
            <x v="0"/>
          </reference>
          <reference field="7" count="1" selected="0">
            <x v="1"/>
          </reference>
        </references>
      </pivotArea>
    </chartFormat>
    <chartFormat chart="5" format="16">
      <pivotArea type="data" outline="0" fieldPosition="0">
        <references count="2">
          <reference field="4294967294" count="1" selected="0">
            <x v="0"/>
          </reference>
          <reference field="7" count="1" selected="0">
            <x v="2"/>
          </reference>
        </references>
      </pivotArea>
    </chartFormat>
    <chartFormat chart="9" format="21" series="1">
      <pivotArea type="data" outline="0" fieldPosition="0">
        <references count="1">
          <reference field="4294967294" count="1" selected="0">
            <x v="0"/>
          </reference>
        </references>
      </pivotArea>
    </chartFormat>
    <chartFormat chart="9" format="22">
      <pivotArea type="data" outline="0" fieldPosition="0">
        <references count="2">
          <reference field="4294967294" count="1" selected="0">
            <x v="0"/>
          </reference>
          <reference field="7" count="1" selected="0">
            <x v="0"/>
          </reference>
        </references>
      </pivotArea>
    </chartFormat>
    <chartFormat chart="9" format="23">
      <pivotArea type="data" outline="0" fieldPosition="0">
        <references count="2">
          <reference field="4294967294" count="1" selected="0">
            <x v="0"/>
          </reference>
          <reference field="7" count="1" selected="0">
            <x v="1"/>
          </reference>
        </references>
      </pivotArea>
    </chartFormat>
    <chartFormat chart="9" format="2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5" type="dateBetween" evalOrder="-1" id="562" name="Enrollmen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46B6F1-EA53-4D1F-A447-E5E97893E4E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B4:C7" firstHeaderRow="1" firstDataRow="1" firstDataCol="1"/>
  <pivotFields count="16">
    <pivotField showAll="0"/>
    <pivotField dataField="1" showAll="0"/>
    <pivotField showAll="0"/>
    <pivotField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showAll="0">
      <items count="8">
        <item x="3"/>
        <item x="1"/>
        <item x="2"/>
        <item x="5"/>
        <item x="4"/>
        <item x="0"/>
        <item x="6"/>
        <item t="default"/>
      </items>
    </pivotField>
    <pivotField showAll="0"/>
    <pivotField showAll="0">
      <items count="9">
        <item x="5"/>
        <item x="1"/>
        <item x="7"/>
        <item x="0"/>
        <item x="2"/>
        <item x="3"/>
        <item x="6"/>
        <item x="4"/>
        <item t="default"/>
      </items>
    </pivotField>
    <pivotField showAll="0"/>
    <pivotField axis="axisRow" showAll="0" measureFilter="1">
      <items count="635">
        <item x="601"/>
        <item x="121"/>
        <item x="275"/>
        <item x="22"/>
        <item x="305"/>
        <item x="56"/>
        <item x="407"/>
        <item x="493"/>
        <item x="296"/>
        <item x="154"/>
        <item x="158"/>
        <item x="213"/>
        <item x="102"/>
        <item x="317"/>
        <item x="68"/>
        <item x="481"/>
        <item x="592"/>
        <item x="13"/>
        <item x="208"/>
        <item x="45"/>
        <item x="76"/>
        <item x="206"/>
        <item x="589"/>
        <item x="252"/>
        <item x="391"/>
        <item x="253"/>
        <item x="238"/>
        <item x="71"/>
        <item x="538"/>
        <item x="547"/>
        <item x="439"/>
        <item x="536"/>
        <item x="447"/>
        <item x="433"/>
        <item x="210"/>
        <item x="336"/>
        <item x="176"/>
        <item x="508"/>
        <item x="217"/>
        <item x="145"/>
        <item x="619"/>
        <item x="193"/>
        <item x="426"/>
        <item x="527"/>
        <item x="65"/>
        <item x="224"/>
        <item x="617"/>
        <item x="373"/>
        <item x="137"/>
        <item x="591"/>
        <item x="5"/>
        <item x="507"/>
        <item x="207"/>
        <item x="565"/>
        <item x="359"/>
        <item x="546"/>
        <item x="461"/>
        <item x="172"/>
        <item x="120"/>
        <item x="386"/>
        <item x="231"/>
        <item x="58"/>
        <item x="195"/>
        <item x="444"/>
        <item x="340"/>
        <item x="234"/>
        <item x="3"/>
        <item x="480"/>
        <item x="315"/>
        <item x="475"/>
        <item x="378"/>
        <item x="298"/>
        <item x="37"/>
        <item x="452"/>
        <item x="462"/>
        <item x="454"/>
        <item x="362"/>
        <item x="631"/>
        <item x="187"/>
        <item x="159"/>
        <item x="273"/>
        <item x="350"/>
        <item x="96"/>
        <item x="94"/>
        <item x="301"/>
        <item x="54"/>
        <item x="633"/>
        <item x="496"/>
        <item x="72"/>
        <item x="395"/>
        <item x="142"/>
        <item x="483"/>
        <item x="114"/>
        <item x="509"/>
        <item x="478"/>
        <item x="431"/>
        <item x="622"/>
        <item x="525"/>
        <item x="506"/>
        <item x="163"/>
        <item x="516"/>
        <item x="526"/>
        <item x="408"/>
        <item x="554"/>
        <item x="375"/>
        <item x="561"/>
        <item x="88"/>
        <item x="402"/>
        <item x="335"/>
        <item x="463"/>
        <item x="84"/>
        <item x="555"/>
        <item x="20"/>
        <item x="171"/>
        <item x="515"/>
        <item x="404"/>
        <item x="328"/>
        <item x="566"/>
        <item x="29"/>
        <item x="131"/>
        <item x="264"/>
        <item x="518"/>
        <item x="620"/>
        <item x="578"/>
        <item x="609"/>
        <item x="416"/>
        <item x="267"/>
        <item x="505"/>
        <item x="522"/>
        <item x="394"/>
        <item x="80"/>
        <item x="494"/>
        <item x="190"/>
        <item x="437"/>
        <item x="403"/>
        <item x="147"/>
        <item x="466"/>
        <item x="406"/>
        <item x="458"/>
        <item x="575"/>
        <item x="610"/>
        <item x="570"/>
        <item x="41"/>
        <item x="55"/>
        <item x="127"/>
        <item x="484"/>
        <item x="308"/>
        <item x="467"/>
        <item x="370"/>
        <item x="456"/>
        <item x="377"/>
        <item x="469"/>
        <item x="157"/>
        <item x="599"/>
        <item x="488"/>
        <item x="571"/>
        <item x="596"/>
        <item x="477"/>
        <item x="615"/>
        <item x="134"/>
        <item x="155"/>
        <item x="285"/>
        <item x="99"/>
        <item x="597"/>
        <item x="583"/>
        <item x="6"/>
        <item x="177"/>
        <item x="326"/>
        <item x="449"/>
        <item x="270"/>
        <item x="421"/>
        <item x="608"/>
        <item x="517"/>
        <item x="188"/>
        <item x="490"/>
        <item x="97"/>
        <item x="40"/>
        <item x="130"/>
        <item x="564"/>
        <item x="361"/>
        <item x="376"/>
        <item x="533"/>
        <item x="89"/>
        <item x="215"/>
        <item x="30"/>
        <item x="211"/>
        <item x="69"/>
        <item x="422"/>
        <item x="53"/>
        <item x="286"/>
        <item x="289"/>
        <item x="216"/>
        <item x="309"/>
        <item x="128"/>
        <item x="236"/>
        <item x="504"/>
        <item x="178"/>
        <item x="175"/>
        <item x="33"/>
        <item x="205"/>
        <item x="183"/>
        <item x="248"/>
        <item x="162"/>
        <item x="83"/>
        <item x="415"/>
        <item x="136"/>
        <item x="196"/>
        <item x="32"/>
        <item x="523"/>
        <item x="28"/>
        <item x="12"/>
        <item x="165"/>
        <item x="331"/>
        <item x="204"/>
        <item x="379"/>
        <item x="288"/>
        <item x="530"/>
        <item x="198"/>
        <item x="520"/>
        <item x="318"/>
        <item x="50"/>
        <item x="598"/>
        <item x="220"/>
        <item x="514"/>
        <item x="218"/>
        <item x="47"/>
        <item x="399"/>
        <item x="569"/>
        <item x="15"/>
        <item x="405"/>
        <item x="86"/>
        <item x="605"/>
        <item x="122"/>
        <item x="618"/>
        <item x="563"/>
        <item x="356"/>
        <item x="57"/>
        <item x="184"/>
        <item x="108"/>
        <item x="341"/>
        <item x="168"/>
        <item x="219"/>
        <item x="192"/>
        <item x="453"/>
        <item x="62"/>
        <item x="537"/>
        <item x="303"/>
        <item x="164"/>
        <item x="327"/>
        <item x="77"/>
        <item x="414"/>
        <item x="524"/>
        <item x="623"/>
        <item x="259"/>
        <item x="612"/>
        <item x="531"/>
        <item x="543"/>
        <item x="498"/>
        <item x="93"/>
        <item x="209"/>
        <item x="112"/>
        <item x="613"/>
        <item x="420"/>
        <item x="411"/>
        <item x="232"/>
        <item x="39"/>
        <item x="497"/>
        <item x="625"/>
        <item x="297"/>
        <item x="337"/>
        <item x="299"/>
        <item x="384"/>
        <item x="34"/>
        <item x="551"/>
        <item x="329"/>
        <item x="14"/>
        <item x="18"/>
        <item x="43"/>
        <item x="125"/>
        <item x="229"/>
        <item x="552"/>
        <item x="119"/>
        <item x="26"/>
        <item x="372"/>
        <item x="291"/>
        <item x="621"/>
        <item x="632"/>
        <item x="528"/>
        <item x="381"/>
        <item x="595"/>
        <item x="132"/>
        <item x="585"/>
        <item x="579"/>
        <item x="441"/>
        <item x="486"/>
        <item x="345"/>
        <item x="109"/>
        <item x="574"/>
        <item x="611"/>
        <item x="91"/>
        <item x="49"/>
        <item x="23"/>
        <item x="499"/>
        <item x="357"/>
        <item x="118"/>
        <item x="432"/>
        <item x="371"/>
        <item x="393"/>
        <item x="161"/>
        <item x="440"/>
        <item x="60"/>
        <item x="143"/>
        <item x="2"/>
        <item x="173"/>
        <item x="474"/>
        <item x="624"/>
        <item x="104"/>
        <item x="629"/>
        <item x="246"/>
        <item x="4"/>
        <item x="103"/>
        <item x="397"/>
        <item x="282"/>
        <item x="81"/>
        <item x="290"/>
        <item x="353"/>
        <item x="616"/>
        <item x="310"/>
        <item x="194"/>
        <item x="17"/>
        <item x="64"/>
        <item x="387"/>
        <item x="268"/>
        <item x="603"/>
        <item x="519"/>
        <item x="307"/>
        <item x="38"/>
        <item x="438"/>
        <item x="221"/>
        <item x="576"/>
        <item x="278"/>
        <item x="587"/>
        <item x="434"/>
        <item x="584"/>
        <item x="607"/>
        <item x="257"/>
        <item x="448"/>
        <item x="228"/>
        <item x="604"/>
        <item x="388"/>
        <item x="503"/>
        <item x="343"/>
        <item x="240"/>
        <item x="202"/>
        <item x="52"/>
        <item x="382"/>
        <item x="235"/>
        <item x="532"/>
        <item x="567"/>
        <item x="51"/>
        <item x="521"/>
        <item x="487"/>
        <item x="78"/>
        <item x="107"/>
        <item x="412"/>
        <item x="320"/>
        <item x="226"/>
        <item x="153"/>
        <item x="544"/>
        <item x="249"/>
        <item x="572"/>
        <item x="594"/>
        <item x="446"/>
        <item x="106"/>
        <item x="90"/>
        <item x="540"/>
        <item x="277"/>
        <item x="16"/>
        <item x="260"/>
        <item x="174"/>
        <item x="389"/>
        <item x="562"/>
        <item x="560"/>
        <item x="149"/>
        <item x="347"/>
        <item x="11"/>
        <item x="203"/>
        <item x="369"/>
        <item x="445"/>
        <item x="614"/>
        <item x="181"/>
        <item x="189"/>
        <item x="255"/>
        <item x="557"/>
        <item x="333"/>
        <item x="418"/>
        <item x="262"/>
        <item x="180"/>
        <item x="568"/>
        <item x="513"/>
        <item x="588"/>
        <item x="471"/>
        <item x="549"/>
        <item x="302"/>
        <item x="110"/>
        <item x="374"/>
        <item x="1"/>
        <item x="160"/>
        <item x="501"/>
        <item x="31"/>
        <item x="9"/>
        <item x="67"/>
        <item x="553"/>
        <item x="435"/>
        <item x="383"/>
        <item x="111"/>
        <item x="10"/>
        <item x="100"/>
        <item x="152"/>
        <item x="630"/>
        <item x="352"/>
        <item x="429"/>
        <item x="287"/>
        <item x="200"/>
        <item x="101"/>
        <item x="419"/>
        <item x="450"/>
        <item x="413"/>
        <item x="417"/>
        <item x="256"/>
        <item x="424"/>
        <item x="212"/>
        <item x="365"/>
        <item x="313"/>
        <item x="556"/>
        <item x="479"/>
        <item x="283"/>
        <item x="73"/>
        <item x="126"/>
        <item x="324"/>
        <item x="8"/>
        <item x="276"/>
        <item x="113"/>
        <item x="451"/>
        <item x="304"/>
        <item x="179"/>
        <item x="529"/>
        <item x="261"/>
        <item x="21"/>
        <item x="593"/>
        <item x="139"/>
        <item x="390"/>
        <item x="339"/>
        <item x="141"/>
        <item x="470"/>
        <item x="510"/>
        <item x="117"/>
        <item x="321"/>
        <item x="545"/>
        <item x="600"/>
        <item x="124"/>
        <item x="250"/>
        <item x="460"/>
        <item x="105"/>
        <item x="167"/>
        <item x="344"/>
        <item x="436"/>
        <item x="66"/>
        <item x="186"/>
        <item x="75"/>
        <item x="258"/>
        <item x="346"/>
        <item x="428"/>
        <item x="542"/>
        <item x="98"/>
        <item x="24"/>
        <item x="548"/>
        <item x="61"/>
        <item x="292"/>
        <item x="140"/>
        <item x="222"/>
        <item x="602"/>
        <item x="185"/>
        <item x="170"/>
        <item x="251"/>
        <item x="48"/>
        <item x="491"/>
        <item x="396"/>
        <item x="293"/>
        <item x="338"/>
        <item x="244"/>
        <item x="166"/>
        <item x="443"/>
        <item x="465"/>
        <item x="325"/>
        <item x="409"/>
        <item x="577"/>
        <item x="197"/>
        <item x="265"/>
        <item x="495"/>
        <item x="464"/>
        <item x="169"/>
        <item x="199"/>
        <item x="247"/>
        <item x="442"/>
        <item x="476"/>
        <item x="323"/>
        <item x="364"/>
        <item x="279"/>
        <item x="473"/>
        <item x="151"/>
        <item x="502"/>
        <item x="148"/>
        <item x="423"/>
        <item x="580"/>
        <item x="274"/>
        <item x="281"/>
        <item x="223"/>
        <item x="539"/>
        <item x="27"/>
        <item x="410"/>
        <item x="254"/>
        <item x="269"/>
        <item x="457"/>
        <item x="245"/>
        <item x="590"/>
        <item x="63"/>
        <item x="355"/>
        <item x="482"/>
        <item x="468"/>
        <item x="430"/>
        <item x="85"/>
        <item x="230"/>
        <item x="314"/>
        <item x="300"/>
        <item x="116"/>
        <item x="316"/>
        <item x="392"/>
        <item x="558"/>
        <item x="312"/>
        <item x="427"/>
        <item x="133"/>
        <item x="559"/>
        <item x="348"/>
        <item x="351"/>
        <item x="59"/>
        <item x="489"/>
        <item x="485"/>
        <item x="358"/>
        <item x="46"/>
        <item x="237"/>
        <item x="70"/>
        <item x="44"/>
        <item x="319"/>
        <item x="368"/>
        <item x="129"/>
        <item x="398"/>
        <item x="271"/>
        <item x="628"/>
        <item x="135"/>
        <item x="581"/>
        <item x="182"/>
        <item x="500"/>
        <item x="266"/>
        <item x="138"/>
        <item x="294"/>
        <item x="511"/>
        <item x="233"/>
        <item x="626"/>
        <item x="242"/>
        <item x="214"/>
        <item x="582"/>
        <item x="535"/>
        <item x="492"/>
        <item x="144"/>
        <item x="334"/>
        <item x="512"/>
        <item x="92"/>
        <item x="156"/>
        <item x="627"/>
        <item x="534"/>
        <item x="87"/>
        <item x="74"/>
        <item x="284"/>
        <item x="191"/>
        <item x="401"/>
        <item x="150"/>
        <item x="227"/>
        <item x="295"/>
        <item x="82"/>
        <item x="360"/>
        <item x="550"/>
        <item x="586"/>
        <item x="322"/>
        <item x="332"/>
        <item x="342"/>
        <item x="36"/>
        <item x="425"/>
        <item x="606"/>
        <item x="241"/>
        <item x="79"/>
        <item x="380"/>
        <item x="363"/>
        <item x="272"/>
        <item x="146"/>
        <item x="354"/>
        <item x="311"/>
        <item x="280"/>
        <item x="19"/>
        <item x="243"/>
        <item x="25"/>
        <item x="367"/>
        <item x="573"/>
        <item x="366"/>
        <item x="42"/>
        <item x="95"/>
        <item x="455"/>
        <item x="239"/>
        <item x="7"/>
        <item x="349"/>
        <item x="472"/>
        <item x="35"/>
        <item x="115"/>
        <item x="400"/>
        <item x="306"/>
        <item x="123"/>
        <item x="459"/>
        <item x="263"/>
        <item x="385"/>
        <item x="225"/>
        <item x="201"/>
        <item x="541"/>
        <item x="330"/>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3">
    <i>
      <x v="66"/>
    </i>
    <i>
      <x v="228"/>
    </i>
    <i t="grand">
      <x/>
    </i>
  </rowItems>
  <colItems count="1">
    <i/>
  </colItems>
  <dataFields count="1">
    <dataField name="Count of Enrollment ID" fld="1" subtotal="count" baseField="0" baseItem="0"/>
  </dataFields>
  <chartFormats count="2">
    <chartFormat chart="10" format="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2" type="count" evalOrder="-1" id="566" iMeasureFld="0">
      <autoFilter ref="A1">
        <filterColumn colId="0">
          <top10 val="2" filterVal="2"/>
        </filterColumn>
      </autoFilter>
    </filter>
    <filter fld="5" type="dateBetween" evalOrder="-1" id="564" name="Enrollmen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839D83-1A4E-4262-A315-C3633FD3C0B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16">
    <pivotField showAll="0"/>
    <pivotField dataField="1" showAll="0"/>
    <pivotField showAll="0"/>
    <pivotField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showAll="0">
      <items count="8">
        <item x="3"/>
        <item x="1"/>
        <item x="2"/>
        <item x="5"/>
        <item x="4"/>
        <item x="0"/>
        <item x="6"/>
        <item t="default"/>
      </items>
    </pivotField>
    <pivotField showAll="0"/>
    <pivotField showAll="0">
      <items count="9">
        <item x="5"/>
        <item x="1"/>
        <item x="7"/>
        <item x="0"/>
        <item x="2"/>
        <item x="3"/>
        <item x="6"/>
        <item x="4"/>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Count of Enrollment ID" fld="1" subtotal="count" baseField="0" baseItem="0"/>
    <dataField name="Sum of Fees" fld="11" baseField="0" baseItem="0"/>
    <dataField name="Average of Fees" fld="11" subtotal="average" baseField="0" baseItem="0"/>
  </dataFields>
  <pivotTableStyleInfo name="PivotStyleLight16" showRowHeaders="1" showColHeaders="1" showRowStripes="0" showColStripes="0" showLastColumn="1"/>
  <filters count="1">
    <filter fld="5" type="dateBetween" evalOrder="-1" id="564" name="Enrollment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A81A5E57-2CFD-43F1-B625-A47FE891CB44}" sourceName="Course ">
  <pivotTables>
    <pivotTable tabId="22" name="PivotTable4"/>
    <pivotTable tabId="23" name="PivotTable5"/>
    <pivotTable tabId="24" name="PivotTable6"/>
    <pivotTable tabId="25" name="PivotTable7"/>
    <pivotTable tabId="26" name="PivotTable10"/>
    <pivotTable tabId="27" name="PivotTable9"/>
    <pivotTable tabId="19" name="PivotTable2"/>
    <pivotTable tabId="21" name="PivotTable8"/>
  </pivotTables>
  <data>
    <tabular pivotCacheId="38540144">
      <items count="8">
        <i x="5" s="1"/>
        <i x="1" s="1"/>
        <i x="7" s="1"/>
        <i x="0" s="1"/>
        <i x="2" s="1"/>
        <i x="3"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ource" xr10:uid="{72774C2A-548A-4A6B-A6FD-4CDDEC22A174}" sourceName="Lead Source">
  <pivotTables>
    <pivotTable tabId="24" name="PivotTable6"/>
    <pivotTable tabId="23" name="PivotTable5"/>
    <pivotTable tabId="25" name="PivotTable7"/>
    <pivotTable tabId="26" name="PivotTable10"/>
    <pivotTable tabId="27" name="PivotTable9"/>
    <pivotTable tabId="19" name="PivotTable2"/>
    <pivotTable tabId="21" name="PivotTable8"/>
    <pivotTable tabId="22" name="PivotTable4"/>
  </pivotTables>
  <data>
    <tabular pivotCacheId="38540144">
      <items count="7">
        <i x="3" s="1"/>
        <i x="1" s="1"/>
        <i x="2" s="1"/>
        <i x="5" s="1"/>
        <i x="4"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BE0F0ACC-2EFE-4E13-9641-4D43BCA16CAC}" sourceName="Month">
  <pivotTables>
    <pivotTable tabId="25" name="PivotTable7"/>
    <pivotTable tabId="23" name="PivotTable5"/>
    <pivotTable tabId="24" name="PivotTable6"/>
    <pivotTable tabId="26" name="PivotTable10"/>
    <pivotTable tabId="27" name="PivotTable9"/>
    <pivotTable tabId="19" name="PivotTable2"/>
    <pivotTable tabId="21" name="PivotTable8"/>
    <pivotTable tabId="22" name="PivotTable4"/>
  </pivotTables>
  <data>
    <tabular pivotCacheId="3854014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2" xr10:uid="{2CA42627-E729-4ABB-8E85-E124C02A8121}" cache="Slicer_Course" caption="Course " startItem="3" rowHeight="234950"/>
  <slicer name="Lead Source 2" xr10:uid="{F09CFAE1-1F2B-461D-A892-A3920140BDF9}" cache="Slicer_Lead_Source" caption="Lead Source" rowHeight="234950"/>
  <slicer name="Month 3" xr10:uid="{E28D5905-B367-4FD1-8BC9-2166CD36F061}" cache="Slicer_Month1"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3" xr10:uid="{2897CF8F-AEA2-492E-953A-42557C65B072}" cache="Slicer_Course" caption="Course " startItem="2" rowHeight="234950"/>
  <slicer name="Lead Source 3" xr10:uid="{740608E7-20DE-463A-81CA-DB61FCE061C9}" cache="Slicer_Lead_Source" caption="Lead Source" rowHeight="234950"/>
  <slicer name="Month 4" xr10:uid="{7AB64F8B-BADD-4095-BB4B-A7F330B49B40}" cache="Slicer_Month1"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 xr10:uid="{4930FE5D-1641-4608-8885-60AD64C234E8}" cache="Slicer_Course" caption="Course "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Source" xr10:uid="{60C43375-3C08-4BE3-B17A-7CE6AD22614C}" cache="Slicer_Lead_Source" caption="Lead Sourc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58EE1FD-B962-4B4A-8E30-4E66E86BD6B5}" cache="Slicer_Month1"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EB4D52-2D4B-4225-9AA6-0B47C53E5D48}" name="Table1" displayName="Table1" ref="A1:M2500" totalsRowShown="0">
  <autoFilter ref="A1:M2500" xr:uid="{A0EB4D52-2D4B-4225-9AA6-0B47C53E5D48}"/>
  <tableColumns count="13">
    <tableColumn id="1" xr3:uid="{E1C69D94-A626-461D-A28A-72249AC663EF}" name="Record ID"/>
    <tableColumn id="2" xr3:uid="{B177D139-E0E2-47DB-A6AF-5E9FEA09EBBF}" name="Enrollment ID"/>
    <tableColumn id="3" xr3:uid="{1A553561-0BFB-4492-893E-7E89A7BF9F97}" name="Student ID" dataDxfId="3"/>
    <tableColumn id="4" xr3:uid="{834B520C-7D09-416A-B756-F43227695B82}" name="Gender"/>
    <tableColumn id="5" xr3:uid="{6695E66C-A413-4007-88E3-D3CBE094C3DC}" name="Age"/>
    <tableColumn id="6" xr3:uid="{D2E827AD-EA5F-426C-AA5B-8E86883CD728}" name="Enrollment date" dataDxfId="2"/>
    <tableColumn id="15" xr3:uid="{33F055E7-4511-4C5B-82E7-E1F11502235C}" name="Month" dataDxfId="1">
      <calculatedColumnFormula>TEXT(Table1[[#This Row],[Enrollment date]], "mmm")</calculatedColumnFormula>
    </tableColumn>
    <tableColumn id="7" xr3:uid="{5DBAAFA1-F030-4372-817C-092AFFECF6D4}" name="Enrollment Status"/>
    <tableColumn id="8" xr3:uid="{1EBD4619-CCF3-493C-82B5-089AFACA28AE}" name="Lead Source"/>
    <tableColumn id="9" xr3:uid="{27FD3F37-B6F0-4720-8681-299901A79927}" name="Course Code" dataDxfId="0">
      <calculatedColumnFormula>_xlfn.XLOOKUP(Table1[[#This Row],[Course ]], CCF!B:B, CCF!A:A)</calculatedColumnFormula>
    </tableColumn>
    <tableColumn id="10" xr3:uid="{EC7B5B46-E7F9-4194-9325-96C44E8F473C}" name="Course "/>
    <tableColumn id="11" xr3:uid="{68B1EADC-E68C-4573-8EE0-158543304FC6}" name="Fees">
      <calculatedColumnFormula>_xlfn.XLOOKUP(K2, CCF!B:B, CCF!C:C)</calculatedColumnFormula>
    </tableColumn>
    <tableColumn id="12" xr3:uid="{9ACAF7E9-DBCF-4C88-AB45-82BC6BE8D7E9}" name="City"/>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nrollment_Date" xr10:uid="{946A1C32-F2AC-4D29-99E5-1A7D616A715B}" sourceName="Enrollment Date">
  <pivotTables>
    <pivotTable tabId="19" name="PivotTable2"/>
    <pivotTable tabId="23" name="PivotTable5"/>
    <pivotTable tabId="24" name="PivotTable6"/>
    <pivotTable tabId="25" name="PivotTable7"/>
    <pivotTable tabId="26" name="PivotTable10"/>
    <pivotTable tabId="27" name="PivotTable9"/>
    <pivotTable tabId="21" name="PivotTable8"/>
    <pivotTable tabId="22" name="PivotTable4"/>
  </pivotTables>
  <state minimalRefreshVersion="6" lastRefreshVersion="6" pivotCacheId="38540144" filterType="dateBetween">
    <selection startDate="2024-01-01T00:00:00" endDate="2024-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nrollment date 1" xr10:uid="{54EDF504-B60D-476E-9DFD-711405086AFA}" cache="NativeTimeline_Enrollment_Date" caption="Enrollment date" showHeader="0" showSelectionLabel="0" showTimeLevel="0" level="2" selectionLevel="0" scrollPosition="2024-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nrollment date 3" xr10:uid="{28453F36-914A-4A09-8743-D05F6A33D59F}" cache="NativeTimeline_Enrollment_Date" caption="Enrollment date" showHeader="0" showSelectionLabel="0" showTimeLevel="0" level="2" selectionLevel="0" scrollPosition="2024-01-01T00:00:00" style="TimeSlicerStyleDark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nrollment Date" xr10:uid="{8BEA127A-0715-4944-8F0E-3ABCFAEF6771}" cache="NativeTimeline_Enrollment_Date" caption="Enrollment Date" showHeader="0" showSelectionLabel="0" showTimeLevel="0" level="2" selectionLevel="0" scrollPosition="2024-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11/relationships/timeline" Target="../timelines/timeline3.xml"/><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64EB-7610-4B54-9524-ACFCB2C7FD65}">
  <dimension ref="A1:M2500"/>
  <sheetViews>
    <sheetView zoomScale="120" zoomScaleNormal="95" workbookViewId="0">
      <selection activeCell="A2" sqref="A2"/>
    </sheetView>
  </sheetViews>
  <sheetFormatPr defaultColWidth="9.5546875" defaultRowHeight="14.4" x14ac:dyDescent="0.3"/>
  <cols>
    <col min="1" max="1" width="11.5546875" bestFit="1" customWidth="1"/>
    <col min="2" max="2" width="14.77734375" bestFit="1" customWidth="1"/>
    <col min="3" max="3" width="12" style="5" bestFit="1" customWidth="1"/>
    <col min="4" max="4" width="9.44140625" bestFit="1" customWidth="1"/>
    <col min="5" max="5" width="6.44140625" bestFit="1" customWidth="1"/>
    <col min="6" max="6" width="17.109375" style="1" bestFit="1" customWidth="1"/>
    <col min="7" max="7" width="17.109375" customWidth="1"/>
    <col min="8" max="8" width="18.21875" bestFit="1" customWidth="1"/>
    <col min="9" max="9" width="14.21875" bestFit="1" customWidth="1"/>
    <col min="10" max="10" width="14" bestFit="1" customWidth="1"/>
    <col min="11" max="11" width="20.33203125" customWidth="1"/>
    <col min="13" max="13" width="37.33203125" bestFit="1" customWidth="1"/>
  </cols>
  <sheetData>
    <row r="1" spans="1:13" x14ac:dyDescent="0.3">
      <c r="A1" t="s">
        <v>353</v>
      </c>
      <c r="B1" t="s">
        <v>354</v>
      </c>
      <c r="C1" s="5" t="s">
        <v>355</v>
      </c>
      <c r="D1" t="s">
        <v>0</v>
      </c>
      <c r="E1" t="s">
        <v>1</v>
      </c>
      <c r="F1" s="1" t="s">
        <v>3165</v>
      </c>
      <c r="G1" t="s">
        <v>348</v>
      </c>
      <c r="H1" t="s">
        <v>356</v>
      </c>
      <c r="I1" t="s">
        <v>357</v>
      </c>
      <c r="J1" t="s">
        <v>358</v>
      </c>
      <c r="K1" t="s">
        <v>362</v>
      </c>
      <c r="L1" t="s">
        <v>359</v>
      </c>
      <c r="M1" t="s">
        <v>239</v>
      </c>
    </row>
    <row r="2" spans="1:13" x14ac:dyDescent="0.3">
      <c r="A2">
        <v>1</v>
      </c>
      <c r="B2" t="s">
        <v>668</v>
      </c>
      <c r="C2" s="3">
        <v>27265</v>
      </c>
      <c r="D2" t="s">
        <v>666</v>
      </c>
      <c r="E2">
        <v>42</v>
      </c>
      <c r="F2" s="1">
        <v>45292</v>
      </c>
      <c r="G2" s="1" t="str">
        <f>TEXT(Table1[[#This Row],[Enrollment date]], "mmm")</f>
        <v>Jan</v>
      </c>
      <c r="H2" t="s">
        <v>360</v>
      </c>
      <c r="I2" t="s">
        <v>659</v>
      </c>
      <c r="J2" t="str">
        <f>_xlfn.XLOOKUP(Table1[[#This Row],[Course ]], CCF!B:B, CCF!A:A)</f>
        <v>DA202</v>
      </c>
      <c r="K2" t="s">
        <v>363</v>
      </c>
      <c r="L2">
        <f>_xlfn.XLOOKUP(K2, CCF!B:B, CCF!C:C)</f>
        <v>79999</v>
      </c>
      <c r="M2" t="s">
        <v>177</v>
      </c>
    </row>
    <row r="3" spans="1:13" x14ac:dyDescent="0.3">
      <c r="A3">
        <v>2</v>
      </c>
      <c r="B3" t="s">
        <v>669</v>
      </c>
      <c r="C3" s="3">
        <v>92367</v>
      </c>
      <c r="D3" t="s">
        <v>666</v>
      </c>
      <c r="E3">
        <v>20</v>
      </c>
      <c r="F3" s="1">
        <v>45292</v>
      </c>
      <c r="G3" s="1" t="str">
        <f>TEXT(Table1[[#This Row],[Enrollment date]], "mmm")</f>
        <v>Jan</v>
      </c>
      <c r="H3" t="s">
        <v>360</v>
      </c>
      <c r="I3" t="s">
        <v>659</v>
      </c>
      <c r="J3" t="str">
        <f>_xlfn.XLOOKUP(Table1[[#This Row],[Course ]], CCF!B:B, CCF!A:A)</f>
        <v>DA202</v>
      </c>
      <c r="K3" t="s">
        <v>363</v>
      </c>
      <c r="L3">
        <f>_xlfn.XLOOKUP(K3, CCF!B:B, CCF!C:C)</f>
        <v>79999</v>
      </c>
      <c r="M3" t="s">
        <v>38</v>
      </c>
    </row>
    <row r="4" spans="1:13" x14ac:dyDescent="0.3">
      <c r="A4">
        <v>3</v>
      </c>
      <c r="B4" t="s">
        <v>670</v>
      </c>
      <c r="C4" s="3">
        <v>83614</v>
      </c>
      <c r="D4" t="s">
        <v>666</v>
      </c>
      <c r="E4">
        <v>68</v>
      </c>
      <c r="F4" s="1">
        <v>45293</v>
      </c>
      <c r="G4" s="1" t="str">
        <f>TEXT(Table1[[#This Row],[Enrollment date]], "mmm")</f>
        <v>Jan</v>
      </c>
      <c r="H4" t="s">
        <v>360</v>
      </c>
      <c r="I4" t="s">
        <v>660</v>
      </c>
      <c r="J4" t="str">
        <f>_xlfn.XLOOKUP(Table1[[#This Row],[Course ]], CCF!B:B, CCF!A:A)</f>
        <v>DA202</v>
      </c>
      <c r="K4" t="s">
        <v>363</v>
      </c>
      <c r="L4">
        <f>_xlfn.XLOOKUP(K4, CCF!B:B, CCF!C:C)</f>
        <v>79999</v>
      </c>
      <c r="M4" t="s">
        <v>33</v>
      </c>
    </row>
    <row r="5" spans="1:13" x14ac:dyDescent="0.3">
      <c r="A5">
        <v>4</v>
      </c>
      <c r="B5" t="s">
        <v>671</v>
      </c>
      <c r="C5" s="3">
        <v>76280</v>
      </c>
      <c r="D5" t="s">
        <v>666</v>
      </c>
      <c r="E5">
        <v>24</v>
      </c>
      <c r="F5" s="1">
        <v>45293</v>
      </c>
      <c r="G5" s="1" t="str">
        <f>TEXT(Table1[[#This Row],[Enrollment date]], "mmm")</f>
        <v>Jan</v>
      </c>
      <c r="H5" t="s">
        <v>360</v>
      </c>
      <c r="I5" t="s">
        <v>660</v>
      </c>
      <c r="J5" t="str">
        <f>_xlfn.XLOOKUP(Table1[[#This Row],[Course ]], CCF!B:B, CCF!A:A)</f>
        <v>BA301</v>
      </c>
      <c r="K5" t="s">
        <v>364</v>
      </c>
      <c r="L5">
        <f>_xlfn.XLOOKUP(K5, CCF!B:B, CCF!C:C)</f>
        <v>59999</v>
      </c>
      <c r="M5" t="s">
        <v>9</v>
      </c>
    </row>
    <row r="6" spans="1:13" x14ac:dyDescent="0.3">
      <c r="A6">
        <v>5</v>
      </c>
      <c r="B6" t="s">
        <v>672</v>
      </c>
      <c r="C6" s="3">
        <v>79354</v>
      </c>
      <c r="D6" t="s">
        <v>666</v>
      </c>
      <c r="E6">
        <v>27</v>
      </c>
      <c r="F6" s="1">
        <v>45293</v>
      </c>
      <c r="G6" s="1" t="str">
        <f>TEXT(Table1[[#This Row],[Enrollment date]], "mmm")</f>
        <v>Jan</v>
      </c>
      <c r="H6" t="s">
        <v>360</v>
      </c>
      <c r="I6" t="s">
        <v>659</v>
      </c>
      <c r="J6" t="str">
        <f>_xlfn.XLOOKUP(Table1[[#This Row],[Course ]], CCF!B:B, CCF!A:A)</f>
        <v>DM101</v>
      </c>
      <c r="K6" t="s">
        <v>365</v>
      </c>
      <c r="L6">
        <f>_xlfn.XLOOKUP(K6, CCF!B:B, CCF!C:C)</f>
        <v>85499</v>
      </c>
      <c r="M6" t="s">
        <v>369</v>
      </c>
    </row>
    <row r="7" spans="1:13" x14ac:dyDescent="0.3">
      <c r="A7">
        <v>6</v>
      </c>
      <c r="B7" t="s">
        <v>673</v>
      </c>
      <c r="C7" s="3">
        <v>97495</v>
      </c>
      <c r="D7" t="s">
        <v>666</v>
      </c>
      <c r="E7">
        <v>23</v>
      </c>
      <c r="F7" s="1">
        <v>45293</v>
      </c>
      <c r="G7" s="1" t="str">
        <f>TEXT(Table1[[#This Row],[Enrollment date]], "mmm")</f>
        <v>Jan</v>
      </c>
      <c r="H7" t="s">
        <v>361</v>
      </c>
      <c r="I7" t="s">
        <v>661</v>
      </c>
      <c r="J7" t="str">
        <f>_xlfn.XLOOKUP(Table1[[#This Row],[Course ]], CCF!B:B, CCF!A:A)</f>
        <v>DM101</v>
      </c>
      <c r="K7" t="s">
        <v>365</v>
      </c>
      <c r="L7">
        <f>_xlfn.XLOOKUP(K7, CCF!B:B, CCF!C:C)</f>
        <v>85499</v>
      </c>
      <c r="M7" t="s">
        <v>7</v>
      </c>
    </row>
    <row r="8" spans="1:13" x14ac:dyDescent="0.3">
      <c r="A8">
        <v>7</v>
      </c>
      <c r="B8" t="s">
        <v>674</v>
      </c>
      <c r="C8" s="3">
        <v>60681</v>
      </c>
      <c r="D8" t="s">
        <v>666</v>
      </c>
      <c r="E8">
        <v>29</v>
      </c>
      <c r="F8" s="1">
        <v>45293</v>
      </c>
      <c r="G8" s="1" t="str">
        <f>TEXT(Table1[[#This Row],[Enrollment date]], "mmm")</f>
        <v>Jan</v>
      </c>
      <c r="H8" t="s">
        <v>360</v>
      </c>
      <c r="I8" t="s">
        <v>660</v>
      </c>
      <c r="J8" t="str">
        <f>_xlfn.XLOOKUP(Table1[[#This Row],[Course ]], CCF!B:B, CCF!A:A)</f>
        <v>BA301</v>
      </c>
      <c r="K8" t="s">
        <v>364</v>
      </c>
      <c r="L8">
        <f>_xlfn.XLOOKUP(K8, CCF!B:B, CCF!C:C)</f>
        <v>59999</v>
      </c>
      <c r="M8" t="s">
        <v>370</v>
      </c>
    </row>
    <row r="9" spans="1:13" x14ac:dyDescent="0.3">
      <c r="A9">
        <v>8</v>
      </c>
      <c r="B9" t="s">
        <v>675</v>
      </c>
      <c r="C9" s="3">
        <v>71303</v>
      </c>
      <c r="D9" t="s">
        <v>666</v>
      </c>
      <c r="E9">
        <v>44</v>
      </c>
      <c r="F9" s="1">
        <v>45294</v>
      </c>
      <c r="G9" s="1" t="str">
        <f>TEXT(Table1[[#This Row],[Enrollment date]], "mmm")</f>
        <v>Jan</v>
      </c>
      <c r="H9" t="s">
        <v>360</v>
      </c>
      <c r="I9" t="s">
        <v>661</v>
      </c>
      <c r="J9" t="str">
        <f>_xlfn.XLOOKUP(Table1[[#This Row],[Course ]], CCF!B:B, CCF!A:A)</f>
        <v>BA301</v>
      </c>
      <c r="K9" t="s">
        <v>364</v>
      </c>
      <c r="L9">
        <f>_xlfn.XLOOKUP(K9, CCF!B:B, CCF!C:C)</f>
        <v>59999</v>
      </c>
      <c r="M9" t="s">
        <v>9</v>
      </c>
    </row>
    <row r="10" spans="1:13" x14ac:dyDescent="0.3">
      <c r="A10">
        <v>9</v>
      </c>
      <c r="B10" t="s">
        <v>676</v>
      </c>
      <c r="C10" s="3">
        <v>29667</v>
      </c>
      <c r="D10" t="s">
        <v>667</v>
      </c>
      <c r="E10">
        <v>46</v>
      </c>
      <c r="F10" s="1">
        <v>45294</v>
      </c>
      <c r="G10" s="1" t="str">
        <f>TEXT(Table1[[#This Row],[Enrollment date]], "mmm")</f>
        <v>Jan</v>
      </c>
      <c r="H10" t="s">
        <v>360</v>
      </c>
      <c r="I10" t="s">
        <v>660</v>
      </c>
      <c r="J10" t="str">
        <f>_xlfn.XLOOKUP(Table1[[#This Row],[Course ]], CCF!B:B, CCF!A:A)</f>
        <v>DM101</v>
      </c>
      <c r="K10" t="s">
        <v>365</v>
      </c>
      <c r="L10">
        <f>_xlfn.XLOOKUP(K10, CCF!B:B, CCF!C:C)</f>
        <v>85499</v>
      </c>
      <c r="M10" t="s">
        <v>75</v>
      </c>
    </row>
    <row r="11" spans="1:13" x14ac:dyDescent="0.3">
      <c r="A11">
        <v>10</v>
      </c>
      <c r="B11" t="s">
        <v>677</v>
      </c>
      <c r="C11" s="3">
        <v>39286</v>
      </c>
      <c r="D11" t="s">
        <v>666</v>
      </c>
      <c r="E11">
        <v>25</v>
      </c>
      <c r="F11" s="1">
        <v>45294</v>
      </c>
      <c r="G11" s="1" t="str">
        <f>TEXT(Table1[[#This Row],[Enrollment date]], "mmm")</f>
        <v>Jan</v>
      </c>
      <c r="H11" t="s">
        <v>360</v>
      </c>
      <c r="I11" t="s">
        <v>665</v>
      </c>
      <c r="J11" t="str">
        <f>_xlfn.XLOOKUP(Table1[[#This Row],[Course ]], CCF!B:B, CCF!A:A)</f>
        <v>BA301</v>
      </c>
      <c r="K11" t="s">
        <v>364</v>
      </c>
      <c r="L11">
        <f>_xlfn.XLOOKUP(K11, CCF!B:B, CCF!C:C)</f>
        <v>59999</v>
      </c>
      <c r="M11" t="s">
        <v>8</v>
      </c>
    </row>
    <row r="12" spans="1:13" x14ac:dyDescent="0.3">
      <c r="A12">
        <v>11</v>
      </c>
      <c r="B12" t="s">
        <v>678</v>
      </c>
      <c r="C12" s="3">
        <v>10777</v>
      </c>
      <c r="D12" t="s">
        <v>666</v>
      </c>
      <c r="E12">
        <v>22</v>
      </c>
      <c r="F12" s="1">
        <v>45294</v>
      </c>
      <c r="G12" s="1" t="str">
        <f>TEXT(Table1[[#This Row],[Enrollment date]], "mmm")</f>
        <v>Jan</v>
      </c>
      <c r="H12" t="s">
        <v>360</v>
      </c>
      <c r="I12" t="s">
        <v>659</v>
      </c>
      <c r="J12" t="str">
        <f>_xlfn.XLOOKUP(Table1[[#This Row],[Course ]], CCF!B:B, CCF!A:A)</f>
        <v>DM101</v>
      </c>
      <c r="K12" t="s">
        <v>365</v>
      </c>
      <c r="L12">
        <f>_xlfn.XLOOKUP(K12, CCF!B:B, CCF!C:C)</f>
        <v>85499</v>
      </c>
      <c r="M12" t="s">
        <v>27</v>
      </c>
    </row>
    <row r="13" spans="1:13" x14ac:dyDescent="0.3">
      <c r="A13">
        <v>12</v>
      </c>
      <c r="B13" t="s">
        <v>679</v>
      </c>
      <c r="C13" s="3">
        <v>73426</v>
      </c>
      <c r="D13" t="s">
        <v>666</v>
      </c>
      <c r="E13">
        <v>35</v>
      </c>
      <c r="F13" s="1">
        <v>45295</v>
      </c>
      <c r="G13" s="1" t="str">
        <f>TEXT(Table1[[#This Row],[Enrollment date]], "mmm")</f>
        <v>Jan</v>
      </c>
      <c r="H13" t="s">
        <v>3</v>
      </c>
      <c r="I13" t="s">
        <v>661</v>
      </c>
      <c r="J13" t="str">
        <f>_xlfn.XLOOKUP(Table1[[#This Row],[Course ]], CCF!B:B, CCF!A:A)</f>
        <v>DA202</v>
      </c>
      <c r="K13" t="s">
        <v>363</v>
      </c>
      <c r="L13">
        <f>_xlfn.XLOOKUP(K13, CCF!B:B, CCF!C:C)</f>
        <v>79999</v>
      </c>
      <c r="M13" t="s">
        <v>85</v>
      </c>
    </row>
    <row r="14" spans="1:13" x14ac:dyDescent="0.3">
      <c r="A14">
        <v>13</v>
      </c>
      <c r="B14" t="s">
        <v>680</v>
      </c>
      <c r="C14" s="3">
        <v>41810</v>
      </c>
      <c r="D14" t="s">
        <v>666</v>
      </c>
      <c r="E14">
        <v>39</v>
      </c>
      <c r="F14" s="1">
        <v>45295</v>
      </c>
      <c r="G14" s="1" t="str">
        <f>TEXT(Table1[[#This Row],[Enrollment date]], "mmm")</f>
        <v>Jan</v>
      </c>
      <c r="H14" t="s">
        <v>360</v>
      </c>
      <c r="I14" t="s">
        <v>660</v>
      </c>
      <c r="J14" t="str">
        <f>_xlfn.XLOOKUP(Table1[[#This Row],[Course ]], CCF!B:B, CCF!A:A)</f>
        <v>BA301</v>
      </c>
      <c r="K14" t="s">
        <v>364</v>
      </c>
      <c r="L14">
        <f>_xlfn.XLOOKUP(K14, CCF!B:B, CCF!C:C)</f>
        <v>59999</v>
      </c>
      <c r="M14" t="s">
        <v>160</v>
      </c>
    </row>
    <row r="15" spans="1:13" x14ac:dyDescent="0.3">
      <c r="A15">
        <v>14</v>
      </c>
      <c r="B15" t="s">
        <v>681</v>
      </c>
      <c r="C15" s="3">
        <v>76865</v>
      </c>
      <c r="D15" t="s">
        <v>667</v>
      </c>
      <c r="E15">
        <v>43</v>
      </c>
      <c r="F15" s="1">
        <v>45295</v>
      </c>
      <c r="G15" s="1" t="str">
        <f>TEXT(Table1[[#This Row],[Enrollment date]], "mmm")</f>
        <v>Jan</v>
      </c>
      <c r="H15" t="s">
        <v>3</v>
      </c>
      <c r="I15" t="s">
        <v>659</v>
      </c>
      <c r="J15" t="str">
        <f>_xlfn.XLOOKUP(Table1[[#This Row],[Course ]], CCF!B:B, CCF!A:A)</f>
        <v>DA202</v>
      </c>
      <c r="K15" t="s">
        <v>363</v>
      </c>
      <c r="L15">
        <f>_xlfn.XLOOKUP(K15, CCF!B:B, CCF!C:C)</f>
        <v>79999</v>
      </c>
      <c r="M15" t="s">
        <v>294</v>
      </c>
    </row>
    <row r="16" spans="1:13" x14ac:dyDescent="0.3">
      <c r="A16">
        <v>15</v>
      </c>
      <c r="B16" t="s">
        <v>682</v>
      </c>
      <c r="C16" s="3">
        <v>50046</v>
      </c>
      <c r="D16" t="s">
        <v>666</v>
      </c>
      <c r="E16">
        <v>49</v>
      </c>
      <c r="F16" s="1">
        <v>45295</v>
      </c>
      <c r="G16" s="1" t="str">
        <f>TEXT(Table1[[#This Row],[Enrollment date]], "mmm")</f>
        <v>Jan</v>
      </c>
      <c r="H16" t="s">
        <v>360</v>
      </c>
      <c r="I16" t="s">
        <v>663</v>
      </c>
      <c r="J16" t="str">
        <f>_xlfn.XLOOKUP(Table1[[#This Row],[Course ]], CCF!B:B, CCF!A:A)</f>
        <v>DA202</v>
      </c>
      <c r="K16" t="s">
        <v>363</v>
      </c>
      <c r="L16">
        <f>_xlfn.XLOOKUP(K16, CCF!B:B, CCF!C:C)</f>
        <v>79999</v>
      </c>
      <c r="M16" t="s">
        <v>279</v>
      </c>
    </row>
    <row r="17" spans="1:13" x14ac:dyDescent="0.3">
      <c r="A17">
        <v>16</v>
      </c>
      <c r="B17" t="s">
        <v>683</v>
      </c>
      <c r="C17" s="3">
        <v>90448</v>
      </c>
      <c r="D17" t="s">
        <v>666</v>
      </c>
      <c r="E17">
        <v>52</v>
      </c>
      <c r="F17" s="1">
        <v>45295</v>
      </c>
      <c r="G17" s="1" t="str">
        <f>TEXT(Table1[[#This Row],[Enrollment date]], "mmm")</f>
        <v>Jan</v>
      </c>
      <c r="H17" t="s">
        <v>360</v>
      </c>
      <c r="I17" t="s">
        <v>659</v>
      </c>
      <c r="J17" t="str">
        <f>_xlfn.XLOOKUP(Table1[[#This Row],[Course ]], CCF!B:B, CCF!A:A)</f>
        <v>DM101</v>
      </c>
      <c r="K17" t="s">
        <v>365</v>
      </c>
      <c r="L17">
        <f>_xlfn.XLOOKUP(K17, CCF!B:B, CCF!C:C)</f>
        <v>85499</v>
      </c>
      <c r="M17" t="s">
        <v>84</v>
      </c>
    </row>
    <row r="18" spans="1:13" x14ac:dyDescent="0.3">
      <c r="A18">
        <v>17</v>
      </c>
      <c r="B18" t="s">
        <v>684</v>
      </c>
      <c r="C18" s="3">
        <v>39411</v>
      </c>
      <c r="D18" t="s">
        <v>666</v>
      </c>
      <c r="E18">
        <v>31</v>
      </c>
      <c r="F18" s="1">
        <v>45295</v>
      </c>
      <c r="G18" s="1" t="str">
        <f>TEXT(Table1[[#This Row],[Enrollment date]], "mmm")</f>
        <v>Jan</v>
      </c>
      <c r="H18" t="s">
        <v>360</v>
      </c>
      <c r="I18" t="s">
        <v>662</v>
      </c>
      <c r="J18" t="str">
        <f>_xlfn.XLOOKUP(Table1[[#This Row],[Course ]], CCF!B:B, CCF!A:A)</f>
        <v>DA202</v>
      </c>
      <c r="K18" t="s">
        <v>363</v>
      </c>
      <c r="L18">
        <f>_xlfn.XLOOKUP(K18, CCF!B:B, CCF!C:C)</f>
        <v>79999</v>
      </c>
      <c r="M18" t="s">
        <v>16</v>
      </c>
    </row>
    <row r="19" spans="1:13" x14ac:dyDescent="0.3">
      <c r="A19">
        <v>18</v>
      </c>
      <c r="B19" t="s">
        <v>685</v>
      </c>
      <c r="C19" s="3">
        <v>74950</v>
      </c>
      <c r="D19" t="s">
        <v>666</v>
      </c>
      <c r="E19">
        <v>65</v>
      </c>
      <c r="F19" s="1">
        <v>45295</v>
      </c>
      <c r="G19" s="1" t="str">
        <f>TEXT(Table1[[#This Row],[Enrollment date]], "mmm")</f>
        <v>Jan</v>
      </c>
      <c r="H19" t="s">
        <v>360</v>
      </c>
      <c r="I19" t="s">
        <v>665</v>
      </c>
      <c r="J19" t="str">
        <f>_xlfn.XLOOKUP(Table1[[#This Row],[Course ]], CCF!B:B, CCF!A:A)</f>
        <v>FSD103</v>
      </c>
      <c r="K19" t="s">
        <v>366</v>
      </c>
      <c r="L19">
        <f>_xlfn.XLOOKUP(K19, CCF!B:B, CCF!C:C)</f>
        <v>109990</v>
      </c>
      <c r="M19" t="s">
        <v>9</v>
      </c>
    </row>
    <row r="20" spans="1:13" x14ac:dyDescent="0.3">
      <c r="A20">
        <v>19</v>
      </c>
      <c r="B20" t="s">
        <v>686</v>
      </c>
      <c r="C20" s="3">
        <v>31353</v>
      </c>
      <c r="D20" t="s">
        <v>666</v>
      </c>
      <c r="E20">
        <v>49</v>
      </c>
      <c r="F20" s="1">
        <v>45295</v>
      </c>
      <c r="G20" s="1" t="str">
        <f>TEXT(Table1[[#This Row],[Enrollment date]], "mmm")</f>
        <v>Jan</v>
      </c>
      <c r="H20" t="s">
        <v>360</v>
      </c>
      <c r="I20" t="s">
        <v>660</v>
      </c>
      <c r="J20" t="str">
        <f>_xlfn.XLOOKUP(Table1[[#This Row],[Course ]], CCF!B:B, CCF!A:A)</f>
        <v>BA301</v>
      </c>
      <c r="K20" t="s">
        <v>364</v>
      </c>
      <c r="L20">
        <f>_xlfn.XLOOKUP(K20, CCF!B:B, CCF!C:C)</f>
        <v>59999</v>
      </c>
      <c r="M20" t="s">
        <v>38</v>
      </c>
    </row>
    <row r="21" spans="1:13" x14ac:dyDescent="0.3">
      <c r="A21">
        <v>20</v>
      </c>
      <c r="B21" t="s">
        <v>687</v>
      </c>
      <c r="C21" s="3">
        <v>33023</v>
      </c>
      <c r="D21" t="s">
        <v>666</v>
      </c>
      <c r="E21">
        <v>78</v>
      </c>
      <c r="F21" s="1">
        <v>45295</v>
      </c>
      <c r="G21" s="1" t="str">
        <f>TEXT(Table1[[#This Row],[Enrollment date]], "mmm")</f>
        <v>Jan</v>
      </c>
      <c r="H21" t="s">
        <v>360</v>
      </c>
      <c r="I21" t="s">
        <v>661</v>
      </c>
      <c r="J21" t="str">
        <f>_xlfn.XLOOKUP(Table1[[#This Row],[Course ]], CCF!B:B, CCF!A:A)</f>
        <v>FSD103</v>
      </c>
      <c r="K21" t="s">
        <v>366</v>
      </c>
      <c r="L21">
        <f>_xlfn.XLOOKUP(K21, CCF!B:B, CCF!C:C)</f>
        <v>109990</v>
      </c>
      <c r="M21" t="s">
        <v>18</v>
      </c>
    </row>
    <row r="22" spans="1:13" x14ac:dyDescent="0.3">
      <c r="A22">
        <v>21</v>
      </c>
      <c r="B22" t="s">
        <v>688</v>
      </c>
      <c r="C22" s="3">
        <v>26540</v>
      </c>
      <c r="D22" t="s">
        <v>666</v>
      </c>
      <c r="E22">
        <v>35</v>
      </c>
      <c r="F22" s="1">
        <v>45296</v>
      </c>
      <c r="G22" s="1" t="str">
        <f>TEXT(Table1[[#This Row],[Enrollment date]], "mmm")</f>
        <v>Jan</v>
      </c>
      <c r="H22" t="s">
        <v>360</v>
      </c>
      <c r="I22" t="s">
        <v>661</v>
      </c>
      <c r="J22" t="str">
        <f>_xlfn.XLOOKUP(Table1[[#This Row],[Course ]], CCF!B:B, CCF!A:A)</f>
        <v>DM101</v>
      </c>
      <c r="K22" t="s">
        <v>365</v>
      </c>
      <c r="L22">
        <f>_xlfn.XLOOKUP(K22, CCF!B:B, CCF!C:C)</f>
        <v>85499</v>
      </c>
      <c r="M22" t="s">
        <v>80</v>
      </c>
    </row>
    <row r="23" spans="1:13" x14ac:dyDescent="0.3">
      <c r="A23">
        <v>22</v>
      </c>
      <c r="B23" t="s">
        <v>689</v>
      </c>
      <c r="C23" s="3">
        <v>46876</v>
      </c>
      <c r="D23" t="s">
        <v>666</v>
      </c>
      <c r="E23">
        <v>35</v>
      </c>
      <c r="F23" s="1">
        <v>45296</v>
      </c>
      <c r="G23" s="1" t="str">
        <f>TEXT(Table1[[#This Row],[Enrollment date]], "mmm")</f>
        <v>Jan</v>
      </c>
      <c r="H23" t="s">
        <v>360</v>
      </c>
      <c r="I23" t="s">
        <v>659</v>
      </c>
      <c r="J23" t="str">
        <f>_xlfn.XLOOKUP(Table1[[#This Row],[Course ]], CCF!B:B, CCF!A:A)</f>
        <v>DM101</v>
      </c>
      <c r="K23" t="s">
        <v>365</v>
      </c>
      <c r="L23">
        <f>_xlfn.XLOOKUP(K23, CCF!B:B, CCF!C:C)</f>
        <v>85499</v>
      </c>
      <c r="M23" t="s">
        <v>304</v>
      </c>
    </row>
    <row r="24" spans="1:13" x14ac:dyDescent="0.3">
      <c r="A24">
        <v>23</v>
      </c>
      <c r="B24" t="s">
        <v>690</v>
      </c>
      <c r="C24" s="3">
        <v>54449</v>
      </c>
      <c r="D24" t="s">
        <v>666</v>
      </c>
      <c r="E24">
        <v>49</v>
      </c>
      <c r="F24" s="1">
        <v>45296</v>
      </c>
      <c r="G24" s="1" t="str">
        <f>TEXT(Table1[[#This Row],[Enrollment date]], "mmm")</f>
        <v>Jan</v>
      </c>
      <c r="H24" t="s">
        <v>360</v>
      </c>
      <c r="I24" t="s">
        <v>659</v>
      </c>
      <c r="J24" t="str">
        <f>_xlfn.XLOOKUP(Table1[[#This Row],[Course ]], CCF!B:B, CCF!A:A)</f>
        <v>DM101</v>
      </c>
      <c r="K24" t="s">
        <v>365</v>
      </c>
      <c r="L24">
        <f>_xlfn.XLOOKUP(K24, CCF!B:B, CCF!C:C)</f>
        <v>85499</v>
      </c>
      <c r="M24" t="s">
        <v>9</v>
      </c>
    </row>
    <row r="25" spans="1:13" x14ac:dyDescent="0.3">
      <c r="A25">
        <v>24</v>
      </c>
      <c r="B25" t="s">
        <v>691</v>
      </c>
      <c r="C25" s="3">
        <v>81245</v>
      </c>
      <c r="D25" t="s">
        <v>666</v>
      </c>
      <c r="E25">
        <v>37</v>
      </c>
      <c r="F25" s="1">
        <v>45296</v>
      </c>
      <c r="G25" s="1" t="str">
        <f>TEXT(Table1[[#This Row],[Enrollment date]], "mmm")</f>
        <v>Jan</v>
      </c>
      <c r="H25" t="s">
        <v>360</v>
      </c>
      <c r="I25" t="s">
        <v>660</v>
      </c>
      <c r="J25" t="str">
        <f>_xlfn.XLOOKUP(Table1[[#This Row],[Course ]], CCF!B:B, CCF!A:A)</f>
        <v>DM101</v>
      </c>
      <c r="K25" t="s">
        <v>365</v>
      </c>
      <c r="L25">
        <f>_xlfn.XLOOKUP(K25, CCF!B:B, CCF!C:C)</f>
        <v>85499</v>
      </c>
      <c r="M25" t="s">
        <v>15</v>
      </c>
    </row>
    <row r="26" spans="1:13" x14ac:dyDescent="0.3">
      <c r="A26">
        <v>25</v>
      </c>
      <c r="B26" t="s">
        <v>692</v>
      </c>
      <c r="C26" s="3">
        <v>44918</v>
      </c>
      <c r="D26" t="s">
        <v>666</v>
      </c>
      <c r="E26">
        <v>28</v>
      </c>
      <c r="F26" s="1">
        <v>45297</v>
      </c>
      <c r="G26" s="1" t="str">
        <f>TEXT(Table1[[#This Row],[Enrollment date]], "mmm")</f>
        <v>Jan</v>
      </c>
      <c r="H26" t="s">
        <v>360</v>
      </c>
      <c r="I26" t="s">
        <v>661</v>
      </c>
      <c r="J26" t="str">
        <f>_xlfn.XLOOKUP(Table1[[#This Row],[Course ]], CCF!B:B, CCF!A:A)</f>
        <v>DA202</v>
      </c>
      <c r="K26" t="s">
        <v>363</v>
      </c>
      <c r="L26">
        <f>_xlfn.XLOOKUP(K26, CCF!B:B, CCF!C:C)</f>
        <v>79999</v>
      </c>
      <c r="M26" t="s">
        <v>193</v>
      </c>
    </row>
    <row r="27" spans="1:13" x14ac:dyDescent="0.3">
      <c r="A27">
        <v>26</v>
      </c>
      <c r="B27" t="s">
        <v>693</v>
      </c>
      <c r="C27" s="3">
        <v>43281</v>
      </c>
      <c r="D27" t="s">
        <v>667</v>
      </c>
      <c r="E27">
        <v>38</v>
      </c>
      <c r="F27" s="1">
        <v>45297</v>
      </c>
      <c r="G27" s="1" t="str">
        <f>TEXT(Table1[[#This Row],[Enrollment date]], "mmm")</f>
        <v>Jan</v>
      </c>
      <c r="H27" t="s">
        <v>360</v>
      </c>
      <c r="I27" t="s">
        <v>665</v>
      </c>
      <c r="J27" t="str">
        <f>_xlfn.XLOOKUP(Table1[[#This Row],[Course ]], CCF!B:B, CCF!A:A)</f>
        <v>DA202</v>
      </c>
      <c r="K27" t="s">
        <v>363</v>
      </c>
      <c r="L27">
        <f>_xlfn.XLOOKUP(K27, CCF!B:B, CCF!C:C)</f>
        <v>79999</v>
      </c>
      <c r="M27" t="s">
        <v>186</v>
      </c>
    </row>
    <row r="28" spans="1:13" x14ac:dyDescent="0.3">
      <c r="A28">
        <v>27</v>
      </c>
      <c r="B28" t="s">
        <v>694</v>
      </c>
      <c r="C28" s="3">
        <v>13440</v>
      </c>
      <c r="D28" t="s">
        <v>666</v>
      </c>
      <c r="E28">
        <v>68</v>
      </c>
      <c r="F28" s="1">
        <v>45297</v>
      </c>
      <c r="G28" s="1" t="str">
        <f>TEXT(Table1[[#This Row],[Enrollment date]], "mmm")</f>
        <v>Jan</v>
      </c>
      <c r="H28" t="s">
        <v>360</v>
      </c>
      <c r="I28" t="s">
        <v>660</v>
      </c>
      <c r="J28" t="str">
        <f>_xlfn.XLOOKUP(Table1[[#This Row],[Course ]], CCF!B:B, CCF!A:A)</f>
        <v>DA202</v>
      </c>
      <c r="K28" t="s">
        <v>363</v>
      </c>
      <c r="L28">
        <f>_xlfn.XLOOKUP(K28, CCF!B:B, CCF!C:C)</f>
        <v>79999</v>
      </c>
      <c r="M28" t="s">
        <v>136</v>
      </c>
    </row>
    <row r="29" spans="1:13" x14ac:dyDescent="0.3">
      <c r="A29">
        <v>28</v>
      </c>
      <c r="B29" t="s">
        <v>695</v>
      </c>
      <c r="C29" s="3">
        <v>60773</v>
      </c>
      <c r="D29" t="s">
        <v>667</v>
      </c>
      <c r="E29">
        <v>48</v>
      </c>
      <c r="F29" s="1">
        <v>45297</v>
      </c>
      <c r="G29" s="1" t="str">
        <f>TEXT(Table1[[#This Row],[Enrollment date]], "mmm")</f>
        <v>Jan</v>
      </c>
      <c r="H29" t="s">
        <v>360</v>
      </c>
      <c r="I29" t="s">
        <v>660</v>
      </c>
      <c r="J29" t="str">
        <f>_xlfn.XLOOKUP(Table1[[#This Row],[Course ]], CCF!B:B, CCF!A:A)</f>
        <v>DM101</v>
      </c>
      <c r="K29" t="s">
        <v>365</v>
      </c>
      <c r="L29">
        <f>_xlfn.XLOOKUP(K29, CCF!B:B, CCF!C:C)</f>
        <v>85499</v>
      </c>
      <c r="M29" t="s">
        <v>14</v>
      </c>
    </row>
    <row r="30" spans="1:13" x14ac:dyDescent="0.3">
      <c r="A30">
        <v>29</v>
      </c>
      <c r="B30" t="s">
        <v>696</v>
      </c>
      <c r="C30" s="3">
        <v>74632</v>
      </c>
      <c r="D30" t="s">
        <v>666</v>
      </c>
      <c r="E30">
        <v>34</v>
      </c>
      <c r="F30" s="1">
        <v>45297</v>
      </c>
      <c r="G30" s="1" t="str">
        <f>TEXT(Table1[[#This Row],[Enrollment date]], "mmm")</f>
        <v>Jan</v>
      </c>
      <c r="H30" t="s">
        <v>3</v>
      </c>
      <c r="I30" t="s">
        <v>660</v>
      </c>
      <c r="J30" t="str">
        <f>_xlfn.XLOOKUP(Table1[[#This Row],[Course ]], CCF!B:B, CCF!A:A)</f>
        <v>DA202</v>
      </c>
      <c r="K30" t="s">
        <v>363</v>
      </c>
      <c r="L30">
        <f>_xlfn.XLOOKUP(K30, CCF!B:B, CCF!C:C)</f>
        <v>79999</v>
      </c>
      <c r="M30" t="s">
        <v>27</v>
      </c>
    </row>
    <row r="31" spans="1:13" x14ac:dyDescent="0.3">
      <c r="A31">
        <v>30</v>
      </c>
      <c r="B31" t="s">
        <v>697</v>
      </c>
      <c r="C31" s="3">
        <v>74762</v>
      </c>
      <c r="D31" t="s">
        <v>667</v>
      </c>
      <c r="E31">
        <v>46</v>
      </c>
      <c r="F31" s="1">
        <v>45297</v>
      </c>
      <c r="G31" s="1" t="str">
        <f>TEXT(Table1[[#This Row],[Enrollment date]], "mmm")</f>
        <v>Jan</v>
      </c>
      <c r="H31" t="s">
        <v>3</v>
      </c>
      <c r="I31" t="s">
        <v>663</v>
      </c>
      <c r="J31" t="str">
        <f>_xlfn.XLOOKUP(Table1[[#This Row],[Course ]], CCF!B:B, CCF!A:A)</f>
        <v>UX401</v>
      </c>
      <c r="K31" t="s">
        <v>367</v>
      </c>
      <c r="L31">
        <f>_xlfn.XLOOKUP(K31, CCF!B:B, CCF!C:C)</f>
        <v>67990</v>
      </c>
      <c r="M31" t="s">
        <v>18</v>
      </c>
    </row>
    <row r="32" spans="1:13" x14ac:dyDescent="0.3">
      <c r="A32">
        <v>31</v>
      </c>
      <c r="B32" t="s">
        <v>698</v>
      </c>
      <c r="C32" s="3">
        <v>52756</v>
      </c>
      <c r="D32" t="s">
        <v>666</v>
      </c>
      <c r="E32">
        <v>35</v>
      </c>
      <c r="F32" s="1">
        <v>45297</v>
      </c>
      <c r="G32" s="1" t="str">
        <f>TEXT(Table1[[#This Row],[Enrollment date]], "mmm")</f>
        <v>Jan</v>
      </c>
      <c r="H32" t="s">
        <v>360</v>
      </c>
      <c r="I32" t="s">
        <v>659</v>
      </c>
      <c r="J32" t="str">
        <f>_xlfn.XLOOKUP(Table1[[#This Row],[Course ]], CCF!B:B, CCF!A:A)</f>
        <v>DA202</v>
      </c>
      <c r="K32" t="s">
        <v>363</v>
      </c>
      <c r="L32">
        <f>_xlfn.XLOOKUP(K32, CCF!B:B, CCF!C:C)</f>
        <v>79999</v>
      </c>
      <c r="M32" t="s">
        <v>30</v>
      </c>
    </row>
    <row r="33" spans="1:13" x14ac:dyDescent="0.3">
      <c r="A33">
        <v>32</v>
      </c>
      <c r="B33" t="s">
        <v>699</v>
      </c>
      <c r="C33" s="3">
        <v>92752</v>
      </c>
      <c r="D33" t="s">
        <v>666</v>
      </c>
      <c r="E33">
        <v>30</v>
      </c>
      <c r="F33" s="1">
        <v>45297</v>
      </c>
      <c r="G33" s="1" t="str">
        <f>TEXT(Table1[[#This Row],[Enrollment date]], "mmm")</f>
        <v>Jan</v>
      </c>
      <c r="H33" t="s">
        <v>360</v>
      </c>
      <c r="I33" t="s">
        <v>659</v>
      </c>
      <c r="J33" t="str">
        <f>_xlfn.XLOOKUP(Table1[[#This Row],[Course ]], CCF!B:B, CCF!A:A)</f>
        <v>UX401</v>
      </c>
      <c r="K33" t="s">
        <v>367</v>
      </c>
      <c r="L33">
        <f>_xlfn.XLOOKUP(K33, CCF!B:B, CCF!C:C)</f>
        <v>67990</v>
      </c>
      <c r="M33" t="s">
        <v>145</v>
      </c>
    </row>
    <row r="34" spans="1:13" x14ac:dyDescent="0.3">
      <c r="A34">
        <v>33</v>
      </c>
      <c r="B34" t="s">
        <v>700</v>
      </c>
      <c r="C34" s="3">
        <v>24457</v>
      </c>
      <c r="D34" t="s">
        <v>667</v>
      </c>
      <c r="E34">
        <v>37</v>
      </c>
      <c r="F34" s="1">
        <v>45297</v>
      </c>
      <c r="G34" s="1" t="str">
        <f>TEXT(Table1[[#This Row],[Enrollment date]], "mmm")</f>
        <v>Jan</v>
      </c>
      <c r="H34" t="s">
        <v>360</v>
      </c>
      <c r="I34" t="s">
        <v>661</v>
      </c>
      <c r="J34" t="str">
        <f>_xlfn.XLOOKUP(Table1[[#This Row],[Course ]], CCF!B:B, CCF!A:A)</f>
        <v>FSD103</v>
      </c>
      <c r="K34" t="s">
        <v>366</v>
      </c>
      <c r="L34">
        <f>_xlfn.XLOOKUP(K34, CCF!B:B, CCF!C:C)</f>
        <v>109990</v>
      </c>
      <c r="M34" t="s">
        <v>334</v>
      </c>
    </row>
    <row r="35" spans="1:13" x14ac:dyDescent="0.3">
      <c r="A35">
        <v>34</v>
      </c>
      <c r="B35" t="s">
        <v>701</v>
      </c>
      <c r="C35" s="3">
        <v>75197</v>
      </c>
      <c r="D35" t="s">
        <v>667</v>
      </c>
      <c r="E35">
        <v>20</v>
      </c>
      <c r="F35" s="1">
        <v>45298</v>
      </c>
      <c r="G35" s="1" t="str">
        <f>TEXT(Table1[[#This Row],[Enrollment date]], "mmm")</f>
        <v>Jan</v>
      </c>
      <c r="H35" t="s">
        <v>360</v>
      </c>
      <c r="I35" t="s">
        <v>660</v>
      </c>
      <c r="J35" t="str">
        <f>_xlfn.XLOOKUP(Table1[[#This Row],[Course ]], CCF!B:B, CCF!A:A)</f>
        <v>DM101</v>
      </c>
      <c r="K35" t="s">
        <v>365</v>
      </c>
      <c r="L35">
        <f>_xlfn.XLOOKUP(K35, CCF!B:B, CCF!C:C)</f>
        <v>85499</v>
      </c>
      <c r="M35" t="s">
        <v>9</v>
      </c>
    </row>
    <row r="36" spans="1:13" x14ac:dyDescent="0.3">
      <c r="A36">
        <v>35</v>
      </c>
      <c r="B36" t="s">
        <v>702</v>
      </c>
      <c r="C36" s="3">
        <v>46426</v>
      </c>
      <c r="D36" t="s">
        <v>666</v>
      </c>
      <c r="E36">
        <v>38</v>
      </c>
      <c r="F36" s="1">
        <v>45298</v>
      </c>
      <c r="G36" s="1" t="str">
        <f>TEXT(Table1[[#This Row],[Enrollment date]], "mmm")</f>
        <v>Jan</v>
      </c>
      <c r="H36" t="s">
        <v>360</v>
      </c>
      <c r="I36" t="s">
        <v>659</v>
      </c>
      <c r="J36" t="str">
        <f>_xlfn.XLOOKUP(Table1[[#This Row],[Course ]], CCF!B:B, CCF!A:A)</f>
        <v>DM101</v>
      </c>
      <c r="K36" t="s">
        <v>365</v>
      </c>
      <c r="L36">
        <f>_xlfn.XLOOKUP(K36, CCF!B:B, CCF!C:C)</f>
        <v>85499</v>
      </c>
      <c r="M36" t="s">
        <v>30</v>
      </c>
    </row>
    <row r="37" spans="1:13" x14ac:dyDescent="0.3">
      <c r="A37">
        <v>36</v>
      </c>
      <c r="B37" t="s">
        <v>703</v>
      </c>
      <c r="C37" s="3">
        <v>99529</v>
      </c>
      <c r="D37" t="s">
        <v>666</v>
      </c>
      <c r="E37">
        <v>26</v>
      </c>
      <c r="F37" s="1">
        <v>45298</v>
      </c>
      <c r="G37" s="1" t="str">
        <f>TEXT(Table1[[#This Row],[Enrollment date]], "mmm")</f>
        <v>Jan</v>
      </c>
      <c r="H37" t="s">
        <v>360</v>
      </c>
      <c r="I37" t="s">
        <v>660</v>
      </c>
      <c r="J37" t="str">
        <f>_xlfn.XLOOKUP(Table1[[#This Row],[Course ]], CCF!B:B, CCF!A:A)</f>
        <v>FSD103</v>
      </c>
      <c r="K37" t="s">
        <v>366</v>
      </c>
      <c r="L37">
        <f>_xlfn.XLOOKUP(K37, CCF!B:B, CCF!C:C)</f>
        <v>109990</v>
      </c>
      <c r="M37" t="s">
        <v>18</v>
      </c>
    </row>
    <row r="38" spans="1:13" x14ac:dyDescent="0.3">
      <c r="A38">
        <v>37</v>
      </c>
      <c r="B38" t="s">
        <v>704</v>
      </c>
      <c r="C38" s="3">
        <v>30202</v>
      </c>
      <c r="D38" t="s">
        <v>667</v>
      </c>
      <c r="E38">
        <v>47</v>
      </c>
      <c r="F38" s="1">
        <v>45298</v>
      </c>
      <c r="G38" s="1" t="str">
        <f>TEXT(Table1[[#This Row],[Enrollment date]], "mmm")</f>
        <v>Jan</v>
      </c>
      <c r="H38" t="s">
        <v>360</v>
      </c>
      <c r="I38" t="s">
        <v>660</v>
      </c>
      <c r="J38" t="str">
        <f>_xlfn.XLOOKUP(Table1[[#This Row],[Course ]], CCF!B:B, CCF!A:A)</f>
        <v>DM101</v>
      </c>
      <c r="K38" t="s">
        <v>365</v>
      </c>
      <c r="L38">
        <f>_xlfn.XLOOKUP(K38, CCF!B:B, CCF!C:C)</f>
        <v>85499</v>
      </c>
      <c r="M38" t="s">
        <v>138</v>
      </c>
    </row>
    <row r="39" spans="1:13" x14ac:dyDescent="0.3">
      <c r="A39">
        <v>38</v>
      </c>
      <c r="B39" t="s">
        <v>705</v>
      </c>
      <c r="C39" s="3">
        <v>67174</v>
      </c>
      <c r="D39" t="s">
        <v>667</v>
      </c>
      <c r="E39">
        <v>18</v>
      </c>
      <c r="F39" s="1">
        <v>45298</v>
      </c>
      <c r="G39" s="1" t="str">
        <f>TEXT(Table1[[#This Row],[Enrollment date]], "mmm")</f>
        <v>Jan</v>
      </c>
      <c r="H39" t="s">
        <v>360</v>
      </c>
      <c r="I39" t="s">
        <v>659</v>
      </c>
      <c r="J39" t="str">
        <f>_xlfn.XLOOKUP(Table1[[#This Row],[Course ]], CCF!B:B, CCF!A:A)</f>
        <v>DM101</v>
      </c>
      <c r="K39" t="s">
        <v>365</v>
      </c>
      <c r="L39">
        <f>_xlfn.XLOOKUP(K39, CCF!B:B, CCF!C:C)</f>
        <v>85499</v>
      </c>
      <c r="M39" t="s">
        <v>27</v>
      </c>
    </row>
    <row r="40" spans="1:13" x14ac:dyDescent="0.3">
      <c r="A40">
        <v>39</v>
      </c>
      <c r="B40" t="s">
        <v>706</v>
      </c>
      <c r="C40" s="3">
        <v>75984</v>
      </c>
      <c r="D40" t="s">
        <v>667</v>
      </c>
      <c r="E40">
        <v>32</v>
      </c>
      <c r="F40" s="1">
        <v>45298</v>
      </c>
      <c r="G40" s="1" t="str">
        <f>TEXT(Table1[[#This Row],[Enrollment date]], "mmm")</f>
        <v>Jan</v>
      </c>
      <c r="H40" t="s">
        <v>360</v>
      </c>
      <c r="I40" t="s">
        <v>659</v>
      </c>
      <c r="J40" t="str">
        <f>_xlfn.XLOOKUP(Table1[[#This Row],[Course ]], CCF!B:B, CCF!A:A)</f>
        <v>DA202</v>
      </c>
      <c r="K40" t="s">
        <v>363</v>
      </c>
      <c r="L40">
        <f>_xlfn.XLOOKUP(K40, CCF!B:B, CCF!C:C)</f>
        <v>79999</v>
      </c>
      <c r="M40" t="s">
        <v>148</v>
      </c>
    </row>
    <row r="41" spans="1:13" x14ac:dyDescent="0.3">
      <c r="A41">
        <v>40</v>
      </c>
      <c r="B41" t="s">
        <v>707</v>
      </c>
      <c r="C41" s="3">
        <v>96269</v>
      </c>
      <c r="D41" t="s">
        <v>666</v>
      </c>
      <c r="E41">
        <v>40</v>
      </c>
      <c r="F41" s="1">
        <v>45298</v>
      </c>
      <c r="G41" s="1" t="str">
        <f>TEXT(Table1[[#This Row],[Enrollment date]], "mmm")</f>
        <v>Jan</v>
      </c>
      <c r="H41" t="s">
        <v>360</v>
      </c>
      <c r="I41" t="s">
        <v>659</v>
      </c>
      <c r="J41" t="str">
        <f>_xlfn.XLOOKUP(Table1[[#This Row],[Course ]], CCF!B:B, CCF!A:A)</f>
        <v>DA202</v>
      </c>
      <c r="K41" t="s">
        <v>363</v>
      </c>
      <c r="L41">
        <f>_xlfn.XLOOKUP(K41, CCF!B:B, CCF!C:C)</f>
        <v>79999</v>
      </c>
      <c r="M41" t="s">
        <v>20</v>
      </c>
    </row>
    <row r="42" spans="1:13" x14ac:dyDescent="0.3">
      <c r="A42">
        <v>41</v>
      </c>
      <c r="B42" t="s">
        <v>708</v>
      </c>
      <c r="C42" s="3">
        <v>28018</v>
      </c>
      <c r="D42" t="s">
        <v>666</v>
      </c>
      <c r="E42">
        <v>66</v>
      </c>
      <c r="F42" s="1">
        <v>45298</v>
      </c>
      <c r="G42" s="1" t="str">
        <f>TEXT(Table1[[#This Row],[Enrollment date]], "mmm")</f>
        <v>Jan</v>
      </c>
      <c r="H42" t="s">
        <v>360</v>
      </c>
      <c r="I42" t="s">
        <v>661</v>
      </c>
      <c r="J42" t="str">
        <f>_xlfn.XLOOKUP(Table1[[#This Row],[Course ]], CCF!B:B, CCF!A:A)</f>
        <v>DA202</v>
      </c>
      <c r="K42" t="s">
        <v>363</v>
      </c>
      <c r="L42">
        <f>_xlfn.XLOOKUP(K42, CCF!B:B, CCF!C:C)</f>
        <v>79999</v>
      </c>
      <c r="M42" t="s">
        <v>319</v>
      </c>
    </row>
    <row r="43" spans="1:13" x14ac:dyDescent="0.3">
      <c r="A43">
        <v>42</v>
      </c>
      <c r="B43" t="s">
        <v>709</v>
      </c>
      <c r="C43" s="3">
        <v>78739</v>
      </c>
      <c r="D43" t="s">
        <v>666</v>
      </c>
      <c r="E43">
        <v>25</v>
      </c>
      <c r="F43" s="1">
        <v>45298</v>
      </c>
      <c r="G43" s="1" t="str">
        <f>TEXT(Table1[[#This Row],[Enrollment date]], "mmm")</f>
        <v>Jan</v>
      </c>
      <c r="H43" t="s">
        <v>360</v>
      </c>
      <c r="I43" t="s">
        <v>659</v>
      </c>
      <c r="J43" t="str">
        <f>_xlfn.XLOOKUP(Table1[[#This Row],[Course ]], CCF!B:B, CCF!A:A)</f>
        <v>BA301</v>
      </c>
      <c r="K43" t="s">
        <v>364</v>
      </c>
      <c r="L43">
        <f>_xlfn.XLOOKUP(K43, CCF!B:B, CCF!C:C)</f>
        <v>59999</v>
      </c>
      <c r="M43" t="s">
        <v>30</v>
      </c>
    </row>
    <row r="44" spans="1:13" x14ac:dyDescent="0.3">
      <c r="A44">
        <v>43</v>
      </c>
      <c r="B44" t="s">
        <v>710</v>
      </c>
      <c r="C44" s="3">
        <v>17490</v>
      </c>
      <c r="D44" t="s">
        <v>667</v>
      </c>
      <c r="E44">
        <v>27</v>
      </c>
      <c r="F44" s="1">
        <v>45299</v>
      </c>
      <c r="G44" s="1" t="str">
        <f>TEXT(Table1[[#This Row],[Enrollment date]], "mmm")</f>
        <v>Jan</v>
      </c>
      <c r="H44" t="s">
        <v>360</v>
      </c>
      <c r="I44" t="s">
        <v>659</v>
      </c>
      <c r="J44" t="str">
        <f>_xlfn.XLOOKUP(Table1[[#This Row],[Course ]], CCF!B:B, CCF!A:A)</f>
        <v>DM101</v>
      </c>
      <c r="K44" t="s">
        <v>365</v>
      </c>
      <c r="L44">
        <f>_xlfn.XLOOKUP(K44, CCF!B:B, CCF!C:C)</f>
        <v>85499</v>
      </c>
      <c r="M44" t="s">
        <v>9</v>
      </c>
    </row>
    <row r="45" spans="1:13" x14ac:dyDescent="0.3">
      <c r="A45">
        <v>44</v>
      </c>
      <c r="B45" t="s">
        <v>711</v>
      </c>
      <c r="C45" s="3">
        <v>44078</v>
      </c>
      <c r="D45" t="s">
        <v>667</v>
      </c>
      <c r="E45">
        <v>44</v>
      </c>
      <c r="F45" s="1">
        <v>45299</v>
      </c>
      <c r="G45" s="1" t="str">
        <f>TEXT(Table1[[#This Row],[Enrollment date]], "mmm")</f>
        <v>Jan</v>
      </c>
      <c r="H45" t="s">
        <v>360</v>
      </c>
      <c r="I45" t="s">
        <v>659</v>
      </c>
      <c r="J45" t="str">
        <f>_xlfn.XLOOKUP(Table1[[#This Row],[Course ]], CCF!B:B, CCF!A:A)</f>
        <v>BA301</v>
      </c>
      <c r="K45" t="s">
        <v>364</v>
      </c>
      <c r="L45">
        <f>_xlfn.XLOOKUP(K45, CCF!B:B, CCF!C:C)</f>
        <v>59999</v>
      </c>
      <c r="M45" t="s">
        <v>170</v>
      </c>
    </row>
    <row r="46" spans="1:13" x14ac:dyDescent="0.3">
      <c r="A46">
        <v>45</v>
      </c>
      <c r="B46" t="s">
        <v>712</v>
      </c>
      <c r="C46" s="3">
        <v>35720</v>
      </c>
      <c r="D46" t="s">
        <v>666</v>
      </c>
      <c r="E46">
        <v>35</v>
      </c>
      <c r="F46" s="1">
        <v>45299</v>
      </c>
      <c r="G46" s="1" t="str">
        <f>TEXT(Table1[[#This Row],[Enrollment date]], "mmm")</f>
        <v>Jan</v>
      </c>
      <c r="H46" t="s">
        <v>360</v>
      </c>
      <c r="I46" t="s">
        <v>661</v>
      </c>
      <c r="J46" t="str">
        <f>_xlfn.XLOOKUP(Table1[[#This Row],[Course ]], CCF!B:B, CCF!A:A)</f>
        <v>UX401</v>
      </c>
      <c r="K46" t="s">
        <v>367</v>
      </c>
      <c r="L46">
        <f>_xlfn.XLOOKUP(K46, CCF!B:B, CCF!C:C)</f>
        <v>67990</v>
      </c>
      <c r="M46" t="s">
        <v>27</v>
      </c>
    </row>
    <row r="47" spans="1:13" x14ac:dyDescent="0.3">
      <c r="A47">
        <v>46</v>
      </c>
      <c r="B47" t="s">
        <v>713</v>
      </c>
      <c r="C47" s="3">
        <v>17928</v>
      </c>
      <c r="D47" t="s">
        <v>667</v>
      </c>
      <c r="E47">
        <v>46</v>
      </c>
      <c r="F47" s="1">
        <v>45299</v>
      </c>
      <c r="G47" s="1" t="str">
        <f>TEXT(Table1[[#This Row],[Enrollment date]], "mmm")</f>
        <v>Jan</v>
      </c>
      <c r="H47" t="s">
        <v>360</v>
      </c>
      <c r="I47" t="s">
        <v>661</v>
      </c>
      <c r="J47" t="str">
        <f>_xlfn.XLOOKUP(Table1[[#This Row],[Course ]], CCF!B:B, CCF!A:A)</f>
        <v>BA301</v>
      </c>
      <c r="K47" t="s">
        <v>364</v>
      </c>
      <c r="L47">
        <f>_xlfn.XLOOKUP(K47, CCF!B:B, CCF!C:C)</f>
        <v>59999</v>
      </c>
      <c r="M47" t="s">
        <v>53</v>
      </c>
    </row>
    <row r="48" spans="1:13" x14ac:dyDescent="0.3">
      <c r="A48">
        <v>47</v>
      </c>
      <c r="B48" t="s">
        <v>714</v>
      </c>
      <c r="C48" s="3">
        <v>55610</v>
      </c>
      <c r="D48" t="s">
        <v>666</v>
      </c>
      <c r="E48">
        <v>62</v>
      </c>
      <c r="F48" s="1">
        <v>45299</v>
      </c>
      <c r="G48" s="1" t="str">
        <f>TEXT(Table1[[#This Row],[Enrollment date]], "mmm")</f>
        <v>Jan</v>
      </c>
      <c r="H48" t="s">
        <v>360</v>
      </c>
      <c r="I48" t="s">
        <v>660</v>
      </c>
      <c r="J48" t="str">
        <f>_xlfn.XLOOKUP(Table1[[#This Row],[Course ]], CCF!B:B, CCF!A:A)</f>
        <v>DM101</v>
      </c>
      <c r="K48" t="s">
        <v>365</v>
      </c>
      <c r="L48">
        <f>_xlfn.XLOOKUP(K48, CCF!B:B, CCF!C:C)</f>
        <v>85499</v>
      </c>
      <c r="M48" t="s">
        <v>371</v>
      </c>
    </row>
    <row r="49" spans="1:13" x14ac:dyDescent="0.3">
      <c r="A49">
        <v>48</v>
      </c>
      <c r="B49" t="s">
        <v>715</v>
      </c>
      <c r="C49" s="3">
        <v>51353</v>
      </c>
      <c r="D49" t="s">
        <v>667</v>
      </c>
      <c r="E49">
        <v>39</v>
      </c>
      <c r="F49" s="1">
        <v>45299</v>
      </c>
      <c r="G49" s="1" t="str">
        <f>TEXT(Table1[[#This Row],[Enrollment date]], "mmm")</f>
        <v>Jan</v>
      </c>
      <c r="H49" t="s">
        <v>360</v>
      </c>
      <c r="I49" t="s">
        <v>661</v>
      </c>
      <c r="J49" t="str">
        <f>_xlfn.XLOOKUP(Table1[[#This Row],[Course ]], CCF!B:B, CCF!A:A)</f>
        <v>DM101</v>
      </c>
      <c r="K49" t="s">
        <v>365</v>
      </c>
      <c r="L49">
        <f>_xlfn.XLOOKUP(K49, CCF!B:B, CCF!C:C)</f>
        <v>85499</v>
      </c>
      <c r="M49" t="s">
        <v>372</v>
      </c>
    </row>
    <row r="50" spans="1:13" x14ac:dyDescent="0.3">
      <c r="A50">
        <v>49</v>
      </c>
      <c r="B50" t="s">
        <v>716</v>
      </c>
      <c r="C50" s="3">
        <v>43741</v>
      </c>
      <c r="D50" t="s">
        <v>666</v>
      </c>
      <c r="E50">
        <v>28</v>
      </c>
      <c r="F50" s="1">
        <v>45299</v>
      </c>
      <c r="G50" s="1" t="str">
        <f>TEXT(Table1[[#This Row],[Enrollment date]], "mmm")</f>
        <v>Jan</v>
      </c>
      <c r="H50" t="s">
        <v>360</v>
      </c>
      <c r="I50" t="s">
        <v>661</v>
      </c>
      <c r="J50" t="str">
        <f>_xlfn.XLOOKUP(Table1[[#This Row],[Course ]], CCF!B:B, CCF!A:A)</f>
        <v>DA202</v>
      </c>
      <c r="K50" t="s">
        <v>363</v>
      </c>
      <c r="L50">
        <f>_xlfn.XLOOKUP(K50, CCF!B:B, CCF!C:C)</f>
        <v>79999</v>
      </c>
      <c r="M50" t="s">
        <v>28</v>
      </c>
    </row>
    <row r="51" spans="1:13" x14ac:dyDescent="0.3">
      <c r="A51">
        <v>50</v>
      </c>
      <c r="B51" t="s">
        <v>717</v>
      </c>
      <c r="C51" s="3">
        <v>67142</v>
      </c>
      <c r="D51" t="s">
        <v>666</v>
      </c>
      <c r="E51">
        <v>19</v>
      </c>
      <c r="F51" s="1">
        <v>45300</v>
      </c>
      <c r="G51" s="1" t="str">
        <f>TEXT(Table1[[#This Row],[Enrollment date]], "mmm")</f>
        <v>Jan</v>
      </c>
      <c r="H51" t="s">
        <v>360</v>
      </c>
      <c r="I51" t="s">
        <v>660</v>
      </c>
      <c r="J51" t="str">
        <f>_xlfn.XLOOKUP(Table1[[#This Row],[Course ]], CCF!B:B, CCF!A:A)</f>
        <v>DA202</v>
      </c>
      <c r="K51" t="s">
        <v>363</v>
      </c>
      <c r="L51">
        <f>_xlfn.XLOOKUP(K51, CCF!B:B, CCF!C:C)</f>
        <v>79999</v>
      </c>
      <c r="M51" t="s">
        <v>373</v>
      </c>
    </row>
    <row r="52" spans="1:13" x14ac:dyDescent="0.3">
      <c r="A52">
        <v>51</v>
      </c>
      <c r="B52" t="s">
        <v>718</v>
      </c>
      <c r="C52" s="3">
        <v>47869</v>
      </c>
      <c r="D52" t="s">
        <v>666</v>
      </c>
      <c r="E52">
        <v>72</v>
      </c>
      <c r="F52" s="1">
        <v>45300</v>
      </c>
      <c r="G52" s="1" t="str">
        <f>TEXT(Table1[[#This Row],[Enrollment date]], "mmm")</f>
        <v>Jan</v>
      </c>
      <c r="H52" t="s">
        <v>360</v>
      </c>
      <c r="I52" t="s">
        <v>660</v>
      </c>
      <c r="J52" t="str">
        <f>_xlfn.XLOOKUP(Table1[[#This Row],[Course ]], CCF!B:B, CCF!A:A)</f>
        <v>DA202</v>
      </c>
      <c r="K52" t="s">
        <v>363</v>
      </c>
      <c r="L52">
        <f>_xlfn.XLOOKUP(K52, CCF!B:B, CCF!C:C)</f>
        <v>79999</v>
      </c>
      <c r="M52" t="s">
        <v>30</v>
      </c>
    </row>
    <row r="53" spans="1:13" x14ac:dyDescent="0.3">
      <c r="A53">
        <v>52</v>
      </c>
      <c r="B53" t="s">
        <v>719</v>
      </c>
      <c r="C53" s="3">
        <v>63817</v>
      </c>
      <c r="D53" t="s">
        <v>666</v>
      </c>
      <c r="E53">
        <v>49</v>
      </c>
      <c r="F53" s="1">
        <v>45300</v>
      </c>
      <c r="G53" s="1" t="str">
        <f>TEXT(Table1[[#This Row],[Enrollment date]], "mmm")</f>
        <v>Jan</v>
      </c>
      <c r="H53" t="s">
        <v>360</v>
      </c>
      <c r="I53" t="s">
        <v>661</v>
      </c>
      <c r="J53" t="str">
        <f>_xlfn.XLOOKUP(Table1[[#This Row],[Course ]], CCF!B:B, CCF!A:A)</f>
        <v>DA202</v>
      </c>
      <c r="K53" t="s">
        <v>363</v>
      </c>
      <c r="L53">
        <f>_xlfn.XLOOKUP(K53, CCF!B:B, CCF!C:C)</f>
        <v>79999</v>
      </c>
      <c r="M53" t="s">
        <v>282</v>
      </c>
    </row>
    <row r="54" spans="1:13" x14ac:dyDescent="0.3">
      <c r="A54">
        <v>53</v>
      </c>
      <c r="B54" t="s">
        <v>720</v>
      </c>
      <c r="C54" s="3">
        <v>89392</v>
      </c>
      <c r="D54" t="s">
        <v>666</v>
      </c>
      <c r="E54">
        <v>49</v>
      </c>
      <c r="F54" s="1">
        <v>45300</v>
      </c>
      <c r="G54" s="1" t="str">
        <f>TEXT(Table1[[#This Row],[Enrollment date]], "mmm")</f>
        <v>Jan</v>
      </c>
      <c r="H54" t="s">
        <v>3</v>
      </c>
      <c r="I54" t="s">
        <v>659</v>
      </c>
      <c r="J54" t="str">
        <f>_xlfn.XLOOKUP(Table1[[#This Row],[Course ]], CCF!B:B, CCF!A:A)</f>
        <v>DM101</v>
      </c>
      <c r="K54" t="s">
        <v>365</v>
      </c>
      <c r="L54">
        <f>_xlfn.XLOOKUP(K54, CCF!B:B, CCF!C:C)</f>
        <v>85499</v>
      </c>
      <c r="M54" t="s">
        <v>192</v>
      </c>
    </row>
    <row r="55" spans="1:13" x14ac:dyDescent="0.3">
      <c r="A55">
        <v>54</v>
      </c>
      <c r="B55" t="s">
        <v>721</v>
      </c>
      <c r="C55" s="3">
        <v>29566</v>
      </c>
      <c r="D55" t="s">
        <v>667</v>
      </c>
      <c r="E55">
        <v>70</v>
      </c>
      <c r="F55" s="1">
        <v>45300</v>
      </c>
      <c r="G55" s="1" t="str">
        <f>TEXT(Table1[[#This Row],[Enrollment date]], "mmm")</f>
        <v>Jan</v>
      </c>
      <c r="H55" t="s">
        <v>360</v>
      </c>
      <c r="I55" t="s">
        <v>660</v>
      </c>
      <c r="J55" t="str">
        <f>_xlfn.XLOOKUP(Table1[[#This Row],[Course ]], CCF!B:B, CCF!A:A)</f>
        <v>DM101</v>
      </c>
      <c r="K55" t="s">
        <v>365</v>
      </c>
      <c r="L55">
        <f>_xlfn.XLOOKUP(K55, CCF!B:B, CCF!C:C)</f>
        <v>85499</v>
      </c>
      <c r="M55" t="s">
        <v>106</v>
      </c>
    </row>
    <row r="56" spans="1:13" x14ac:dyDescent="0.3">
      <c r="A56">
        <v>55</v>
      </c>
      <c r="B56" t="s">
        <v>722</v>
      </c>
      <c r="C56" s="3">
        <v>75890</v>
      </c>
      <c r="D56" t="s">
        <v>666</v>
      </c>
      <c r="E56">
        <v>29</v>
      </c>
      <c r="F56" s="1">
        <v>45300</v>
      </c>
      <c r="G56" s="1" t="str">
        <f>TEXT(Table1[[#This Row],[Enrollment date]], "mmm")</f>
        <v>Jan</v>
      </c>
      <c r="H56" t="s">
        <v>360</v>
      </c>
      <c r="I56" t="s">
        <v>661</v>
      </c>
      <c r="J56" t="str">
        <f>_xlfn.XLOOKUP(Table1[[#This Row],[Course ]], CCF!B:B, CCF!A:A)</f>
        <v>FSD103</v>
      </c>
      <c r="K56" t="s">
        <v>366</v>
      </c>
      <c r="L56">
        <f>_xlfn.XLOOKUP(K56, CCF!B:B, CCF!C:C)</f>
        <v>109990</v>
      </c>
      <c r="M56" t="s">
        <v>30</v>
      </c>
    </row>
    <row r="57" spans="1:13" x14ac:dyDescent="0.3">
      <c r="A57">
        <v>56</v>
      </c>
      <c r="B57" t="s">
        <v>723</v>
      </c>
      <c r="C57" s="3">
        <v>76803</v>
      </c>
      <c r="D57" t="s">
        <v>666</v>
      </c>
      <c r="E57">
        <v>39</v>
      </c>
      <c r="F57" s="1">
        <v>45300</v>
      </c>
      <c r="G57" s="1" t="str">
        <f>TEXT(Table1[[#This Row],[Enrollment date]], "mmm")</f>
        <v>Jan</v>
      </c>
      <c r="H57" t="s">
        <v>360</v>
      </c>
      <c r="I57" t="s">
        <v>659</v>
      </c>
      <c r="J57" t="str">
        <f>_xlfn.XLOOKUP(Table1[[#This Row],[Course ]], CCF!B:B, CCF!A:A)</f>
        <v>DM101</v>
      </c>
      <c r="K57" t="s">
        <v>365</v>
      </c>
      <c r="L57">
        <f>_xlfn.XLOOKUP(K57, CCF!B:B, CCF!C:C)</f>
        <v>85499</v>
      </c>
      <c r="M57" t="s">
        <v>16</v>
      </c>
    </row>
    <row r="58" spans="1:13" x14ac:dyDescent="0.3">
      <c r="A58">
        <v>57</v>
      </c>
      <c r="B58" t="s">
        <v>724</v>
      </c>
      <c r="C58" s="3">
        <v>54785</v>
      </c>
      <c r="D58" t="s">
        <v>666</v>
      </c>
      <c r="E58">
        <v>23</v>
      </c>
      <c r="F58" s="1">
        <v>45300</v>
      </c>
      <c r="G58" s="1" t="str">
        <f>TEXT(Table1[[#This Row],[Enrollment date]], "mmm")</f>
        <v>Jan</v>
      </c>
      <c r="H58" t="s">
        <v>360</v>
      </c>
      <c r="I58" t="s">
        <v>660</v>
      </c>
      <c r="J58" t="str">
        <f>_xlfn.XLOOKUP(Table1[[#This Row],[Course ]], CCF!B:B, CCF!A:A)</f>
        <v>BA301</v>
      </c>
      <c r="K58" t="s">
        <v>364</v>
      </c>
      <c r="L58">
        <f>_xlfn.XLOOKUP(K58, CCF!B:B, CCF!C:C)</f>
        <v>59999</v>
      </c>
      <c r="M58" t="s">
        <v>9</v>
      </c>
    </row>
    <row r="59" spans="1:13" x14ac:dyDescent="0.3">
      <c r="A59">
        <v>58</v>
      </c>
      <c r="B59" t="s">
        <v>725</v>
      </c>
      <c r="C59" s="3">
        <v>94506</v>
      </c>
      <c r="D59" t="s">
        <v>666</v>
      </c>
      <c r="E59">
        <v>23</v>
      </c>
      <c r="F59" s="1">
        <v>45301</v>
      </c>
      <c r="G59" s="1" t="str">
        <f>TEXT(Table1[[#This Row],[Enrollment date]], "mmm")</f>
        <v>Jan</v>
      </c>
      <c r="H59" t="s">
        <v>360</v>
      </c>
      <c r="I59" t="s">
        <v>660</v>
      </c>
      <c r="J59" t="str">
        <f>_xlfn.XLOOKUP(Table1[[#This Row],[Course ]], CCF!B:B, CCF!A:A)</f>
        <v>DA202</v>
      </c>
      <c r="K59" t="s">
        <v>363</v>
      </c>
      <c r="L59">
        <f>_xlfn.XLOOKUP(K59, CCF!B:B, CCF!C:C)</f>
        <v>79999</v>
      </c>
      <c r="M59" t="s">
        <v>60</v>
      </c>
    </row>
    <row r="60" spans="1:13" x14ac:dyDescent="0.3">
      <c r="A60">
        <v>59</v>
      </c>
      <c r="B60" t="s">
        <v>726</v>
      </c>
      <c r="C60" s="3">
        <v>32183</v>
      </c>
      <c r="D60" t="s">
        <v>666</v>
      </c>
      <c r="E60">
        <v>49</v>
      </c>
      <c r="F60" s="1">
        <v>45301</v>
      </c>
      <c r="G60" s="1" t="str">
        <f>TEXT(Table1[[#This Row],[Enrollment date]], "mmm")</f>
        <v>Jan</v>
      </c>
      <c r="H60" t="s">
        <v>360</v>
      </c>
      <c r="I60" t="s">
        <v>659</v>
      </c>
      <c r="J60" t="str">
        <f>_xlfn.XLOOKUP(Table1[[#This Row],[Course ]], CCF!B:B, CCF!A:A)</f>
        <v>DM101</v>
      </c>
      <c r="K60" t="s">
        <v>365</v>
      </c>
      <c r="L60">
        <f>_xlfn.XLOOKUP(K60, CCF!B:B, CCF!C:C)</f>
        <v>85499</v>
      </c>
      <c r="M60" t="s">
        <v>16</v>
      </c>
    </row>
    <row r="61" spans="1:13" x14ac:dyDescent="0.3">
      <c r="A61">
        <v>60</v>
      </c>
      <c r="B61" t="s">
        <v>727</v>
      </c>
      <c r="C61" s="3">
        <v>97249</v>
      </c>
      <c r="D61" t="s">
        <v>666</v>
      </c>
      <c r="E61">
        <v>57</v>
      </c>
      <c r="F61" s="1">
        <v>45301</v>
      </c>
      <c r="G61" s="1" t="str">
        <f>TEXT(Table1[[#This Row],[Enrollment date]], "mmm")</f>
        <v>Jan</v>
      </c>
      <c r="H61" t="s">
        <v>360</v>
      </c>
      <c r="I61" t="s">
        <v>659</v>
      </c>
      <c r="J61" t="str">
        <f>_xlfn.XLOOKUP(Table1[[#This Row],[Course ]], CCF!B:B, CCF!A:A)</f>
        <v>DA202</v>
      </c>
      <c r="K61" t="s">
        <v>363</v>
      </c>
      <c r="L61">
        <f>_xlfn.XLOOKUP(K61, CCF!B:B, CCF!C:C)</f>
        <v>79999</v>
      </c>
      <c r="M61" t="s">
        <v>27</v>
      </c>
    </row>
    <row r="62" spans="1:13" x14ac:dyDescent="0.3">
      <c r="A62">
        <v>61</v>
      </c>
      <c r="B62" t="s">
        <v>728</v>
      </c>
      <c r="C62" s="3">
        <v>32499</v>
      </c>
      <c r="D62" t="s">
        <v>667</v>
      </c>
      <c r="E62">
        <v>26</v>
      </c>
      <c r="F62" s="1">
        <v>45301</v>
      </c>
      <c r="G62" s="1" t="str">
        <f>TEXT(Table1[[#This Row],[Enrollment date]], "mmm")</f>
        <v>Jan</v>
      </c>
      <c r="H62" t="s">
        <v>360</v>
      </c>
      <c r="I62" t="s">
        <v>660</v>
      </c>
      <c r="J62" t="str">
        <f>_xlfn.XLOOKUP(Table1[[#This Row],[Course ]], CCF!B:B, CCF!A:A)</f>
        <v>DM101</v>
      </c>
      <c r="K62" t="s">
        <v>365</v>
      </c>
      <c r="L62">
        <f>_xlfn.XLOOKUP(K62, CCF!B:B, CCF!C:C)</f>
        <v>85499</v>
      </c>
      <c r="M62" t="s">
        <v>48</v>
      </c>
    </row>
    <row r="63" spans="1:13" x14ac:dyDescent="0.3">
      <c r="A63">
        <v>62</v>
      </c>
      <c r="B63" t="s">
        <v>729</v>
      </c>
      <c r="C63" s="3">
        <v>60830</v>
      </c>
      <c r="D63" t="s">
        <v>666</v>
      </c>
      <c r="E63">
        <v>24</v>
      </c>
      <c r="F63" s="1">
        <v>45302</v>
      </c>
      <c r="G63" s="1" t="str">
        <f>TEXT(Table1[[#This Row],[Enrollment date]], "mmm")</f>
        <v>Jan</v>
      </c>
      <c r="H63" t="s">
        <v>360</v>
      </c>
      <c r="I63" t="s">
        <v>660</v>
      </c>
      <c r="J63" t="str">
        <f>_xlfn.XLOOKUP(Table1[[#This Row],[Course ]], CCF!B:B, CCF!A:A)</f>
        <v>DA202</v>
      </c>
      <c r="K63" t="s">
        <v>363</v>
      </c>
      <c r="L63">
        <f>_xlfn.XLOOKUP(K63, CCF!B:B, CCF!C:C)</f>
        <v>79999</v>
      </c>
      <c r="M63" t="s">
        <v>374</v>
      </c>
    </row>
    <row r="64" spans="1:13" x14ac:dyDescent="0.3">
      <c r="A64">
        <v>63</v>
      </c>
      <c r="B64" t="s">
        <v>730</v>
      </c>
      <c r="C64" s="3">
        <v>98604</v>
      </c>
      <c r="D64" t="s">
        <v>667</v>
      </c>
      <c r="E64">
        <v>33</v>
      </c>
      <c r="F64" s="1">
        <v>45302</v>
      </c>
      <c r="G64" s="1" t="str">
        <f>TEXT(Table1[[#This Row],[Enrollment date]], "mmm")</f>
        <v>Jan</v>
      </c>
      <c r="H64" t="s">
        <v>360</v>
      </c>
      <c r="I64" t="s">
        <v>659</v>
      </c>
      <c r="J64" t="str">
        <f>_xlfn.XLOOKUP(Table1[[#This Row],[Course ]], CCF!B:B, CCF!A:A)</f>
        <v>DA202</v>
      </c>
      <c r="K64" t="s">
        <v>363</v>
      </c>
      <c r="L64">
        <f>_xlfn.XLOOKUP(K64, CCF!B:B, CCF!C:C)</f>
        <v>79999</v>
      </c>
      <c r="M64" t="s">
        <v>145</v>
      </c>
    </row>
    <row r="65" spans="1:13" x14ac:dyDescent="0.3">
      <c r="A65">
        <v>64</v>
      </c>
      <c r="B65" t="s">
        <v>731</v>
      </c>
      <c r="C65" s="3">
        <v>30108</v>
      </c>
      <c r="D65" t="s">
        <v>666</v>
      </c>
      <c r="E65">
        <v>43</v>
      </c>
      <c r="F65" s="1">
        <v>45302</v>
      </c>
      <c r="G65" s="1" t="str">
        <f>TEXT(Table1[[#This Row],[Enrollment date]], "mmm")</f>
        <v>Jan</v>
      </c>
      <c r="H65" t="s">
        <v>360</v>
      </c>
      <c r="I65" t="s">
        <v>660</v>
      </c>
      <c r="J65" t="str">
        <f>_xlfn.XLOOKUP(Table1[[#This Row],[Course ]], CCF!B:B, CCF!A:A)</f>
        <v>DM101</v>
      </c>
      <c r="K65" t="s">
        <v>365</v>
      </c>
      <c r="L65">
        <f>_xlfn.XLOOKUP(K65, CCF!B:B, CCF!C:C)</f>
        <v>85499</v>
      </c>
      <c r="M65" t="s">
        <v>375</v>
      </c>
    </row>
    <row r="66" spans="1:13" x14ac:dyDescent="0.3">
      <c r="A66">
        <v>65</v>
      </c>
      <c r="B66" t="s">
        <v>732</v>
      </c>
      <c r="C66" s="3">
        <v>31872</v>
      </c>
      <c r="D66" t="s">
        <v>666</v>
      </c>
      <c r="E66">
        <v>47</v>
      </c>
      <c r="F66" s="1">
        <v>45302</v>
      </c>
      <c r="G66" s="1" t="str">
        <f>TEXT(Table1[[#This Row],[Enrollment date]], "mmm")</f>
        <v>Jan</v>
      </c>
      <c r="H66" t="s">
        <v>360</v>
      </c>
      <c r="I66" t="s">
        <v>660</v>
      </c>
      <c r="J66" t="str">
        <f>_xlfn.XLOOKUP(Table1[[#This Row],[Course ]], CCF!B:B, CCF!A:A)</f>
        <v>DM101</v>
      </c>
      <c r="K66" t="s">
        <v>365</v>
      </c>
      <c r="L66">
        <f>_xlfn.XLOOKUP(K66, CCF!B:B, CCF!C:C)</f>
        <v>85499</v>
      </c>
      <c r="M66" t="s">
        <v>376</v>
      </c>
    </row>
    <row r="67" spans="1:13" x14ac:dyDescent="0.3">
      <c r="A67">
        <v>66</v>
      </c>
      <c r="B67" t="s">
        <v>733</v>
      </c>
      <c r="C67" s="3">
        <v>91286</v>
      </c>
      <c r="D67" t="s">
        <v>667</v>
      </c>
      <c r="E67">
        <v>34</v>
      </c>
      <c r="F67" s="1">
        <v>45302</v>
      </c>
      <c r="G67" s="1" t="str">
        <f>TEXT(Table1[[#This Row],[Enrollment date]], "mmm")</f>
        <v>Jan</v>
      </c>
      <c r="H67" t="s">
        <v>360</v>
      </c>
      <c r="I67" t="s">
        <v>659</v>
      </c>
      <c r="J67" t="str">
        <f>_xlfn.XLOOKUP(Table1[[#This Row],[Course ]], CCF!B:B, CCF!A:A)</f>
        <v>DA202</v>
      </c>
      <c r="K67" t="s">
        <v>363</v>
      </c>
      <c r="L67">
        <f>_xlfn.XLOOKUP(K67, CCF!B:B, CCF!C:C)</f>
        <v>79999</v>
      </c>
      <c r="M67" t="s">
        <v>110</v>
      </c>
    </row>
    <row r="68" spans="1:13" x14ac:dyDescent="0.3">
      <c r="A68">
        <v>67</v>
      </c>
      <c r="B68" t="s">
        <v>734</v>
      </c>
      <c r="C68" s="3">
        <v>53674</v>
      </c>
      <c r="D68" t="s">
        <v>666</v>
      </c>
      <c r="E68">
        <v>40</v>
      </c>
      <c r="F68" s="1">
        <v>45303</v>
      </c>
      <c r="G68" s="1" t="str">
        <f>TEXT(Table1[[#This Row],[Enrollment date]], "mmm")</f>
        <v>Jan</v>
      </c>
      <c r="H68" t="s">
        <v>360</v>
      </c>
      <c r="I68" t="s">
        <v>665</v>
      </c>
      <c r="J68" t="str">
        <f>_xlfn.XLOOKUP(Table1[[#This Row],[Course ]], CCF!B:B, CCF!A:A)</f>
        <v>DA202</v>
      </c>
      <c r="K68" t="s">
        <v>363</v>
      </c>
      <c r="L68">
        <f>_xlfn.XLOOKUP(K68, CCF!B:B, CCF!C:C)</f>
        <v>79999</v>
      </c>
      <c r="M68" t="s">
        <v>16</v>
      </c>
    </row>
    <row r="69" spans="1:13" x14ac:dyDescent="0.3">
      <c r="A69">
        <v>68</v>
      </c>
      <c r="B69" t="s">
        <v>735</v>
      </c>
      <c r="C69" s="3">
        <v>35744</v>
      </c>
      <c r="D69" t="s">
        <v>667</v>
      </c>
      <c r="E69">
        <v>60</v>
      </c>
      <c r="F69" s="1">
        <v>45303</v>
      </c>
      <c r="G69" s="1" t="str">
        <f>TEXT(Table1[[#This Row],[Enrollment date]], "mmm")</f>
        <v>Jan</v>
      </c>
      <c r="H69" t="s">
        <v>360</v>
      </c>
      <c r="I69" t="s">
        <v>660</v>
      </c>
      <c r="J69" t="str">
        <f>_xlfn.XLOOKUP(Table1[[#This Row],[Course ]], CCF!B:B, CCF!A:A)</f>
        <v>DM101</v>
      </c>
      <c r="K69" t="s">
        <v>365</v>
      </c>
      <c r="L69">
        <f>_xlfn.XLOOKUP(K69, CCF!B:B, CCF!C:C)</f>
        <v>85499</v>
      </c>
      <c r="M69" t="s">
        <v>20</v>
      </c>
    </row>
    <row r="70" spans="1:13" x14ac:dyDescent="0.3">
      <c r="A70">
        <v>69</v>
      </c>
      <c r="B70" t="s">
        <v>736</v>
      </c>
      <c r="C70" s="3">
        <v>65895</v>
      </c>
      <c r="D70" t="s">
        <v>666</v>
      </c>
      <c r="E70">
        <v>20</v>
      </c>
      <c r="F70" s="1">
        <v>45303</v>
      </c>
      <c r="G70" s="1" t="str">
        <f>TEXT(Table1[[#This Row],[Enrollment date]], "mmm")</f>
        <v>Jan</v>
      </c>
      <c r="H70" t="s">
        <v>360</v>
      </c>
      <c r="I70" t="s">
        <v>663</v>
      </c>
      <c r="J70" t="str">
        <f>_xlfn.XLOOKUP(Table1[[#This Row],[Course ]], CCF!B:B, CCF!A:A)</f>
        <v>DM101</v>
      </c>
      <c r="K70" t="s">
        <v>365</v>
      </c>
      <c r="L70">
        <f>_xlfn.XLOOKUP(K70, CCF!B:B, CCF!C:C)</f>
        <v>85499</v>
      </c>
      <c r="M70" t="s">
        <v>19</v>
      </c>
    </row>
    <row r="71" spans="1:13" x14ac:dyDescent="0.3">
      <c r="A71">
        <v>70</v>
      </c>
      <c r="B71" t="s">
        <v>737</v>
      </c>
      <c r="C71" s="3">
        <v>21602</v>
      </c>
      <c r="D71" t="s">
        <v>666</v>
      </c>
      <c r="E71">
        <v>39</v>
      </c>
      <c r="F71" s="1">
        <v>45303</v>
      </c>
      <c r="G71" s="1" t="str">
        <f>TEXT(Table1[[#This Row],[Enrollment date]], "mmm")</f>
        <v>Jan</v>
      </c>
      <c r="H71" t="s">
        <v>360</v>
      </c>
      <c r="I71" t="s">
        <v>661</v>
      </c>
      <c r="J71" t="str">
        <f>_xlfn.XLOOKUP(Table1[[#This Row],[Course ]], CCF!B:B, CCF!A:A)</f>
        <v>FSD103</v>
      </c>
      <c r="K71" t="s">
        <v>366</v>
      </c>
      <c r="L71">
        <f>_xlfn.XLOOKUP(K71, CCF!B:B, CCF!C:C)</f>
        <v>109990</v>
      </c>
      <c r="M71" t="s">
        <v>18</v>
      </c>
    </row>
    <row r="72" spans="1:13" x14ac:dyDescent="0.3">
      <c r="A72">
        <v>71</v>
      </c>
      <c r="B72" t="s">
        <v>738</v>
      </c>
      <c r="C72" s="3">
        <v>49416</v>
      </c>
      <c r="D72" t="s">
        <v>667</v>
      </c>
      <c r="E72">
        <v>38</v>
      </c>
      <c r="F72" s="1">
        <v>45303</v>
      </c>
      <c r="G72" s="1" t="str">
        <f>TEXT(Table1[[#This Row],[Enrollment date]], "mmm")</f>
        <v>Jan</v>
      </c>
      <c r="H72" t="s">
        <v>360</v>
      </c>
      <c r="I72" t="s">
        <v>661</v>
      </c>
      <c r="J72" t="str">
        <f>_xlfn.XLOOKUP(Table1[[#This Row],[Course ]], CCF!B:B, CCF!A:A)</f>
        <v>DM101</v>
      </c>
      <c r="K72" t="s">
        <v>365</v>
      </c>
      <c r="L72">
        <f>_xlfn.XLOOKUP(K72, CCF!B:B, CCF!C:C)</f>
        <v>85499</v>
      </c>
      <c r="M72" t="s">
        <v>80</v>
      </c>
    </row>
    <row r="73" spans="1:13" x14ac:dyDescent="0.3">
      <c r="A73">
        <v>72</v>
      </c>
      <c r="B73" t="s">
        <v>739</v>
      </c>
      <c r="C73" s="3">
        <v>18754</v>
      </c>
      <c r="D73" t="s">
        <v>666</v>
      </c>
      <c r="E73">
        <v>30</v>
      </c>
      <c r="F73" s="1">
        <v>45303</v>
      </c>
      <c r="G73" s="1" t="str">
        <f>TEXT(Table1[[#This Row],[Enrollment date]], "mmm")</f>
        <v>Jan</v>
      </c>
      <c r="H73" t="s">
        <v>360</v>
      </c>
      <c r="I73" t="s">
        <v>663</v>
      </c>
      <c r="J73" t="str">
        <f>_xlfn.XLOOKUP(Table1[[#This Row],[Course ]], CCF!B:B, CCF!A:A)</f>
        <v>DM101</v>
      </c>
      <c r="K73" t="s">
        <v>365</v>
      </c>
      <c r="L73">
        <f>_xlfn.XLOOKUP(K73, CCF!B:B, CCF!C:C)</f>
        <v>85499</v>
      </c>
      <c r="M73" t="s">
        <v>9</v>
      </c>
    </row>
    <row r="74" spans="1:13" x14ac:dyDescent="0.3">
      <c r="A74">
        <v>73</v>
      </c>
      <c r="B74" t="s">
        <v>740</v>
      </c>
      <c r="C74" s="3">
        <v>81547</v>
      </c>
      <c r="D74" t="s">
        <v>666</v>
      </c>
      <c r="E74">
        <v>48</v>
      </c>
      <c r="F74" s="1">
        <v>45303</v>
      </c>
      <c r="G74" s="1" t="str">
        <f>TEXT(Table1[[#This Row],[Enrollment date]], "mmm")</f>
        <v>Jan</v>
      </c>
      <c r="H74" t="s">
        <v>360</v>
      </c>
      <c r="I74" t="s">
        <v>664</v>
      </c>
      <c r="J74" t="str">
        <f>_xlfn.XLOOKUP(Table1[[#This Row],[Course ]], CCF!B:B, CCF!A:A)</f>
        <v>DM101</v>
      </c>
      <c r="K74" t="s">
        <v>365</v>
      </c>
      <c r="L74">
        <f>_xlfn.XLOOKUP(K74, CCF!B:B, CCF!C:C)</f>
        <v>85499</v>
      </c>
      <c r="M74" t="s">
        <v>73</v>
      </c>
    </row>
    <row r="75" spans="1:13" x14ac:dyDescent="0.3">
      <c r="A75">
        <v>74</v>
      </c>
      <c r="B75" t="s">
        <v>741</v>
      </c>
      <c r="C75" s="3">
        <v>90915</v>
      </c>
      <c r="D75" t="s">
        <v>666</v>
      </c>
      <c r="E75">
        <v>43</v>
      </c>
      <c r="F75" s="1">
        <v>45303</v>
      </c>
      <c r="G75" s="1" t="str">
        <f>TEXT(Table1[[#This Row],[Enrollment date]], "mmm")</f>
        <v>Jan</v>
      </c>
      <c r="H75" t="s">
        <v>360</v>
      </c>
      <c r="I75" t="s">
        <v>661</v>
      </c>
      <c r="J75" t="str">
        <f>_xlfn.XLOOKUP(Table1[[#This Row],[Course ]], CCF!B:B, CCF!A:A)</f>
        <v>FSD103</v>
      </c>
      <c r="K75" t="s">
        <v>366</v>
      </c>
      <c r="L75">
        <f>_xlfn.XLOOKUP(K75, CCF!B:B, CCF!C:C)</f>
        <v>109990</v>
      </c>
      <c r="M75" t="s">
        <v>7</v>
      </c>
    </row>
    <row r="76" spans="1:13" x14ac:dyDescent="0.3">
      <c r="A76">
        <v>75</v>
      </c>
      <c r="B76" t="s">
        <v>742</v>
      </c>
      <c r="C76" s="3">
        <v>58884</v>
      </c>
      <c r="D76" t="s">
        <v>666</v>
      </c>
      <c r="E76">
        <v>23</v>
      </c>
      <c r="F76" s="1">
        <v>45303</v>
      </c>
      <c r="G76" s="1" t="str">
        <f>TEXT(Table1[[#This Row],[Enrollment date]], "mmm")</f>
        <v>Jan</v>
      </c>
      <c r="H76" t="s">
        <v>360</v>
      </c>
      <c r="I76" t="s">
        <v>659</v>
      </c>
      <c r="J76" t="str">
        <f>_xlfn.XLOOKUP(Table1[[#This Row],[Course ]], CCF!B:B, CCF!A:A)</f>
        <v>BA301</v>
      </c>
      <c r="K76" t="s">
        <v>364</v>
      </c>
      <c r="L76">
        <f>_xlfn.XLOOKUP(K76, CCF!B:B, CCF!C:C)</f>
        <v>59999</v>
      </c>
      <c r="M76" t="s">
        <v>209</v>
      </c>
    </row>
    <row r="77" spans="1:13" x14ac:dyDescent="0.3">
      <c r="A77">
        <v>76</v>
      </c>
      <c r="B77" t="s">
        <v>743</v>
      </c>
      <c r="C77" s="3">
        <v>16806</v>
      </c>
      <c r="D77" t="s">
        <v>667</v>
      </c>
      <c r="E77">
        <v>38</v>
      </c>
      <c r="F77" s="1">
        <v>45303</v>
      </c>
      <c r="G77" s="1" t="str">
        <f>TEXT(Table1[[#This Row],[Enrollment date]], "mmm")</f>
        <v>Jan</v>
      </c>
      <c r="H77" t="s">
        <v>360</v>
      </c>
      <c r="I77" t="s">
        <v>661</v>
      </c>
      <c r="J77" t="str">
        <f>_xlfn.XLOOKUP(Table1[[#This Row],[Course ]], CCF!B:B, CCF!A:A)</f>
        <v>FSD103</v>
      </c>
      <c r="K77" t="s">
        <v>366</v>
      </c>
      <c r="L77">
        <f>_xlfn.XLOOKUP(K77, CCF!B:B, CCF!C:C)</f>
        <v>109990</v>
      </c>
      <c r="M77" t="s">
        <v>17</v>
      </c>
    </row>
    <row r="78" spans="1:13" x14ac:dyDescent="0.3">
      <c r="A78">
        <v>77</v>
      </c>
      <c r="B78" t="s">
        <v>744</v>
      </c>
      <c r="C78" s="3">
        <v>53501</v>
      </c>
      <c r="D78" t="s">
        <v>666</v>
      </c>
      <c r="E78">
        <v>45</v>
      </c>
      <c r="F78" s="1">
        <v>45303</v>
      </c>
      <c r="G78" s="1" t="str">
        <f>TEXT(Table1[[#This Row],[Enrollment date]], "mmm")</f>
        <v>Jan</v>
      </c>
      <c r="H78" t="s">
        <v>360</v>
      </c>
      <c r="I78" t="s">
        <v>659</v>
      </c>
      <c r="J78" t="str">
        <f>_xlfn.XLOOKUP(Table1[[#This Row],[Course ]], CCF!B:B, CCF!A:A)</f>
        <v>FSD103</v>
      </c>
      <c r="K78" t="s">
        <v>366</v>
      </c>
      <c r="L78">
        <f>_xlfn.XLOOKUP(K78, CCF!B:B, CCF!C:C)</f>
        <v>109990</v>
      </c>
      <c r="M78" t="s">
        <v>377</v>
      </c>
    </row>
    <row r="79" spans="1:13" x14ac:dyDescent="0.3">
      <c r="A79">
        <v>78</v>
      </c>
      <c r="B79" t="s">
        <v>745</v>
      </c>
      <c r="C79" s="3">
        <v>46848</v>
      </c>
      <c r="D79" t="s">
        <v>666</v>
      </c>
      <c r="E79">
        <v>67</v>
      </c>
      <c r="F79" s="1">
        <v>45304</v>
      </c>
      <c r="G79" s="1" t="str">
        <f>TEXT(Table1[[#This Row],[Enrollment date]], "mmm")</f>
        <v>Jan</v>
      </c>
      <c r="H79" t="s">
        <v>360</v>
      </c>
      <c r="I79" t="s">
        <v>660</v>
      </c>
      <c r="J79" t="str">
        <f>_xlfn.XLOOKUP(Table1[[#This Row],[Course ]], CCF!B:B, CCF!A:A)</f>
        <v>DM101</v>
      </c>
      <c r="K79" t="s">
        <v>365</v>
      </c>
      <c r="L79">
        <f>_xlfn.XLOOKUP(K79, CCF!B:B, CCF!C:C)</f>
        <v>85499</v>
      </c>
      <c r="M79" t="s">
        <v>71</v>
      </c>
    </row>
    <row r="80" spans="1:13" x14ac:dyDescent="0.3">
      <c r="A80">
        <v>79</v>
      </c>
      <c r="B80" t="s">
        <v>746</v>
      </c>
      <c r="C80" s="3">
        <v>56529</v>
      </c>
      <c r="D80" t="s">
        <v>666</v>
      </c>
      <c r="E80">
        <v>33</v>
      </c>
      <c r="F80" s="1">
        <v>45304</v>
      </c>
      <c r="G80" s="1" t="str">
        <f>TEXT(Table1[[#This Row],[Enrollment date]], "mmm")</f>
        <v>Jan</v>
      </c>
      <c r="H80" t="s">
        <v>360</v>
      </c>
      <c r="I80" t="s">
        <v>663</v>
      </c>
      <c r="J80" t="str">
        <f>_xlfn.XLOOKUP(Table1[[#This Row],[Course ]], CCF!B:B, CCF!A:A)</f>
        <v>FSD103</v>
      </c>
      <c r="K80" t="s">
        <v>366</v>
      </c>
      <c r="L80">
        <f>_xlfn.XLOOKUP(K80, CCF!B:B, CCF!C:C)</f>
        <v>109990</v>
      </c>
      <c r="M80" t="s">
        <v>333</v>
      </c>
    </row>
    <row r="81" spans="1:13" x14ac:dyDescent="0.3">
      <c r="A81">
        <v>80</v>
      </c>
      <c r="B81" t="s">
        <v>747</v>
      </c>
      <c r="C81" s="3">
        <v>73792</v>
      </c>
      <c r="D81" t="s">
        <v>667</v>
      </c>
      <c r="E81">
        <v>37</v>
      </c>
      <c r="F81" s="1">
        <v>45304</v>
      </c>
      <c r="G81" s="1" t="str">
        <f>TEXT(Table1[[#This Row],[Enrollment date]], "mmm")</f>
        <v>Jan</v>
      </c>
      <c r="H81" t="s">
        <v>360</v>
      </c>
      <c r="I81" t="s">
        <v>660</v>
      </c>
      <c r="J81" t="str">
        <f>_xlfn.XLOOKUP(Table1[[#This Row],[Course ]], CCF!B:B, CCF!A:A)</f>
        <v>DA202</v>
      </c>
      <c r="K81" t="s">
        <v>363</v>
      </c>
      <c r="L81">
        <f>_xlfn.XLOOKUP(K81, CCF!B:B, CCF!C:C)</f>
        <v>79999</v>
      </c>
      <c r="M81" t="s">
        <v>378</v>
      </c>
    </row>
    <row r="82" spans="1:13" x14ac:dyDescent="0.3">
      <c r="A82">
        <v>81</v>
      </c>
      <c r="B82" t="s">
        <v>748</v>
      </c>
      <c r="C82" s="3">
        <v>32685</v>
      </c>
      <c r="D82" t="s">
        <v>666</v>
      </c>
      <c r="E82">
        <v>36</v>
      </c>
      <c r="F82" s="1">
        <v>45304</v>
      </c>
      <c r="G82" s="1" t="str">
        <f>TEXT(Table1[[#This Row],[Enrollment date]], "mmm")</f>
        <v>Jan</v>
      </c>
      <c r="H82" t="s">
        <v>360</v>
      </c>
      <c r="I82" t="s">
        <v>659</v>
      </c>
      <c r="J82" t="str">
        <f>_xlfn.XLOOKUP(Table1[[#This Row],[Course ]], CCF!B:B, CCF!A:A)</f>
        <v>DA202</v>
      </c>
      <c r="K82" t="s">
        <v>363</v>
      </c>
      <c r="L82">
        <f>_xlfn.XLOOKUP(K82, CCF!B:B, CCF!C:C)</f>
        <v>79999</v>
      </c>
      <c r="M82" t="s">
        <v>17</v>
      </c>
    </row>
    <row r="83" spans="1:13" x14ac:dyDescent="0.3">
      <c r="A83">
        <v>82</v>
      </c>
      <c r="B83" t="s">
        <v>749</v>
      </c>
      <c r="C83" s="3">
        <v>33492</v>
      </c>
      <c r="D83" t="s">
        <v>666</v>
      </c>
      <c r="E83">
        <v>24</v>
      </c>
      <c r="F83" s="1">
        <v>45304</v>
      </c>
      <c r="G83" s="1" t="str">
        <f>TEXT(Table1[[#This Row],[Enrollment date]], "mmm")</f>
        <v>Jan</v>
      </c>
      <c r="H83" t="s">
        <v>360</v>
      </c>
      <c r="I83" t="s">
        <v>659</v>
      </c>
      <c r="J83" t="str">
        <f>_xlfn.XLOOKUP(Table1[[#This Row],[Course ]], CCF!B:B, CCF!A:A)</f>
        <v>DM101</v>
      </c>
      <c r="K83" t="s">
        <v>365</v>
      </c>
      <c r="L83">
        <f>_xlfn.XLOOKUP(K83, CCF!B:B, CCF!C:C)</f>
        <v>85499</v>
      </c>
      <c r="M83" t="s">
        <v>15</v>
      </c>
    </row>
    <row r="84" spans="1:13" x14ac:dyDescent="0.3">
      <c r="A84">
        <v>83</v>
      </c>
      <c r="B84" t="s">
        <v>750</v>
      </c>
      <c r="C84" s="3">
        <v>44619</v>
      </c>
      <c r="D84" t="s">
        <v>667</v>
      </c>
      <c r="E84">
        <v>43</v>
      </c>
      <c r="F84" s="1">
        <v>45304</v>
      </c>
      <c r="G84" s="1" t="str">
        <f>TEXT(Table1[[#This Row],[Enrollment date]], "mmm")</f>
        <v>Jan</v>
      </c>
      <c r="H84" t="s">
        <v>360</v>
      </c>
      <c r="I84" t="s">
        <v>660</v>
      </c>
      <c r="J84" t="str">
        <f>_xlfn.XLOOKUP(Table1[[#This Row],[Course ]], CCF!B:B, CCF!A:A)</f>
        <v>DA202</v>
      </c>
      <c r="K84" t="s">
        <v>363</v>
      </c>
      <c r="L84">
        <f>_xlfn.XLOOKUP(K84, CCF!B:B, CCF!C:C)</f>
        <v>79999</v>
      </c>
      <c r="M84" t="s">
        <v>2</v>
      </c>
    </row>
    <row r="85" spans="1:13" x14ac:dyDescent="0.3">
      <c r="A85">
        <v>84</v>
      </c>
      <c r="B85" t="s">
        <v>751</v>
      </c>
      <c r="C85" s="3">
        <v>10572</v>
      </c>
      <c r="D85" t="s">
        <v>666</v>
      </c>
      <c r="E85">
        <v>68</v>
      </c>
      <c r="F85" s="1">
        <v>45305</v>
      </c>
      <c r="G85" s="1" t="str">
        <f>TEXT(Table1[[#This Row],[Enrollment date]], "mmm")</f>
        <v>Jan</v>
      </c>
      <c r="H85" t="s">
        <v>360</v>
      </c>
      <c r="I85" t="s">
        <v>659</v>
      </c>
      <c r="J85" t="str">
        <f>_xlfn.XLOOKUP(Table1[[#This Row],[Course ]], CCF!B:B, CCF!A:A)</f>
        <v>DA202</v>
      </c>
      <c r="K85" t="s">
        <v>363</v>
      </c>
      <c r="L85">
        <f>_xlfn.XLOOKUP(K85, CCF!B:B, CCF!C:C)</f>
        <v>79999</v>
      </c>
      <c r="M85" t="s">
        <v>27</v>
      </c>
    </row>
    <row r="86" spans="1:13" x14ac:dyDescent="0.3">
      <c r="A86">
        <v>85</v>
      </c>
      <c r="B86" t="s">
        <v>752</v>
      </c>
      <c r="C86" s="3">
        <v>18554</v>
      </c>
      <c r="D86" t="s">
        <v>667</v>
      </c>
      <c r="E86">
        <v>19</v>
      </c>
      <c r="F86" s="1">
        <v>45305</v>
      </c>
      <c r="G86" s="1" t="str">
        <f>TEXT(Table1[[#This Row],[Enrollment date]], "mmm")</f>
        <v>Jan</v>
      </c>
      <c r="H86" t="s">
        <v>360</v>
      </c>
      <c r="I86" t="s">
        <v>661</v>
      </c>
      <c r="J86" t="str">
        <f>_xlfn.XLOOKUP(Table1[[#This Row],[Course ]], CCF!B:B, CCF!A:A)</f>
        <v>DA202</v>
      </c>
      <c r="K86" t="s">
        <v>363</v>
      </c>
      <c r="L86">
        <f>_xlfn.XLOOKUP(K86, CCF!B:B, CCF!C:C)</f>
        <v>79999</v>
      </c>
      <c r="M86" t="s">
        <v>53</v>
      </c>
    </row>
    <row r="87" spans="1:13" x14ac:dyDescent="0.3">
      <c r="A87">
        <v>86</v>
      </c>
      <c r="B87" t="s">
        <v>753</v>
      </c>
      <c r="C87" s="3">
        <v>68779</v>
      </c>
      <c r="D87" t="s">
        <v>666</v>
      </c>
      <c r="E87">
        <v>21</v>
      </c>
      <c r="F87" s="1">
        <v>45305</v>
      </c>
      <c r="G87" s="1" t="str">
        <f>TEXT(Table1[[#This Row],[Enrollment date]], "mmm")</f>
        <v>Jan</v>
      </c>
      <c r="H87" t="s">
        <v>360</v>
      </c>
      <c r="I87" t="s">
        <v>660</v>
      </c>
      <c r="J87" t="str">
        <f>_xlfn.XLOOKUP(Table1[[#This Row],[Course ]], CCF!B:B, CCF!A:A)</f>
        <v>BA301</v>
      </c>
      <c r="K87" t="s">
        <v>364</v>
      </c>
      <c r="L87">
        <f>_xlfn.XLOOKUP(K87, CCF!B:B, CCF!C:C)</f>
        <v>59999</v>
      </c>
      <c r="M87" t="s">
        <v>17</v>
      </c>
    </row>
    <row r="88" spans="1:13" x14ac:dyDescent="0.3">
      <c r="A88">
        <v>87</v>
      </c>
      <c r="B88" t="s">
        <v>754</v>
      </c>
      <c r="C88" s="3">
        <v>35415</v>
      </c>
      <c r="D88" t="s">
        <v>666</v>
      </c>
      <c r="E88">
        <v>32</v>
      </c>
      <c r="F88" s="1">
        <v>45305</v>
      </c>
      <c r="G88" s="1" t="str">
        <f>TEXT(Table1[[#This Row],[Enrollment date]], "mmm")</f>
        <v>Jan</v>
      </c>
      <c r="H88" t="s">
        <v>360</v>
      </c>
      <c r="I88" t="s">
        <v>661</v>
      </c>
      <c r="J88" t="str">
        <f>_xlfn.XLOOKUP(Table1[[#This Row],[Course ]], CCF!B:B, CCF!A:A)</f>
        <v>DM101</v>
      </c>
      <c r="K88" t="s">
        <v>365</v>
      </c>
      <c r="L88">
        <f>_xlfn.XLOOKUP(K88, CCF!B:B, CCF!C:C)</f>
        <v>85499</v>
      </c>
      <c r="M88" t="s">
        <v>45</v>
      </c>
    </row>
    <row r="89" spans="1:13" x14ac:dyDescent="0.3">
      <c r="A89">
        <v>88</v>
      </c>
      <c r="B89" t="s">
        <v>755</v>
      </c>
      <c r="C89" s="3">
        <v>72358</v>
      </c>
      <c r="D89" t="s">
        <v>666</v>
      </c>
      <c r="E89">
        <v>38</v>
      </c>
      <c r="F89" s="1">
        <v>45305</v>
      </c>
      <c r="G89" s="1" t="str">
        <f>TEXT(Table1[[#This Row],[Enrollment date]], "mmm")</f>
        <v>Jan</v>
      </c>
      <c r="H89" t="s">
        <v>360</v>
      </c>
      <c r="I89" t="s">
        <v>660</v>
      </c>
      <c r="J89" t="str">
        <f>_xlfn.XLOOKUP(Table1[[#This Row],[Course ]], CCF!B:B, CCF!A:A)</f>
        <v>UX401</v>
      </c>
      <c r="K89" t="s">
        <v>367</v>
      </c>
      <c r="L89">
        <f>_xlfn.XLOOKUP(K89, CCF!B:B, CCF!C:C)</f>
        <v>67990</v>
      </c>
      <c r="M89" t="s">
        <v>134</v>
      </c>
    </row>
    <row r="90" spans="1:13" x14ac:dyDescent="0.3">
      <c r="A90">
        <v>89</v>
      </c>
      <c r="B90" t="s">
        <v>756</v>
      </c>
      <c r="C90" s="3">
        <v>52080</v>
      </c>
      <c r="D90" t="s">
        <v>667</v>
      </c>
      <c r="E90">
        <v>27</v>
      </c>
      <c r="F90" s="1">
        <v>45305</v>
      </c>
      <c r="G90" s="1" t="str">
        <f>TEXT(Table1[[#This Row],[Enrollment date]], "mmm")</f>
        <v>Jan</v>
      </c>
      <c r="H90" t="s">
        <v>360</v>
      </c>
      <c r="I90" t="s">
        <v>660</v>
      </c>
      <c r="J90" t="str">
        <f>_xlfn.XLOOKUP(Table1[[#This Row],[Course ]], CCF!B:B, CCF!A:A)</f>
        <v>FSD103</v>
      </c>
      <c r="K90" t="s">
        <v>366</v>
      </c>
      <c r="L90">
        <f>_xlfn.XLOOKUP(K90, CCF!B:B, CCF!C:C)</f>
        <v>109990</v>
      </c>
      <c r="M90" t="s">
        <v>145</v>
      </c>
    </row>
    <row r="91" spans="1:13" x14ac:dyDescent="0.3">
      <c r="A91">
        <v>90</v>
      </c>
      <c r="B91" t="s">
        <v>757</v>
      </c>
      <c r="C91" s="3">
        <v>21700</v>
      </c>
      <c r="D91" t="s">
        <v>666</v>
      </c>
      <c r="E91">
        <v>77</v>
      </c>
      <c r="F91" s="1">
        <v>45306</v>
      </c>
      <c r="G91" s="1" t="str">
        <f>TEXT(Table1[[#This Row],[Enrollment date]], "mmm")</f>
        <v>Jan</v>
      </c>
      <c r="H91" t="s">
        <v>360</v>
      </c>
      <c r="I91" t="s">
        <v>659</v>
      </c>
      <c r="J91" t="str">
        <f>_xlfn.XLOOKUP(Table1[[#This Row],[Course ]], CCF!B:B, CCF!A:A)</f>
        <v>DA202</v>
      </c>
      <c r="K91" t="s">
        <v>363</v>
      </c>
      <c r="L91">
        <f>_xlfn.XLOOKUP(K91, CCF!B:B, CCF!C:C)</f>
        <v>79999</v>
      </c>
      <c r="M91" t="s">
        <v>144</v>
      </c>
    </row>
    <row r="92" spans="1:13" x14ac:dyDescent="0.3">
      <c r="A92">
        <v>91</v>
      </c>
      <c r="B92" t="s">
        <v>758</v>
      </c>
      <c r="C92" s="3">
        <v>45573</v>
      </c>
      <c r="D92" t="s">
        <v>666</v>
      </c>
      <c r="E92">
        <v>32</v>
      </c>
      <c r="F92" s="1">
        <v>45306</v>
      </c>
      <c r="G92" s="1" t="str">
        <f>TEXT(Table1[[#This Row],[Enrollment date]], "mmm")</f>
        <v>Jan</v>
      </c>
      <c r="H92" t="s">
        <v>360</v>
      </c>
      <c r="I92" t="s">
        <v>659</v>
      </c>
      <c r="J92" t="str">
        <f>_xlfn.XLOOKUP(Table1[[#This Row],[Course ]], CCF!B:B, CCF!A:A)</f>
        <v>DM101</v>
      </c>
      <c r="K92" t="s">
        <v>365</v>
      </c>
      <c r="L92">
        <f>_xlfn.XLOOKUP(K92, CCF!B:B, CCF!C:C)</f>
        <v>85499</v>
      </c>
      <c r="M92" t="s">
        <v>189</v>
      </c>
    </row>
    <row r="93" spans="1:13" x14ac:dyDescent="0.3">
      <c r="A93">
        <v>92</v>
      </c>
      <c r="B93" t="s">
        <v>759</v>
      </c>
      <c r="C93" s="3">
        <v>95573</v>
      </c>
      <c r="D93" t="s">
        <v>666</v>
      </c>
      <c r="E93">
        <v>68</v>
      </c>
      <c r="F93" s="1">
        <v>45306</v>
      </c>
      <c r="G93" s="1" t="str">
        <f>TEXT(Table1[[#This Row],[Enrollment date]], "mmm")</f>
        <v>Jan</v>
      </c>
      <c r="H93" t="s">
        <v>360</v>
      </c>
      <c r="I93" t="s">
        <v>659</v>
      </c>
      <c r="J93" t="str">
        <f>_xlfn.XLOOKUP(Table1[[#This Row],[Course ]], CCF!B:B, CCF!A:A)</f>
        <v>DA202</v>
      </c>
      <c r="K93" t="s">
        <v>363</v>
      </c>
      <c r="L93">
        <f>_xlfn.XLOOKUP(K93, CCF!B:B, CCF!C:C)</f>
        <v>79999</v>
      </c>
      <c r="M93" t="s">
        <v>18</v>
      </c>
    </row>
    <row r="94" spans="1:13" x14ac:dyDescent="0.3">
      <c r="A94">
        <v>93</v>
      </c>
      <c r="B94" t="s">
        <v>760</v>
      </c>
      <c r="C94" s="3">
        <v>94622</v>
      </c>
      <c r="D94" t="s">
        <v>666</v>
      </c>
      <c r="E94">
        <v>52</v>
      </c>
      <c r="F94" s="1">
        <v>45306</v>
      </c>
      <c r="G94" s="1" t="str">
        <f>TEXT(Table1[[#This Row],[Enrollment date]], "mmm")</f>
        <v>Jan</v>
      </c>
      <c r="H94" t="s">
        <v>360</v>
      </c>
      <c r="I94" t="s">
        <v>660</v>
      </c>
      <c r="J94" t="str">
        <f>_xlfn.XLOOKUP(Table1[[#This Row],[Course ]], CCF!B:B, CCF!A:A)</f>
        <v>DA202</v>
      </c>
      <c r="K94" t="s">
        <v>363</v>
      </c>
      <c r="L94">
        <f>_xlfn.XLOOKUP(K94, CCF!B:B, CCF!C:C)</f>
        <v>79999</v>
      </c>
      <c r="M94" t="s">
        <v>9</v>
      </c>
    </row>
    <row r="95" spans="1:13" x14ac:dyDescent="0.3">
      <c r="A95">
        <v>94</v>
      </c>
      <c r="B95" t="s">
        <v>761</v>
      </c>
      <c r="C95" s="3">
        <v>15766</v>
      </c>
      <c r="D95" t="s">
        <v>666</v>
      </c>
      <c r="E95">
        <v>24</v>
      </c>
      <c r="F95" s="1">
        <v>45306</v>
      </c>
      <c r="G95" s="1" t="str">
        <f>TEXT(Table1[[#This Row],[Enrollment date]], "mmm")</f>
        <v>Jan</v>
      </c>
      <c r="H95" t="s">
        <v>3</v>
      </c>
      <c r="I95" t="s">
        <v>660</v>
      </c>
      <c r="J95" t="str">
        <f>_xlfn.XLOOKUP(Table1[[#This Row],[Course ]], CCF!B:B, CCF!A:A)</f>
        <v>DA202</v>
      </c>
      <c r="K95" t="s">
        <v>363</v>
      </c>
      <c r="L95">
        <f>_xlfn.XLOOKUP(K95, CCF!B:B, CCF!C:C)</f>
        <v>79999</v>
      </c>
      <c r="M95" t="s">
        <v>27</v>
      </c>
    </row>
    <row r="96" spans="1:13" x14ac:dyDescent="0.3">
      <c r="A96">
        <v>95</v>
      </c>
      <c r="B96" t="s">
        <v>762</v>
      </c>
      <c r="C96" s="3">
        <v>60101</v>
      </c>
      <c r="D96" t="s">
        <v>666</v>
      </c>
      <c r="E96">
        <v>34</v>
      </c>
      <c r="F96" s="1">
        <v>45306</v>
      </c>
      <c r="G96" s="1" t="str">
        <f>TEXT(Table1[[#This Row],[Enrollment date]], "mmm")</f>
        <v>Jan</v>
      </c>
      <c r="H96" t="s">
        <v>360</v>
      </c>
      <c r="I96" t="s">
        <v>659</v>
      </c>
      <c r="J96" t="str">
        <f>_xlfn.XLOOKUP(Table1[[#This Row],[Course ]], CCF!B:B, CCF!A:A)</f>
        <v>DM101</v>
      </c>
      <c r="K96" t="s">
        <v>365</v>
      </c>
      <c r="L96">
        <f>_xlfn.XLOOKUP(K96, CCF!B:B, CCF!C:C)</f>
        <v>85499</v>
      </c>
      <c r="M96" t="s">
        <v>379</v>
      </c>
    </row>
    <row r="97" spans="1:13" x14ac:dyDescent="0.3">
      <c r="A97">
        <v>96</v>
      </c>
      <c r="B97" t="s">
        <v>763</v>
      </c>
      <c r="C97" s="3">
        <v>76259</v>
      </c>
      <c r="D97" t="s">
        <v>666</v>
      </c>
      <c r="E97">
        <v>20</v>
      </c>
      <c r="F97" s="1">
        <v>45306</v>
      </c>
      <c r="G97" s="1" t="str">
        <f>TEXT(Table1[[#This Row],[Enrollment date]], "mmm")</f>
        <v>Jan</v>
      </c>
      <c r="H97" t="s">
        <v>360</v>
      </c>
      <c r="I97" t="s">
        <v>660</v>
      </c>
      <c r="J97" t="str">
        <f>_xlfn.XLOOKUP(Table1[[#This Row],[Course ]], CCF!B:B, CCF!A:A)</f>
        <v>DA202</v>
      </c>
      <c r="K97" t="s">
        <v>363</v>
      </c>
      <c r="L97">
        <f>_xlfn.XLOOKUP(K97, CCF!B:B, CCF!C:C)</f>
        <v>79999</v>
      </c>
      <c r="M97" t="s">
        <v>17</v>
      </c>
    </row>
    <row r="98" spans="1:13" x14ac:dyDescent="0.3">
      <c r="A98">
        <v>97</v>
      </c>
      <c r="B98" t="s">
        <v>764</v>
      </c>
      <c r="C98" s="3">
        <v>39785</v>
      </c>
      <c r="D98" t="s">
        <v>667</v>
      </c>
      <c r="E98">
        <v>46</v>
      </c>
      <c r="F98" s="1">
        <v>45307</v>
      </c>
      <c r="G98" s="1" t="str">
        <f>TEXT(Table1[[#This Row],[Enrollment date]], "mmm")</f>
        <v>Jan</v>
      </c>
      <c r="H98" t="s">
        <v>360</v>
      </c>
      <c r="I98" t="s">
        <v>661</v>
      </c>
      <c r="J98" t="str">
        <f>_xlfn.XLOOKUP(Table1[[#This Row],[Course ]], CCF!B:B, CCF!A:A)</f>
        <v>DM101</v>
      </c>
      <c r="K98" t="s">
        <v>365</v>
      </c>
      <c r="L98">
        <f>_xlfn.XLOOKUP(K98, CCF!B:B, CCF!C:C)</f>
        <v>85499</v>
      </c>
      <c r="M98" t="s">
        <v>9</v>
      </c>
    </row>
    <row r="99" spans="1:13" x14ac:dyDescent="0.3">
      <c r="A99">
        <v>98</v>
      </c>
      <c r="B99" t="s">
        <v>765</v>
      </c>
      <c r="C99" s="3">
        <v>34567</v>
      </c>
      <c r="D99" t="s">
        <v>667</v>
      </c>
      <c r="E99">
        <v>27</v>
      </c>
      <c r="F99" s="1">
        <v>45307</v>
      </c>
      <c r="G99" s="1" t="str">
        <f>TEXT(Table1[[#This Row],[Enrollment date]], "mmm")</f>
        <v>Jan</v>
      </c>
      <c r="H99" t="s">
        <v>360</v>
      </c>
      <c r="I99" t="s">
        <v>659</v>
      </c>
      <c r="J99" t="str">
        <f>_xlfn.XLOOKUP(Table1[[#This Row],[Course ]], CCF!B:B, CCF!A:A)</f>
        <v>DM101</v>
      </c>
      <c r="K99" t="s">
        <v>365</v>
      </c>
      <c r="L99">
        <f>_xlfn.XLOOKUP(K99, CCF!B:B, CCF!C:C)</f>
        <v>85499</v>
      </c>
      <c r="M99" t="s">
        <v>221</v>
      </c>
    </row>
    <row r="100" spans="1:13" x14ac:dyDescent="0.3">
      <c r="A100">
        <v>99</v>
      </c>
      <c r="B100" t="s">
        <v>766</v>
      </c>
      <c r="C100" s="3">
        <v>25523</v>
      </c>
      <c r="D100" t="s">
        <v>667</v>
      </c>
      <c r="E100">
        <v>32</v>
      </c>
      <c r="F100" s="1">
        <v>45307</v>
      </c>
      <c r="G100" s="1" t="str">
        <f>TEXT(Table1[[#This Row],[Enrollment date]], "mmm")</f>
        <v>Jan</v>
      </c>
      <c r="H100" t="s">
        <v>360</v>
      </c>
      <c r="I100" t="s">
        <v>660</v>
      </c>
      <c r="J100" t="str">
        <f>_xlfn.XLOOKUP(Table1[[#This Row],[Course ]], CCF!B:B, CCF!A:A)</f>
        <v>BA301</v>
      </c>
      <c r="K100" t="s">
        <v>364</v>
      </c>
      <c r="L100">
        <f>_xlfn.XLOOKUP(K100, CCF!B:B, CCF!C:C)</f>
        <v>59999</v>
      </c>
      <c r="M100" t="s">
        <v>9</v>
      </c>
    </row>
    <row r="101" spans="1:13" x14ac:dyDescent="0.3">
      <c r="A101">
        <v>100</v>
      </c>
      <c r="B101" t="s">
        <v>767</v>
      </c>
      <c r="C101" s="3">
        <v>72891</v>
      </c>
      <c r="D101" t="s">
        <v>666</v>
      </c>
      <c r="E101">
        <v>42</v>
      </c>
      <c r="F101" s="1">
        <v>45307</v>
      </c>
      <c r="G101" s="1" t="str">
        <f>TEXT(Table1[[#This Row],[Enrollment date]], "mmm")</f>
        <v>Jan</v>
      </c>
      <c r="H101" t="s">
        <v>360</v>
      </c>
      <c r="I101" t="s">
        <v>661</v>
      </c>
      <c r="J101" t="str">
        <f>_xlfn.XLOOKUP(Table1[[#This Row],[Course ]], CCF!B:B, CCF!A:A)</f>
        <v>BA301</v>
      </c>
      <c r="K101" t="s">
        <v>364</v>
      </c>
      <c r="L101">
        <f>_xlfn.XLOOKUP(K101, CCF!B:B, CCF!C:C)</f>
        <v>59999</v>
      </c>
      <c r="M101" t="s">
        <v>9</v>
      </c>
    </row>
    <row r="102" spans="1:13" x14ac:dyDescent="0.3">
      <c r="A102">
        <v>101</v>
      </c>
      <c r="B102" t="s">
        <v>768</v>
      </c>
      <c r="C102" s="3">
        <v>54333</v>
      </c>
      <c r="D102" t="s">
        <v>666</v>
      </c>
      <c r="E102">
        <v>33</v>
      </c>
      <c r="F102" s="1">
        <v>45307</v>
      </c>
      <c r="G102" s="1" t="str">
        <f>TEXT(Table1[[#This Row],[Enrollment date]], "mmm")</f>
        <v>Jan</v>
      </c>
      <c r="H102" t="s">
        <v>360</v>
      </c>
      <c r="I102" t="s">
        <v>661</v>
      </c>
      <c r="J102" t="str">
        <f>_xlfn.XLOOKUP(Table1[[#This Row],[Course ]], CCF!B:B, CCF!A:A)</f>
        <v>FSD103</v>
      </c>
      <c r="K102" t="s">
        <v>366</v>
      </c>
      <c r="L102">
        <f>_xlfn.XLOOKUP(K102, CCF!B:B, CCF!C:C)</f>
        <v>109990</v>
      </c>
      <c r="M102" t="s">
        <v>70</v>
      </c>
    </row>
    <row r="103" spans="1:13" x14ac:dyDescent="0.3">
      <c r="A103">
        <v>102</v>
      </c>
      <c r="B103" t="s">
        <v>769</v>
      </c>
      <c r="C103" s="3">
        <v>11012</v>
      </c>
      <c r="D103" t="s">
        <v>666</v>
      </c>
      <c r="E103">
        <v>50</v>
      </c>
      <c r="F103" s="1">
        <v>45307</v>
      </c>
      <c r="G103" s="1" t="str">
        <f>TEXT(Table1[[#This Row],[Enrollment date]], "mmm")</f>
        <v>Jan</v>
      </c>
      <c r="H103" t="s">
        <v>360</v>
      </c>
      <c r="I103" t="s">
        <v>659</v>
      </c>
      <c r="J103" t="str">
        <f>_xlfn.XLOOKUP(Table1[[#This Row],[Course ]], CCF!B:B, CCF!A:A)</f>
        <v>DM101</v>
      </c>
      <c r="K103" t="s">
        <v>365</v>
      </c>
      <c r="L103">
        <f>_xlfn.XLOOKUP(K103, CCF!B:B, CCF!C:C)</f>
        <v>85499</v>
      </c>
      <c r="M103" t="s">
        <v>83</v>
      </c>
    </row>
    <row r="104" spans="1:13" x14ac:dyDescent="0.3">
      <c r="A104">
        <v>103</v>
      </c>
      <c r="B104" t="s">
        <v>770</v>
      </c>
      <c r="C104" s="3">
        <v>24003</v>
      </c>
      <c r="D104" t="s">
        <v>666</v>
      </c>
      <c r="E104">
        <v>70</v>
      </c>
      <c r="F104" s="1">
        <v>45307</v>
      </c>
      <c r="G104" s="1" t="str">
        <f>TEXT(Table1[[#This Row],[Enrollment date]], "mmm")</f>
        <v>Jan</v>
      </c>
      <c r="H104" t="s">
        <v>360</v>
      </c>
      <c r="I104" t="s">
        <v>659</v>
      </c>
      <c r="J104" t="str">
        <f>_xlfn.XLOOKUP(Table1[[#This Row],[Course ]], CCF!B:B, CCF!A:A)</f>
        <v>DA202</v>
      </c>
      <c r="K104" t="s">
        <v>363</v>
      </c>
      <c r="L104">
        <f>_xlfn.XLOOKUP(K104, CCF!B:B, CCF!C:C)</f>
        <v>79999</v>
      </c>
      <c r="M104" t="s">
        <v>148</v>
      </c>
    </row>
    <row r="105" spans="1:13" x14ac:dyDescent="0.3">
      <c r="A105">
        <v>104</v>
      </c>
      <c r="B105" t="s">
        <v>771</v>
      </c>
      <c r="C105" s="3">
        <v>5919</v>
      </c>
      <c r="D105" t="s">
        <v>667</v>
      </c>
      <c r="E105">
        <v>27</v>
      </c>
      <c r="F105" s="1">
        <v>45307</v>
      </c>
      <c r="G105" s="1" t="str">
        <f>TEXT(Table1[[#This Row],[Enrollment date]], "mmm")</f>
        <v>Jan</v>
      </c>
      <c r="H105" t="s">
        <v>360</v>
      </c>
      <c r="I105" t="s">
        <v>659</v>
      </c>
      <c r="J105" t="str">
        <f>_xlfn.XLOOKUP(Table1[[#This Row],[Course ]], CCF!B:B, CCF!A:A)</f>
        <v>DM101</v>
      </c>
      <c r="K105" t="s">
        <v>365</v>
      </c>
      <c r="L105">
        <f>_xlfn.XLOOKUP(K105, CCF!B:B, CCF!C:C)</f>
        <v>85499</v>
      </c>
      <c r="M105" t="s">
        <v>30</v>
      </c>
    </row>
    <row r="106" spans="1:13" x14ac:dyDescent="0.3">
      <c r="A106">
        <v>105</v>
      </c>
      <c r="B106" t="s">
        <v>772</v>
      </c>
      <c r="C106" s="3">
        <v>60214</v>
      </c>
      <c r="D106" t="s">
        <v>666</v>
      </c>
      <c r="E106">
        <v>61</v>
      </c>
      <c r="F106" s="1">
        <v>45308</v>
      </c>
      <c r="G106" s="1" t="str">
        <f>TEXT(Table1[[#This Row],[Enrollment date]], "mmm")</f>
        <v>Jan</v>
      </c>
      <c r="H106" t="s">
        <v>361</v>
      </c>
      <c r="I106" t="s">
        <v>660</v>
      </c>
      <c r="J106" t="str">
        <f>_xlfn.XLOOKUP(Table1[[#This Row],[Course ]], CCF!B:B, CCF!A:A)</f>
        <v>DM101</v>
      </c>
      <c r="K106" t="s">
        <v>365</v>
      </c>
      <c r="L106">
        <f>_xlfn.XLOOKUP(K106, CCF!B:B, CCF!C:C)</f>
        <v>85499</v>
      </c>
      <c r="M106" t="s">
        <v>211</v>
      </c>
    </row>
    <row r="107" spans="1:13" x14ac:dyDescent="0.3">
      <c r="A107">
        <v>106</v>
      </c>
      <c r="B107" t="s">
        <v>773</v>
      </c>
      <c r="C107" s="3">
        <v>35970</v>
      </c>
      <c r="D107" t="s">
        <v>666</v>
      </c>
      <c r="E107">
        <v>40</v>
      </c>
      <c r="F107" s="1">
        <v>45308</v>
      </c>
      <c r="G107" s="1" t="str">
        <f>TEXT(Table1[[#This Row],[Enrollment date]], "mmm")</f>
        <v>Jan</v>
      </c>
      <c r="H107" t="s">
        <v>360</v>
      </c>
      <c r="I107" t="s">
        <v>664</v>
      </c>
      <c r="J107" t="str">
        <f>_xlfn.XLOOKUP(Table1[[#This Row],[Course ]], CCF!B:B, CCF!A:A)</f>
        <v>DA202</v>
      </c>
      <c r="K107" t="s">
        <v>363</v>
      </c>
      <c r="L107">
        <f>_xlfn.XLOOKUP(K107, CCF!B:B, CCF!C:C)</f>
        <v>79999</v>
      </c>
      <c r="M107" t="s">
        <v>152</v>
      </c>
    </row>
    <row r="108" spans="1:13" x14ac:dyDescent="0.3">
      <c r="A108">
        <v>107</v>
      </c>
      <c r="B108" t="s">
        <v>774</v>
      </c>
      <c r="C108" s="3">
        <v>18343</v>
      </c>
      <c r="D108" t="s">
        <v>666</v>
      </c>
      <c r="E108">
        <v>20</v>
      </c>
      <c r="F108" s="1">
        <v>45308</v>
      </c>
      <c r="G108" s="1" t="str">
        <f>TEXT(Table1[[#This Row],[Enrollment date]], "mmm")</f>
        <v>Jan</v>
      </c>
      <c r="H108" t="s">
        <v>360</v>
      </c>
      <c r="I108" t="s">
        <v>661</v>
      </c>
      <c r="J108" t="str">
        <f>_xlfn.XLOOKUP(Table1[[#This Row],[Course ]], CCF!B:B, CCF!A:A)</f>
        <v>DM101</v>
      </c>
      <c r="K108" t="s">
        <v>365</v>
      </c>
      <c r="L108">
        <f>_xlfn.XLOOKUP(K108, CCF!B:B, CCF!C:C)</f>
        <v>85499</v>
      </c>
      <c r="M108" t="s">
        <v>380</v>
      </c>
    </row>
    <row r="109" spans="1:13" x14ac:dyDescent="0.3">
      <c r="A109">
        <v>108</v>
      </c>
      <c r="B109" t="s">
        <v>775</v>
      </c>
      <c r="C109" s="3">
        <v>79034</v>
      </c>
      <c r="D109" t="s">
        <v>666</v>
      </c>
      <c r="E109">
        <v>77</v>
      </c>
      <c r="F109" s="1">
        <v>45308</v>
      </c>
      <c r="G109" s="1" t="str">
        <f>TEXT(Table1[[#This Row],[Enrollment date]], "mmm")</f>
        <v>Jan</v>
      </c>
      <c r="H109" t="s">
        <v>360</v>
      </c>
      <c r="I109" t="s">
        <v>661</v>
      </c>
      <c r="J109" t="str">
        <f>_xlfn.XLOOKUP(Table1[[#This Row],[Course ]], CCF!B:B, CCF!A:A)</f>
        <v>DA202</v>
      </c>
      <c r="K109" t="s">
        <v>363</v>
      </c>
      <c r="L109">
        <f>_xlfn.XLOOKUP(K109, CCF!B:B, CCF!C:C)</f>
        <v>79999</v>
      </c>
      <c r="M109" t="s">
        <v>82</v>
      </c>
    </row>
    <row r="110" spans="1:13" x14ac:dyDescent="0.3">
      <c r="A110">
        <v>109</v>
      </c>
      <c r="B110" t="s">
        <v>776</v>
      </c>
      <c r="C110" s="3">
        <v>14128</v>
      </c>
      <c r="D110" t="s">
        <v>666</v>
      </c>
      <c r="E110">
        <v>41</v>
      </c>
      <c r="F110" s="1">
        <v>45308</v>
      </c>
      <c r="G110" s="1" t="str">
        <f>TEXT(Table1[[#This Row],[Enrollment date]], "mmm")</f>
        <v>Jan</v>
      </c>
      <c r="H110" t="s">
        <v>360</v>
      </c>
      <c r="I110" t="s">
        <v>661</v>
      </c>
      <c r="J110" t="str">
        <f>_xlfn.XLOOKUP(Table1[[#This Row],[Course ]], CCF!B:B, CCF!A:A)</f>
        <v>DM101</v>
      </c>
      <c r="K110" t="s">
        <v>365</v>
      </c>
      <c r="L110">
        <f>_xlfn.XLOOKUP(K110, CCF!B:B, CCF!C:C)</f>
        <v>85499</v>
      </c>
      <c r="M110" t="s">
        <v>168</v>
      </c>
    </row>
    <row r="111" spans="1:13" x14ac:dyDescent="0.3">
      <c r="A111">
        <v>110</v>
      </c>
      <c r="B111" t="s">
        <v>777</v>
      </c>
      <c r="C111" s="3">
        <v>57780</v>
      </c>
      <c r="D111" t="s">
        <v>667</v>
      </c>
      <c r="E111">
        <v>49</v>
      </c>
      <c r="F111" s="1">
        <v>45309</v>
      </c>
      <c r="G111" s="1" t="str">
        <f>TEXT(Table1[[#This Row],[Enrollment date]], "mmm")</f>
        <v>Jan</v>
      </c>
      <c r="H111" t="s">
        <v>360</v>
      </c>
      <c r="I111" t="s">
        <v>661</v>
      </c>
      <c r="J111" t="str">
        <f>_xlfn.XLOOKUP(Table1[[#This Row],[Course ]], CCF!B:B, CCF!A:A)</f>
        <v>BA301</v>
      </c>
      <c r="K111" t="s">
        <v>364</v>
      </c>
      <c r="L111">
        <f>_xlfn.XLOOKUP(K111, CCF!B:B, CCF!C:C)</f>
        <v>59999</v>
      </c>
      <c r="M111" t="s">
        <v>153</v>
      </c>
    </row>
    <row r="112" spans="1:13" x14ac:dyDescent="0.3">
      <c r="A112">
        <v>111</v>
      </c>
      <c r="B112" t="s">
        <v>778</v>
      </c>
      <c r="C112" s="3">
        <v>34836</v>
      </c>
      <c r="D112" t="s">
        <v>667</v>
      </c>
      <c r="E112">
        <v>18</v>
      </c>
      <c r="F112" s="1">
        <v>45309</v>
      </c>
      <c r="G112" s="1" t="str">
        <f>TEXT(Table1[[#This Row],[Enrollment date]], "mmm")</f>
        <v>Jan</v>
      </c>
      <c r="H112" t="s">
        <v>360</v>
      </c>
      <c r="I112" t="s">
        <v>660</v>
      </c>
      <c r="J112" t="str">
        <f>_xlfn.XLOOKUP(Table1[[#This Row],[Course ]], CCF!B:B, CCF!A:A)</f>
        <v>BA301</v>
      </c>
      <c r="K112" t="s">
        <v>364</v>
      </c>
      <c r="L112">
        <f>_xlfn.XLOOKUP(K112, CCF!B:B, CCF!C:C)</f>
        <v>59999</v>
      </c>
      <c r="M112" t="s">
        <v>381</v>
      </c>
    </row>
    <row r="113" spans="1:13" x14ac:dyDescent="0.3">
      <c r="A113">
        <v>112</v>
      </c>
      <c r="B113" t="s">
        <v>779</v>
      </c>
      <c r="C113" s="3">
        <v>24074</v>
      </c>
      <c r="D113" t="s">
        <v>667</v>
      </c>
      <c r="E113">
        <v>26</v>
      </c>
      <c r="F113" s="1">
        <v>45309</v>
      </c>
      <c r="G113" s="1" t="str">
        <f>TEXT(Table1[[#This Row],[Enrollment date]], "mmm")</f>
        <v>Jan</v>
      </c>
      <c r="H113" t="s">
        <v>360</v>
      </c>
      <c r="I113" t="s">
        <v>659</v>
      </c>
      <c r="J113" t="str">
        <f>_xlfn.XLOOKUP(Table1[[#This Row],[Course ]], CCF!B:B, CCF!A:A)</f>
        <v>DM101</v>
      </c>
      <c r="K113" t="s">
        <v>365</v>
      </c>
      <c r="L113">
        <f>_xlfn.XLOOKUP(K113, CCF!B:B, CCF!C:C)</f>
        <v>85499</v>
      </c>
      <c r="M113" t="s">
        <v>15</v>
      </c>
    </row>
    <row r="114" spans="1:13" x14ac:dyDescent="0.3">
      <c r="A114">
        <v>113</v>
      </c>
      <c r="B114" t="s">
        <v>780</v>
      </c>
      <c r="C114" s="3">
        <v>77170</v>
      </c>
      <c r="D114" t="s">
        <v>666</v>
      </c>
      <c r="E114">
        <v>23</v>
      </c>
      <c r="F114" s="1">
        <v>45309</v>
      </c>
      <c r="G114" s="1" t="str">
        <f>TEXT(Table1[[#This Row],[Enrollment date]], "mmm")</f>
        <v>Jan</v>
      </c>
      <c r="H114" t="s">
        <v>360</v>
      </c>
      <c r="I114" t="s">
        <v>663</v>
      </c>
      <c r="J114" t="str">
        <f>_xlfn.XLOOKUP(Table1[[#This Row],[Course ]], CCF!B:B, CCF!A:A)</f>
        <v>DA202</v>
      </c>
      <c r="K114" t="s">
        <v>363</v>
      </c>
      <c r="L114">
        <f>_xlfn.XLOOKUP(K114, CCF!B:B, CCF!C:C)</f>
        <v>79999</v>
      </c>
      <c r="M114" t="s">
        <v>73</v>
      </c>
    </row>
    <row r="115" spans="1:13" x14ac:dyDescent="0.3">
      <c r="A115">
        <v>114</v>
      </c>
      <c r="B115" t="s">
        <v>781</v>
      </c>
      <c r="C115" s="3">
        <v>47717</v>
      </c>
      <c r="D115" t="s">
        <v>666</v>
      </c>
      <c r="E115">
        <v>56</v>
      </c>
      <c r="F115" s="1">
        <v>45310</v>
      </c>
      <c r="G115" s="1" t="str">
        <f>TEXT(Table1[[#This Row],[Enrollment date]], "mmm")</f>
        <v>Jan</v>
      </c>
      <c r="H115" t="s">
        <v>360</v>
      </c>
      <c r="I115" t="s">
        <v>661</v>
      </c>
      <c r="J115" t="str">
        <f>_xlfn.XLOOKUP(Table1[[#This Row],[Course ]], CCF!B:B, CCF!A:A)</f>
        <v>DM101</v>
      </c>
      <c r="K115" t="s">
        <v>365</v>
      </c>
      <c r="L115">
        <f>_xlfn.XLOOKUP(K115, CCF!B:B, CCF!C:C)</f>
        <v>85499</v>
      </c>
      <c r="M115" t="s">
        <v>382</v>
      </c>
    </row>
    <row r="116" spans="1:13" x14ac:dyDescent="0.3">
      <c r="A116">
        <v>115</v>
      </c>
      <c r="B116" t="s">
        <v>782</v>
      </c>
      <c r="C116" s="3">
        <v>77999</v>
      </c>
      <c r="D116" t="s">
        <v>666</v>
      </c>
      <c r="E116">
        <v>33</v>
      </c>
      <c r="F116" s="1">
        <v>45310</v>
      </c>
      <c r="G116" s="1" t="str">
        <f>TEXT(Table1[[#This Row],[Enrollment date]], "mmm")</f>
        <v>Jan</v>
      </c>
      <c r="H116" t="s">
        <v>360</v>
      </c>
      <c r="I116" t="s">
        <v>660</v>
      </c>
      <c r="J116" t="str">
        <f>_xlfn.XLOOKUP(Table1[[#This Row],[Course ]], CCF!B:B, CCF!A:A)</f>
        <v>FSD103</v>
      </c>
      <c r="K116" t="s">
        <v>366</v>
      </c>
      <c r="L116">
        <f>_xlfn.XLOOKUP(K116, CCF!B:B, CCF!C:C)</f>
        <v>109990</v>
      </c>
      <c r="M116" t="s">
        <v>152</v>
      </c>
    </row>
    <row r="117" spans="1:13" x14ac:dyDescent="0.3">
      <c r="A117">
        <v>116</v>
      </c>
      <c r="B117" t="s">
        <v>783</v>
      </c>
      <c r="C117" s="3">
        <v>61760</v>
      </c>
      <c r="D117" t="s">
        <v>666</v>
      </c>
      <c r="E117">
        <v>30</v>
      </c>
      <c r="F117" s="1">
        <v>45310</v>
      </c>
      <c r="G117" s="1" t="str">
        <f>TEXT(Table1[[#This Row],[Enrollment date]], "mmm")</f>
        <v>Jan</v>
      </c>
      <c r="H117" t="s">
        <v>360</v>
      </c>
      <c r="I117" t="s">
        <v>660</v>
      </c>
      <c r="J117" t="str">
        <f>_xlfn.XLOOKUP(Table1[[#This Row],[Course ]], CCF!B:B, CCF!A:A)</f>
        <v>DA202</v>
      </c>
      <c r="K117" t="s">
        <v>363</v>
      </c>
      <c r="L117">
        <f>_xlfn.XLOOKUP(K117, CCF!B:B, CCF!C:C)</f>
        <v>79999</v>
      </c>
      <c r="M117" t="s">
        <v>200</v>
      </c>
    </row>
    <row r="118" spans="1:13" x14ac:dyDescent="0.3">
      <c r="A118">
        <v>117</v>
      </c>
      <c r="B118" t="s">
        <v>784</v>
      </c>
      <c r="C118" s="3">
        <v>29831</v>
      </c>
      <c r="D118" t="s">
        <v>666</v>
      </c>
      <c r="E118">
        <v>46</v>
      </c>
      <c r="F118" s="1">
        <v>45310</v>
      </c>
      <c r="G118" s="1" t="str">
        <f>TEXT(Table1[[#This Row],[Enrollment date]], "mmm")</f>
        <v>Jan</v>
      </c>
      <c r="H118" t="s">
        <v>360</v>
      </c>
      <c r="I118" t="s">
        <v>662</v>
      </c>
      <c r="J118" t="str">
        <f>_xlfn.XLOOKUP(Table1[[#This Row],[Course ]], CCF!B:B, CCF!A:A)</f>
        <v>DA202</v>
      </c>
      <c r="K118" t="s">
        <v>363</v>
      </c>
      <c r="L118">
        <f>_xlfn.XLOOKUP(K118, CCF!B:B, CCF!C:C)</f>
        <v>79999</v>
      </c>
      <c r="M118" t="s">
        <v>345</v>
      </c>
    </row>
    <row r="119" spans="1:13" x14ac:dyDescent="0.3">
      <c r="A119">
        <v>118</v>
      </c>
      <c r="B119" t="s">
        <v>785</v>
      </c>
      <c r="C119" s="3">
        <v>20988</v>
      </c>
      <c r="D119" t="s">
        <v>667</v>
      </c>
      <c r="E119">
        <v>49</v>
      </c>
      <c r="F119" s="1">
        <v>45310</v>
      </c>
      <c r="G119" s="1" t="str">
        <f>TEXT(Table1[[#This Row],[Enrollment date]], "mmm")</f>
        <v>Jan</v>
      </c>
      <c r="H119" t="s">
        <v>360</v>
      </c>
      <c r="I119" t="s">
        <v>665</v>
      </c>
      <c r="J119" t="str">
        <f>_xlfn.XLOOKUP(Table1[[#This Row],[Course ]], CCF!B:B, CCF!A:A)</f>
        <v>DM101</v>
      </c>
      <c r="K119" t="s">
        <v>365</v>
      </c>
      <c r="L119">
        <f>_xlfn.XLOOKUP(K119, CCF!B:B, CCF!C:C)</f>
        <v>85499</v>
      </c>
      <c r="M119" t="s">
        <v>383</v>
      </c>
    </row>
    <row r="120" spans="1:13" x14ac:dyDescent="0.3">
      <c r="A120">
        <v>119</v>
      </c>
      <c r="B120" t="s">
        <v>786</v>
      </c>
      <c r="C120" s="3">
        <v>18833</v>
      </c>
      <c r="D120" t="s">
        <v>666</v>
      </c>
      <c r="E120">
        <v>18</v>
      </c>
      <c r="F120" s="1">
        <v>45310</v>
      </c>
      <c r="G120" s="1" t="str">
        <f>TEXT(Table1[[#This Row],[Enrollment date]], "mmm")</f>
        <v>Jan</v>
      </c>
      <c r="H120" t="s">
        <v>360</v>
      </c>
      <c r="I120" t="s">
        <v>665</v>
      </c>
      <c r="J120" t="str">
        <f>_xlfn.XLOOKUP(Table1[[#This Row],[Course ]], CCF!B:B, CCF!A:A)</f>
        <v>BA301</v>
      </c>
      <c r="K120" t="s">
        <v>364</v>
      </c>
      <c r="L120">
        <f>_xlfn.XLOOKUP(K120, CCF!B:B, CCF!C:C)</f>
        <v>59999</v>
      </c>
      <c r="M120" t="s">
        <v>175</v>
      </c>
    </row>
    <row r="121" spans="1:13" x14ac:dyDescent="0.3">
      <c r="A121">
        <v>120</v>
      </c>
      <c r="B121" t="s">
        <v>787</v>
      </c>
      <c r="C121" s="3">
        <v>43913</v>
      </c>
      <c r="D121" t="s">
        <v>666</v>
      </c>
      <c r="E121">
        <v>19</v>
      </c>
      <c r="F121" s="1">
        <v>45310</v>
      </c>
      <c r="G121" s="1" t="str">
        <f>TEXT(Table1[[#This Row],[Enrollment date]], "mmm")</f>
        <v>Jan</v>
      </c>
      <c r="H121" t="s">
        <v>360</v>
      </c>
      <c r="I121" t="s">
        <v>660</v>
      </c>
      <c r="J121" t="str">
        <f>_xlfn.XLOOKUP(Table1[[#This Row],[Course ]], CCF!B:B, CCF!A:A)</f>
        <v>DM101</v>
      </c>
      <c r="K121" t="s">
        <v>365</v>
      </c>
      <c r="L121">
        <f>_xlfn.XLOOKUP(K121, CCF!B:B, CCF!C:C)</f>
        <v>85499</v>
      </c>
      <c r="M121" t="s">
        <v>18</v>
      </c>
    </row>
    <row r="122" spans="1:13" x14ac:dyDescent="0.3">
      <c r="A122">
        <v>121</v>
      </c>
      <c r="B122" t="s">
        <v>788</v>
      </c>
      <c r="C122" s="3">
        <v>85893</v>
      </c>
      <c r="D122" t="s">
        <v>666</v>
      </c>
      <c r="E122">
        <v>44</v>
      </c>
      <c r="F122" s="1">
        <v>45310</v>
      </c>
      <c r="G122" s="1" t="str">
        <f>TEXT(Table1[[#This Row],[Enrollment date]], "mmm")</f>
        <v>Jan</v>
      </c>
      <c r="H122" t="s">
        <v>360</v>
      </c>
      <c r="I122" t="s">
        <v>659</v>
      </c>
      <c r="J122" t="str">
        <f>_xlfn.XLOOKUP(Table1[[#This Row],[Course ]], CCF!B:B, CCF!A:A)</f>
        <v>DM101</v>
      </c>
      <c r="K122" t="s">
        <v>365</v>
      </c>
      <c r="L122">
        <f>_xlfn.XLOOKUP(K122, CCF!B:B, CCF!C:C)</f>
        <v>85499</v>
      </c>
      <c r="M122" t="s">
        <v>38</v>
      </c>
    </row>
    <row r="123" spans="1:13" x14ac:dyDescent="0.3">
      <c r="A123">
        <v>122</v>
      </c>
      <c r="B123" t="s">
        <v>789</v>
      </c>
      <c r="C123" s="3">
        <v>80461</v>
      </c>
      <c r="D123" t="s">
        <v>667</v>
      </c>
      <c r="E123">
        <v>26</v>
      </c>
      <c r="F123" s="1">
        <v>45310</v>
      </c>
      <c r="G123" s="1" t="str">
        <f>TEXT(Table1[[#This Row],[Enrollment date]], "mmm")</f>
        <v>Jan</v>
      </c>
      <c r="H123" t="s">
        <v>360</v>
      </c>
      <c r="I123" t="s">
        <v>662</v>
      </c>
      <c r="J123" t="str">
        <f>_xlfn.XLOOKUP(Table1[[#This Row],[Course ]], CCF!B:B, CCF!A:A)</f>
        <v>DM101</v>
      </c>
      <c r="K123" t="s">
        <v>365</v>
      </c>
      <c r="L123">
        <f>_xlfn.XLOOKUP(K123, CCF!B:B, CCF!C:C)</f>
        <v>85499</v>
      </c>
      <c r="M123" t="s">
        <v>159</v>
      </c>
    </row>
    <row r="124" spans="1:13" x14ac:dyDescent="0.3">
      <c r="A124">
        <v>123</v>
      </c>
      <c r="B124" t="s">
        <v>790</v>
      </c>
      <c r="C124" s="3">
        <v>64839</v>
      </c>
      <c r="D124" t="s">
        <v>667</v>
      </c>
      <c r="E124">
        <v>64</v>
      </c>
      <c r="F124" s="1">
        <v>45310</v>
      </c>
      <c r="G124" s="1" t="str">
        <f>TEXT(Table1[[#This Row],[Enrollment date]], "mmm")</f>
        <v>Jan</v>
      </c>
      <c r="H124" t="s">
        <v>360</v>
      </c>
      <c r="I124" t="s">
        <v>659</v>
      </c>
      <c r="J124" t="str">
        <f>_xlfn.XLOOKUP(Table1[[#This Row],[Course ]], CCF!B:B, CCF!A:A)</f>
        <v>DM101</v>
      </c>
      <c r="K124" t="s">
        <v>365</v>
      </c>
      <c r="L124">
        <f>_xlfn.XLOOKUP(K124, CCF!B:B, CCF!C:C)</f>
        <v>85499</v>
      </c>
      <c r="M124" t="s">
        <v>16</v>
      </c>
    </row>
    <row r="125" spans="1:13" x14ac:dyDescent="0.3">
      <c r="A125">
        <v>124</v>
      </c>
      <c r="B125" t="s">
        <v>791</v>
      </c>
      <c r="C125" s="3">
        <v>29630</v>
      </c>
      <c r="D125" t="s">
        <v>666</v>
      </c>
      <c r="E125">
        <v>67</v>
      </c>
      <c r="F125" s="1">
        <v>45311</v>
      </c>
      <c r="G125" s="1" t="str">
        <f>TEXT(Table1[[#This Row],[Enrollment date]], "mmm")</f>
        <v>Jan</v>
      </c>
      <c r="H125" t="s">
        <v>360</v>
      </c>
      <c r="I125" t="s">
        <v>660</v>
      </c>
      <c r="J125" t="str">
        <f>_xlfn.XLOOKUP(Table1[[#This Row],[Course ]], CCF!B:B, CCF!A:A)</f>
        <v>DM101</v>
      </c>
      <c r="K125" t="s">
        <v>365</v>
      </c>
      <c r="L125">
        <f>_xlfn.XLOOKUP(K125, CCF!B:B, CCF!C:C)</f>
        <v>85499</v>
      </c>
      <c r="M125" t="s">
        <v>17</v>
      </c>
    </row>
    <row r="126" spans="1:13" x14ac:dyDescent="0.3">
      <c r="A126">
        <v>125</v>
      </c>
      <c r="B126" t="s">
        <v>792</v>
      </c>
      <c r="C126" s="3">
        <v>16182</v>
      </c>
      <c r="D126" t="s">
        <v>666</v>
      </c>
      <c r="E126">
        <v>42</v>
      </c>
      <c r="F126" s="1">
        <v>45311</v>
      </c>
      <c r="G126" s="1" t="str">
        <f>TEXT(Table1[[#This Row],[Enrollment date]], "mmm")</f>
        <v>Jan</v>
      </c>
      <c r="H126" t="s">
        <v>360</v>
      </c>
      <c r="I126" t="s">
        <v>661</v>
      </c>
      <c r="J126" t="str">
        <f>_xlfn.XLOOKUP(Table1[[#This Row],[Course ]], CCF!B:B, CCF!A:A)</f>
        <v>DA202</v>
      </c>
      <c r="K126" t="s">
        <v>363</v>
      </c>
      <c r="L126">
        <f>_xlfn.XLOOKUP(K126, CCF!B:B, CCF!C:C)</f>
        <v>79999</v>
      </c>
      <c r="M126" t="s">
        <v>197</v>
      </c>
    </row>
    <row r="127" spans="1:13" x14ac:dyDescent="0.3">
      <c r="A127">
        <v>126</v>
      </c>
      <c r="B127" t="s">
        <v>793</v>
      </c>
      <c r="C127" s="3">
        <v>21839</v>
      </c>
      <c r="D127" t="s">
        <v>666</v>
      </c>
      <c r="E127">
        <v>48</v>
      </c>
      <c r="F127" s="1">
        <v>45311</v>
      </c>
      <c r="G127" s="1" t="str">
        <f>TEXT(Table1[[#This Row],[Enrollment date]], "mmm")</f>
        <v>Jan</v>
      </c>
      <c r="H127" t="s">
        <v>360</v>
      </c>
      <c r="I127" t="s">
        <v>661</v>
      </c>
      <c r="J127" t="str">
        <f>_xlfn.XLOOKUP(Table1[[#This Row],[Course ]], CCF!B:B, CCF!A:A)</f>
        <v>DM101</v>
      </c>
      <c r="K127" t="s">
        <v>365</v>
      </c>
      <c r="L127">
        <f>_xlfn.XLOOKUP(K127, CCF!B:B, CCF!C:C)</f>
        <v>85499</v>
      </c>
      <c r="M127" t="s">
        <v>190</v>
      </c>
    </row>
    <row r="128" spans="1:13" x14ac:dyDescent="0.3">
      <c r="A128">
        <v>127</v>
      </c>
      <c r="B128" t="s">
        <v>794</v>
      </c>
      <c r="C128" s="3">
        <v>35383</v>
      </c>
      <c r="D128" t="s">
        <v>666</v>
      </c>
      <c r="E128">
        <v>33</v>
      </c>
      <c r="F128" s="1">
        <v>45311</v>
      </c>
      <c r="G128" s="1" t="str">
        <f>TEXT(Table1[[#This Row],[Enrollment date]], "mmm")</f>
        <v>Jan</v>
      </c>
      <c r="H128" t="s">
        <v>360</v>
      </c>
      <c r="I128" t="s">
        <v>660</v>
      </c>
      <c r="J128" t="str">
        <f>_xlfn.XLOOKUP(Table1[[#This Row],[Course ]], CCF!B:B, CCF!A:A)</f>
        <v>DM101</v>
      </c>
      <c r="K128" t="s">
        <v>365</v>
      </c>
      <c r="L128">
        <f>_xlfn.XLOOKUP(K128, CCF!B:B, CCF!C:C)</f>
        <v>85499</v>
      </c>
      <c r="M128" t="s">
        <v>197</v>
      </c>
    </row>
    <row r="129" spans="1:13" x14ac:dyDescent="0.3">
      <c r="A129">
        <v>128</v>
      </c>
      <c r="B129" t="s">
        <v>795</v>
      </c>
      <c r="C129" s="3">
        <v>27352</v>
      </c>
      <c r="D129" t="s">
        <v>666</v>
      </c>
      <c r="E129">
        <v>26</v>
      </c>
      <c r="F129" s="1">
        <v>45311</v>
      </c>
      <c r="G129" s="1" t="str">
        <f>TEXT(Table1[[#This Row],[Enrollment date]], "mmm")</f>
        <v>Jan</v>
      </c>
      <c r="H129" t="s">
        <v>360</v>
      </c>
      <c r="I129" t="s">
        <v>661</v>
      </c>
      <c r="J129" t="str">
        <f>_xlfn.XLOOKUP(Table1[[#This Row],[Course ]], CCF!B:B, CCF!A:A)</f>
        <v>DM101</v>
      </c>
      <c r="K129" t="s">
        <v>365</v>
      </c>
      <c r="L129">
        <f>_xlfn.XLOOKUP(K129, CCF!B:B, CCF!C:C)</f>
        <v>85499</v>
      </c>
      <c r="M129" t="s">
        <v>24</v>
      </c>
    </row>
    <row r="130" spans="1:13" x14ac:dyDescent="0.3">
      <c r="A130">
        <v>129</v>
      </c>
      <c r="B130" t="s">
        <v>796</v>
      </c>
      <c r="C130" s="3">
        <v>17867</v>
      </c>
      <c r="D130" t="s">
        <v>666</v>
      </c>
      <c r="E130">
        <v>42</v>
      </c>
      <c r="F130" s="1">
        <v>45311</v>
      </c>
      <c r="G130" s="1" t="str">
        <f>TEXT(Table1[[#This Row],[Enrollment date]], "mmm")</f>
        <v>Jan</v>
      </c>
      <c r="H130" t="s">
        <v>360</v>
      </c>
      <c r="I130" t="s">
        <v>660</v>
      </c>
      <c r="J130" t="str">
        <f>_xlfn.XLOOKUP(Table1[[#This Row],[Course ]], CCF!B:B, CCF!A:A)</f>
        <v>DM101</v>
      </c>
      <c r="K130" t="s">
        <v>365</v>
      </c>
      <c r="L130">
        <f>_xlfn.XLOOKUP(K130, CCF!B:B, CCF!C:C)</f>
        <v>85499</v>
      </c>
      <c r="M130" t="s">
        <v>80</v>
      </c>
    </row>
    <row r="131" spans="1:13" x14ac:dyDescent="0.3">
      <c r="A131">
        <v>130</v>
      </c>
      <c r="B131" t="s">
        <v>797</v>
      </c>
      <c r="C131" s="3">
        <v>58915</v>
      </c>
      <c r="D131" t="s">
        <v>667</v>
      </c>
      <c r="E131">
        <v>58</v>
      </c>
      <c r="F131" s="1">
        <v>45311</v>
      </c>
      <c r="G131" s="1" t="str">
        <f>TEXT(Table1[[#This Row],[Enrollment date]], "mmm")</f>
        <v>Jan</v>
      </c>
      <c r="H131" t="s">
        <v>360</v>
      </c>
      <c r="I131" t="s">
        <v>659</v>
      </c>
      <c r="J131" t="str">
        <f>_xlfn.XLOOKUP(Table1[[#This Row],[Course ]], CCF!B:B, CCF!A:A)</f>
        <v>DA202</v>
      </c>
      <c r="K131" t="s">
        <v>363</v>
      </c>
      <c r="L131">
        <f>_xlfn.XLOOKUP(K131, CCF!B:B, CCF!C:C)</f>
        <v>79999</v>
      </c>
      <c r="M131" t="s">
        <v>18</v>
      </c>
    </row>
    <row r="132" spans="1:13" x14ac:dyDescent="0.3">
      <c r="A132">
        <v>131</v>
      </c>
      <c r="B132" t="s">
        <v>798</v>
      </c>
      <c r="C132" s="3">
        <v>87590</v>
      </c>
      <c r="D132" t="s">
        <v>666</v>
      </c>
      <c r="E132">
        <v>48</v>
      </c>
      <c r="F132" s="1">
        <v>45311</v>
      </c>
      <c r="G132" s="1" t="str">
        <f>TEXT(Table1[[#This Row],[Enrollment date]], "mmm")</f>
        <v>Jan</v>
      </c>
      <c r="H132" t="s">
        <v>360</v>
      </c>
      <c r="I132" t="s">
        <v>660</v>
      </c>
      <c r="J132" t="str">
        <f>_xlfn.XLOOKUP(Table1[[#This Row],[Course ]], CCF!B:B, CCF!A:A)</f>
        <v>DM101</v>
      </c>
      <c r="K132" t="s">
        <v>365</v>
      </c>
      <c r="L132">
        <f>_xlfn.XLOOKUP(K132, CCF!B:B, CCF!C:C)</f>
        <v>85499</v>
      </c>
      <c r="M132" t="s">
        <v>18</v>
      </c>
    </row>
    <row r="133" spans="1:13" x14ac:dyDescent="0.3">
      <c r="A133">
        <v>132</v>
      </c>
      <c r="B133" t="s">
        <v>799</v>
      </c>
      <c r="C133" s="3">
        <v>30304</v>
      </c>
      <c r="D133" t="s">
        <v>666</v>
      </c>
      <c r="E133">
        <v>27</v>
      </c>
      <c r="F133" s="1">
        <v>45311</v>
      </c>
      <c r="G133" s="1" t="str">
        <f>TEXT(Table1[[#This Row],[Enrollment date]], "mmm")</f>
        <v>Jan</v>
      </c>
      <c r="H133" t="s">
        <v>360</v>
      </c>
      <c r="I133" t="s">
        <v>661</v>
      </c>
      <c r="J133" t="str">
        <f>_xlfn.XLOOKUP(Table1[[#This Row],[Course ]], CCF!B:B, CCF!A:A)</f>
        <v>DM101</v>
      </c>
      <c r="K133" t="s">
        <v>365</v>
      </c>
      <c r="L133">
        <f>_xlfn.XLOOKUP(K133, CCF!B:B, CCF!C:C)</f>
        <v>85499</v>
      </c>
      <c r="M133" t="s">
        <v>20</v>
      </c>
    </row>
    <row r="134" spans="1:13" x14ac:dyDescent="0.3">
      <c r="A134">
        <v>133</v>
      </c>
      <c r="B134" t="s">
        <v>800</v>
      </c>
      <c r="C134" s="3">
        <v>76721</v>
      </c>
      <c r="D134" t="s">
        <v>667</v>
      </c>
      <c r="E134">
        <v>19</v>
      </c>
      <c r="F134" s="1">
        <v>45311</v>
      </c>
      <c r="G134" s="1" t="str">
        <f>TEXT(Table1[[#This Row],[Enrollment date]], "mmm")</f>
        <v>Jan</v>
      </c>
      <c r="H134" t="s">
        <v>360</v>
      </c>
      <c r="I134" t="s">
        <v>661</v>
      </c>
      <c r="J134" t="str">
        <f>_xlfn.XLOOKUP(Table1[[#This Row],[Course ]], CCF!B:B, CCF!A:A)</f>
        <v>BA301</v>
      </c>
      <c r="K134" t="s">
        <v>364</v>
      </c>
      <c r="L134">
        <f>_xlfn.XLOOKUP(K134, CCF!B:B, CCF!C:C)</f>
        <v>59999</v>
      </c>
      <c r="M134" t="s">
        <v>116</v>
      </c>
    </row>
    <row r="135" spans="1:13" x14ac:dyDescent="0.3">
      <c r="A135">
        <v>134</v>
      </c>
      <c r="B135" t="s">
        <v>801</v>
      </c>
      <c r="C135" s="3">
        <v>43268</v>
      </c>
      <c r="D135" t="s">
        <v>666</v>
      </c>
      <c r="E135">
        <v>23</v>
      </c>
      <c r="F135" s="1">
        <v>45312</v>
      </c>
      <c r="G135" s="1" t="str">
        <f>TEXT(Table1[[#This Row],[Enrollment date]], "mmm")</f>
        <v>Jan</v>
      </c>
      <c r="H135" t="s">
        <v>360</v>
      </c>
      <c r="I135" t="s">
        <v>661</v>
      </c>
      <c r="J135" t="str">
        <f>_xlfn.XLOOKUP(Table1[[#This Row],[Course ]], CCF!B:B, CCF!A:A)</f>
        <v>FSD103</v>
      </c>
      <c r="K135" t="s">
        <v>366</v>
      </c>
      <c r="L135">
        <f>_xlfn.XLOOKUP(K135, CCF!B:B, CCF!C:C)</f>
        <v>109990</v>
      </c>
      <c r="M135" t="s">
        <v>75</v>
      </c>
    </row>
    <row r="136" spans="1:13" x14ac:dyDescent="0.3">
      <c r="A136">
        <v>135</v>
      </c>
      <c r="B136" t="s">
        <v>802</v>
      </c>
      <c r="C136" s="3">
        <v>50446</v>
      </c>
      <c r="D136" t="s">
        <v>666</v>
      </c>
      <c r="E136">
        <v>45</v>
      </c>
      <c r="F136" s="1">
        <v>45312</v>
      </c>
      <c r="G136" s="1" t="str">
        <f>TEXT(Table1[[#This Row],[Enrollment date]], "mmm")</f>
        <v>Jan</v>
      </c>
      <c r="H136" t="s">
        <v>360</v>
      </c>
      <c r="I136" t="s">
        <v>660</v>
      </c>
      <c r="J136" t="str">
        <f>_xlfn.XLOOKUP(Table1[[#This Row],[Course ]], CCF!B:B, CCF!A:A)</f>
        <v>BA301</v>
      </c>
      <c r="K136" t="s">
        <v>364</v>
      </c>
      <c r="L136">
        <f>_xlfn.XLOOKUP(K136, CCF!B:B, CCF!C:C)</f>
        <v>59999</v>
      </c>
      <c r="M136" t="s">
        <v>83</v>
      </c>
    </row>
    <row r="137" spans="1:13" x14ac:dyDescent="0.3">
      <c r="A137">
        <v>136</v>
      </c>
      <c r="B137" t="s">
        <v>803</v>
      </c>
      <c r="C137" s="3">
        <v>68375</v>
      </c>
      <c r="D137" t="s">
        <v>666</v>
      </c>
      <c r="E137">
        <v>29</v>
      </c>
      <c r="F137" s="1">
        <v>45312</v>
      </c>
      <c r="G137" s="1" t="str">
        <f>TEXT(Table1[[#This Row],[Enrollment date]], "mmm")</f>
        <v>Jan</v>
      </c>
      <c r="H137" t="s">
        <v>360</v>
      </c>
      <c r="I137" t="s">
        <v>659</v>
      </c>
      <c r="J137" t="str">
        <f>_xlfn.XLOOKUP(Table1[[#This Row],[Course ]], CCF!B:B, CCF!A:A)</f>
        <v>UX401</v>
      </c>
      <c r="K137" t="s">
        <v>367</v>
      </c>
      <c r="L137">
        <f>_xlfn.XLOOKUP(K137, CCF!B:B, CCF!C:C)</f>
        <v>67990</v>
      </c>
      <c r="M137" t="s">
        <v>18</v>
      </c>
    </row>
    <row r="138" spans="1:13" x14ac:dyDescent="0.3">
      <c r="A138">
        <v>137</v>
      </c>
      <c r="B138" t="s">
        <v>804</v>
      </c>
      <c r="C138" s="3">
        <v>79246</v>
      </c>
      <c r="D138" t="s">
        <v>666</v>
      </c>
      <c r="E138">
        <v>43</v>
      </c>
      <c r="F138" s="1">
        <v>45312</v>
      </c>
      <c r="G138" s="1" t="str">
        <f>TEXT(Table1[[#This Row],[Enrollment date]], "mmm")</f>
        <v>Jan</v>
      </c>
      <c r="H138" t="s">
        <v>360</v>
      </c>
      <c r="I138" t="s">
        <v>659</v>
      </c>
      <c r="J138" t="str">
        <f>_xlfn.XLOOKUP(Table1[[#This Row],[Course ]], CCF!B:B, CCF!A:A)</f>
        <v>DA202</v>
      </c>
      <c r="K138" t="s">
        <v>363</v>
      </c>
      <c r="L138">
        <f>_xlfn.XLOOKUP(K138, CCF!B:B, CCF!C:C)</f>
        <v>79999</v>
      </c>
      <c r="M138" t="s">
        <v>18</v>
      </c>
    </row>
    <row r="139" spans="1:13" x14ac:dyDescent="0.3">
      <c r="A139">
        <v>138</v>
      </c>
      <c r="B139" t="s">
        <v>805</v>
      </c>
      <c r="C139" s="3">
        <v>85127</v>
      </c>
      <c r="D139" t="s">
        <v>666</v>
      </c>
      <c r="E139">
        <v>50</v>
      </c>
      <c r="F139" s="1">
        <v>45312</v>
      </c>
      <c r="G139" s="1" t="str">
        <f>TEXT(Table1[[#This Row],[Enrollment date]], "mmm")</f>
        <v>Jan</v>
      </c>
      <c r="H139" t="s">
        <v>360</v>
      </c>
      <c r="I139" t="s">
        <v>663</v>
      </c>
      <c r="J139" t="str">
        <f>_xlfn.XLOOKUP(Table1[[#This Row],[Course ]], CCF!B:B, CCF!A:A)</f>
        <v>DM101</v>
      </c>
      <c r="K139" t="s">
        <v>365</v>
      </c>
      <c r="L139">
        <f>_xlfn.XLOOKUP(K139, CCF!B:B, CCF!C:C)</f>
        <v>85499</v>
      </c>
      <c r="M139" t="s">
        <v>18</v>
      </c>
    </row>
    <row r="140" spans="1:13" x14ac:dyDescent="0.3">
      <c r="A140">
        <v>139</v>
      </c>
      <c r="B140" t="s">
        <v>806</v>
      </c>
      <c r="C140" s="3">
        <v>57385</v>
      </c>
      <c r="D140" t="s">
        <v>666</v>
      </c>
      <c r="E140">
        <v>33</v>
      </c>
      <c r="F140" s="1">
        <v>45312</v>
      </c>
      <c r="G140" s="1" t="str">
        <f>TEXT(Table1[[#This Row],[Enrollment date]], "mmm")</f>
        <v>Jan</v>
      </c>
      <c r="H140" t="s">
        <v>360</v>
      </c>
      <c r="I140" t="s">
        <v>660</v>
      </c>
      <c r="J140" t="str">
        <f>_xlfn.XLOOKUP(Table1[[#This Row],[Course ]], CCF!B:B, CCF!A:A)</f>
        <v>BA301</v>
      </c>
      <c r="K140" t="s">
        <v>364</v>
      </c>
      <c r="L140">
        <f>_xlfn.XLOOKUP(K140, CCF!B:B, CCF!C:C)</f>
        <v>59999</v>
      </c>
      <c r="M140" t="s">
        <v>12</v>
      </c>
    </row>
    <row r="141" spans="1:13" x14ac:dyDescent="0.3">
      <c r="A141">
        <v>140</v>
      </c>
      <c r="B141" t="s">
        <v>807</v>
      </c>
      <c r="C141" s="3">
        <v>34760</v>
      </c>
      <c r="D141" t="s">
        <v>666</v>
      </c>
      <c r="E141">
        <v>28</v>
      </c>
      <c r="F141" s="1">
        <v>45312</v>
      </c>
      <c r="G141" s="1" t="str">
        <f>TEXT(Table1[[#This Row],[Enrollment date]], "mmm")</f>
        <v>Jan</v>
      </c>
      <c r="H141" t="s">
        <v>360</v>
      </c>
      <c r="I141" t="s">
        <v>660</v>
      </c>
      <c r="J141" t="str">
        <f>_xlfn.XLOOKUP(Table1[[#This Row],[Course ]], CCF!B:B, CCF!A:A)</f>
        <v>DM101</v>
      </c>
      <c r="K141" t="s">
        <v>365</v>
      </c>
      <c r="L141">
        <f>_xlfn.XLOOKUP(K141, CCF!B:B, CCF!C:C)</f>
        <v>85499</v>
      </c>
      <c r="M141" t="s">
        <v>27</v>
      </c>
    </row>
    <row r="142" spans="1:13" x14ac:dyDescent="0.3">
      <c r="A142">
        <v>141</v>
      </c>
      <c r="B142" t="s">
        <v>808</v>
      </c>
      <c r="C142" s="3">
        <v>83093</v>
      </c>
      <c r="D142" t="s">
        <v>667</v>
      </c>
      <c r="E142">
        <v>18</v>
      </c>
      <c r="F142" s="1">
        <v>45312</v>
      </c>
      <c r="G142" s="1" t="str">
        <f>TEXT(Table1[[#This Row],[Enrollment date]], "mmm")</f>
        <v>Jan</v>
      </c>
      <c r="H142" t="s">
        <v>360</v>
      </c>
      <c r="I142" t="s">
        <v>659</v>
      </c>
      <c r="J142" t="str">
        <f>_xlfn.XLOOKUP(Table1[[#This Row],[Course ]], CCF!B:B, CCF!A:A)</f>
        <v>DA202</v>
      </c>
      <c r="K142" t="s">
        <v>363</v>
      </c>
      <c r="L142">
        <f>_xlfn.XLOOKUP(K142, CCF!B:B, CCF!C:C)</f>
        <v>79999</v>
      </c>
      <c r="M142" t="s">
        <v>89</v>
      </c>
    </row>
    <row r="143" spans="1:13" x14ac:dyDescent="0.3">
      <c r="A143">
        <v>142</v>
      </c>
      <c r="B143" t="s">
        <v>809</v>
      </c>
      <c r="C143" s="3">
        <v>69275</v>
      </c>
      <c r="D143" t="s">
        <v>667</v>
      </c>
      <c r="E143">
        <v>41</v>
      </c>
      <c r="F143" s="1">
        <v>45312</v>
      </c>
      <c r="G143" s="1" t="str">
        <f>TEXT(Table1[[#This Row],[Enrollment date]], "mmm")</f>
        <v>Jan</v>
      </c>
      <c r="H143" t="s">
        <v>360</v>
      </c>
      <c r="I143" t="s">
        <v>659</v>
      </c>
      <c r="J143" t="str">
        <f>_xlfn.XLOOKUP(Table1[[#This Row],[Course ]], CCF!B:B, CCF!A:A)</f>
        <v>UX401</v>
      </c>
      <c r="K143" t="s">
        <v>367</v>
      </c>
      <c r="L143">
        <f>_xlfn.XLOOKUP(K143, CCF!B:B, CCF!C:C)</f>
        <v>67990</v>
      </c>
      <c r="M143" t="s">
        <v>38</v>
      </c>
    </row>
    <row r="144" spans="1:13" x14ac:dyDescent="0.3">
      <c r="A144">
        <v>143</v>
      </c>
      <c r="B144" t="s">
        <v>810</v>
      </c>
      <c r="C144" s="3">
        <v>19144</v>
      </c>
      <c r="D144" t="s">
        <v>666</v>
      </c>
      <c r="E144">
        <v>22</v>
      </c>
      <c r="F144" s="1">
        <v>45312</v>
      </c>
      <c r="G144" s="1" t="str">
        <f>TEXT(Table1[[#This Row],[Enrollment date]], "mmm")</f>
        <v>Jan</v>
      </c>
      <c r="H144" t="s">
        <v>360</v>
      </c>
      <c r="I144" t="s">
        <v>659</v>
      </c>
      <c r="J144" t="str">
        <f>_xlfn.XLOOKUP(Table1[[#This Row],[Course ]], CCF!B:B, CCF!A:A)</f>
        <v>DA202</v>
      </c>
      <c r="K144" t="s">
        <v>363</v>
      </c>
      <c r="L144">
        <f>_xlfn.XLOOKUP(K144, CCF!B:B, CCF!C:C)</f>
        <v>79999</v>
      </c>
      <c r="M144" t="s">
        <v>113</v>
      </c>
    </row>
    <row r="145" spans="1:13" x14ac:dyDescent="0.3">
      <c r="A145">
        <v>144</v>
      </c>
      <c r="B145" t="s">
        <v>811</v>
      </c>
      <c r="C145" s="3">
        <v>45602</v>
      </c>
      <c r="D145" t="s">
        <v>666</v>
      </c>
      <c r="E145">
        <v>42</v>
      </c>
      <c r="F145" s="1">
        <v>45313</v>
      </c>
      <c r="G145" s="1" t="str">
        <f>TEXT(Table1[[#This Row],[Enrollment date]], "mmm")</f>
        <v>Jan</v>
      </c>
      <c r="H145" t="s">
        <v>360</v>
      </c>
      <c r="I145" t="s">
        <v>660</v>
      </c>
      <c r="J145" t="str">
        <f>_xlfn.XLOOKUP(Table1[[#This Row],[Course ]], CCF!B:B, CCF!A:A)</f>
        <v>DA202</v>
      </c>
      <c r="K145" t="s">
        <v>363</v>
      </c>
      <c r="L145">
        <f>_xlfn.XLOOKUP(K145, CCF!B:B, CCF!C:C)</f>
        <v>79999</v>
      </c>
      <c r="M145" t="s">
        <v>16</v>
      </c>
    </row>
    <row r="146" spans="1:13" x14ac:dyDescent="0.3">
      <c r="A146">
        <v>145</v>
      </c>
      <c r="B146" t="s">
        <v>812</v>
      </c>
      <c r="C146" s="3">
        <v>38460</v>
      </c>
      <c r="D146" t="s">
        <v>666</v>
      </c>
      <c r="E146">
        <v>34</v>
      </c>
      <c r="F146" s="1">
        <v>45313</v>
      </c>
      <c r="G146" s="1" t="str">
        <f>TEXT(Table1[[#This Row],[Enrollment date]], "mmm")</f>
        <v>Jan</v>
      </c>
      <c r="H146" t="s">
        <v>360</v>
      </c>
      <c r="I146" t="s">
        <v>659</v>
      </c>
      <c r="J146" t="str">
        <f>_xlfn.XLOOKUP(Table1[[#This Row],[Course ]], CCF!B:B, CCF!A:A)</f>
        <v>DA202</v>
      </c>
      <c r="K146" t="s">
        <v>363</v>
      </c>
      <c r="L146">
        <f>_xlfn.XLOOKUP(K146, CCF!B:B, CCF!C:C)</f>
        <v>79999</v>
      </c>
      <c r="M146" t="s">
        <v>16</v>
      </c>
    </row>
    <row r="147" spans="1:13" x14ac:dyDescent="0.3">
      <c r="A147">
        <v>146</v>
      </c>
      <c r="B147" t="s">
        <v>813</v>
      </c>
      <c r="C147" s="3">
        <v>48536</v>
      </c>
      <c r="D147" t="s">
        <v>666</v>
      </c>
      <c r="E147">
        <v>21</v>
      </c>
      <c r="F147" s="1">
        <v>45313</v>
      </c>
      <c r="G147" s="1" t="str">
        <f>TEXT(Table1[[#This Row],[Enrollment date]], "mmm")</f>
        <v>Jan</v>
      </c>
      <c r="H147" t="s">
        <v>360</v>
      </c>
      <c r="I147" t="s">
        <v>660</v>
      </c>
      <c r="J147" t="str">
        <f>_xlfn.XLOOKUP(Table1[[#This Row],[Course ]], CCF!B:B, CCF!A:A)</f>
        <v>BA301</v>
      </c>
      <c r="K147" t="s">
        <v>364</v>
      </c>
      <c r="L147">
        <f>_xlfn.XLOOKUP(K147, CCF!B:B, CCF!C:C)</f>
        <v>59999</v>
      </c>
      <c r="M147" t="s">
        <v>180</v>
      </c>
    </row>
    <row r="148" spans="1:13" x14ac:dyDescent="0.3">
      <c r="A148">
        <v>147</v>
      </c>
      <c r="B148" t="s">
        <v>814</v>
      </c>
      <c r="C148" s="3">
        <v>10738</v>
      </c>
      <c r="D148" t="s">
        <v>666</v>
      </c>
      <c r="E148">
        <v>51</v>
      </c>
      <c r="F148" s="1">
        <v>45313</v>
      </c>
      <c r="G148" s="1" t="str">
        <f>TEXT(Table1[[#This Row],[Enrollment date]], "mmm")</f>
        <v>Jan</v>
      </c>
      <c r="H148" t="s">
        <v>360</v>
      </c>
      <c r="I148" t="s">
        <v>659</v>
      </c>
      <c r="J148" t="str">
        <f>_xlfn.XLOOKUP(Table1[[#This Row],[Course ]], CCF!B:B, CCF!A:A)</f>
        <v>DA202</v>
      </c>
      <c r="K148" t="s">
        <v>363</v>
      </c>
      <c r="L148">
        <f>_xlfn.XLOOKUP(K148, CCF!B:B, CCF!C:C)</f>
        <v>79999</v>
      </c>
      <c r="M148" t="s">
        <v>20</v>
      </c>
    </row>
    <row r="149" spans="1:13" x14ac:dyDescent="0.3">
      <c r="A149">
        <v>148</v>
      </c>
      <c r="B149" t="s">
        <v>815</v>
      </c>
      <c r="C149" s="3">
        <v>38279</v>
      </c>
      <c r="D149" t="s">
        <v>667</v>
      </c>
      <c r="E149">
        <v>38</v>
      </c>
      <c r="F149" s="1">
        <v>45313</v>
      </c>
      <c r="G149" s="1" t="str">
        <f>TEXT(Table1[[#This Row],[Enrollment date]], "mmm")</f>
        <v>Jan</v>
      </c>
      <c r="H149" t="s">
        <v>360</v>
      </c>
      <c r="I149" t="s">
        <v>661</v>
      </c>
      <c r="J149" t="str">
        <f>_xlfn.XLOOKUP(Table1[[#This Row],[Course ]], CCF!B:B, CCF!A:A)</f>
        <v>UX401</v>
      </c>
      <c r="K149" t="s">
        <v>367</v>
      </c>
      <c r="L149">
        <f>_xlfn.XLOOKUP(K149, CCF!B:B, CCF!C:C)</f>
        <v>67990</v>
      </c>
      <c r="M149" t="s">
        <v>20</v>
      </c>
    </row>
    <row r="150" spans="1:13" x14ac:dyDescent="0.3">
      <c r="A150">
        <v>149</v>
      </c>
      <c r="B150" t="s">
        <v>816</v>
      </c>
      <c r="C150" s="3">
        <v>41826</v>
      </c>
      <c r="D150" t="s">
        <v>667</v>
      </c>
      <c r="E150">
        <v>37</v>
      </c>
      <c r="F150" s="1">
        <v>45313</v>
      </c>
      <c r="G150" s="1" t="str">
        <f>TEXT(Table1[[#This Row],[Enrollment date]], "mmm")</f>
        <v>Jan</v>
      </c>
      <c r="H150" t="s">
        <v>360</v>
      </c>
      <c r="I150" t="s">
        <v>660</v>
      </c>
      <c r="J150" t="str">
        <f>_xlfn.XLOOKUP(Table1[[#This Row],[Course ]], CCF!B:B, CCF!A:A)</f>
        <v>DM101</v>
      </c>
      <c r="K150" t="s">
        <v>365</v>
      </c>
      <c r="L150">
        <f>_xlfn.XLOOKUP(K150, CCF!B:B, CCF!C:C)</f>
        <v>85499</v>
      </c>
      <c r="M150" t="s">
        <v>104</v>
      </c>
    </row>
    <row r="151" spans="1:13" x14ac:dyDescent="0.3">
      <c r="A151">
        <v>150</v>
      </c>
      <c r="B151" t="s">
        <v>817</v>
      </c>
      <c r="C151" s="3">
        <v>43001</v>
      </c>
      <c r="D151" t="s">
        <v>666</v>
      </c>
      <c r="E151">
        <v>38</v>
      </c>
      <c r="F151" s="1">
        <v>45313</v>
      </c>
      <c r="G151" s="1" t="str">
        <f>TEXT(Table1[[#This Row],[Enrollment date]], "mmm")</f>
        <v>Jan</v>
      </c>
      <c r="H151" t="s">
        <v>360</v>
      </c>
      <c r="I151" t="s">
        <v>665</v>
      </c>
      <c r="J151" t="str">
        <f>_xlfn.XLOOKUP(Table1[[#This Row],[Course ]], CCF!B:B, CCF!A:A)</f>
        <v>AI001</v>
      </c>
      <c r="K151" t="s">
        <v>368</v>
      </c>
      <c r="L151">
        <f>_xlfn.XLOOKUP(K151, CCF!B:B, CCF!C:C)</f>
        <v>119990</v>
      </c>
      <c r="M151" t="s">
        <v>138</v>
      </c>
    </row>
    <row r="152" spans="1:13" x14ac:dyDescent="0.3">
      <c r="A152">
        <v>151</v>
      </c>
      <c r="B152" t="s">
        <v>818</v>
      </c>
      <c r="C152" s="3">
        <v>96696</v>
      </c>
      <c r="D152" t="s">
        <v>666</v>
      </c>
      <c r="E152">
        <v>33</v>
      </c>
      <c r="F152" s="1">
        <v>45314</v>
      </c>
      <c r="G152" s="1" t="str">
        <f>TEXT(Table1[[#This Row],[Enrollment date]], "mmm")</f>
        <v>Jan</v>
      </c>
      <c r="H152" t="s">
        <v>360</v>
      </c>
      <c r="I152" t="s">
        <v>660</v>
      </c>
      <c r="J152" t="str">
        <f>_xlfn.XLOOKUP(Table1[[#This Row],[Course ]], CCF!B:B, CCF!A:A)</f>
        <v>BA301</v>
      </c>
      <c r="K152" t="s">
        <v>364</v>
      </c>
      <c r="L152">
        <f>_xlfn.XLOOKUP(K152, CCF!B:B, CCF!C:C)</f>
        <v>59999</v>
      </c>
      <c r="M152" t="s">
        <v>33</v>
      </c>
    </row>
    <row r="153" spans="1:13" x14ac:dyDescent="0.3">
      <c r="A153">
        <v>152</v>
      </c>
      <c r="B153" t="s">
        <v>819</v>
      </c>
      <c r="C153" s="3">
        <v>42772</v>
      </c>
      <c r="D153" t="s">
        <v>666</v>
      </c>
      <c r="E153">
        <v>45</v>
      </c>
      <c r="F153" s="1">
        <v>45314</v>
      </c>
      <c r="G153" s="1" t="str">
        <f>TEXT(Table1[[#This Row],[Enrollment date]], "mmm")</f>
        <v>Jan</v>
      </c>
      <c r="H153" t="s">
        <v>360</v>
      </c>
      <c r="I153" t="s">
        <v>659</v>
      </c>
      <c r="J153" t="str">
        <f>_xlfn.XLOOKUP(Table1[[#This Row],[Course ]], CCF!B:B, CCF!A:A)</f>
        <v>DA202</v>
      </c>
      <c r="K153" t="s">
        <v>363</v>
      </c>
      <c r="L153">
        <f>_xlfn.XLOOKUP(K153, CCF!B:B, CCF!C:C)</f>
        <v>79999</v>
      </c>
      <c r="M153" t="s">
        <v>14</v>
      </c>
    </row>
    <row r="154" spans="1:13" x14ac:dyDescent="0.3">
      <c r="A154">
        <v>153</v>
      </c>
      <c r="B154" t="s">
        <v>820</v>
      </c>
      <c r="C154" s="3">
        <v>24977</v>
      </c>
      <c r="D154" t="s">
        <v>666</v>
      </c>
      <c r="E154">
        <v>34</v>
      </c>
      <c r="F154" s="1">
        <v>45314</v>
      </c>
      <c r="G154" s="1" t="str">
        <f>TEXT(Table1[[#This Row],[Enrollment date]], "mmm")</f>
        <v>Jan</v>
      </c>
      <c r="H154" t="s">
        <v>360</v>
      </c>
      <c r="I154" t="s">
        <v>660</v>
      </c>
      <c r="J154" t="str">
        <f>_xlfn.XLOOKUP(Table1[[#This Row],[Course ]], CCF!B:B, CCF!A:A)</f>
        <v>DA202</v>
      </c>
      <c r="K154" t="s">
        <v>363</v>
      </c>
      <c r="L154">
        <f>_xlfn.XLOOKUP(K154, CCF!B:B, CCF!C:C)</f>
        <v>79999</v>
      </c>
      <c r="M154" t="s">
        <v>101</v>
      </c>
    </row>
    <row r="155" spans="1:13" x14ac:dyDescent="0.3">
      <c r="A155">
        <v>154</v>
      </c>
      <c r="B155" t="s">
        <v>821</v>
      </c>
      <c r="C155" s="3">
        <v>59939</v>
      </c>
      <c r="D155" t="s">
        <v>666</v>
      </c>
      <c r="E155">
        <v>69</v>
      </c>
      <c r="F155" s="1">
        <v>45315</v>
      </c>
      <c r="G155" s="1" t="str">
        <f>TEXT(Table1[[#This Row],[Enrollment date]], "mmm")</f>
        <v>Jan</v>
      </c>
      <c r="H155" t="s">
        <v>360</v>
      </c>
      <c r="I155" t="s">
        <v>661</v>
      </c>
      <c r="J155" t="str">
        <f>_xlfn.XLOOKUP(Table1[[#This Row],[Course ]], CCF!B:B, CCF!A:A)</f>
        <v>UX401</v>
      </c>
      <c r="K155" t="s">
        <v>367</v>
      </c>
      <c r="L155">
        <f>_xlfn.XLOOKUP(K155, CCF!B:B, CCF!C:C)</f>
        <v>67990</v>
      </c>
      <c r="M155" t="s">
        <v>16</v>
      </c>
    </row>
    <row r="156" spans="1:13" x14ac:dyDescent="0.3">
      <c r="A156">
        <v>155</v>
      </c>
      <c r="B156" t="s">
        <v>822</v>
      </c>
      <c r="C156" s="3">
        <v>74392</v>
      </c>
      <c r="D156" t="s">
        <v>666</v>
      </c>
      <c r="E156">
        <v>22</v>
      </c>
      <c r="F156" s="1">
        <v>45315</v>
      </c>
      <c r="G156" s="1" t="str">
        <f>TEXT(Table1[[#This Row],[Enrollment date]], "mmm")</f>
        <v>Jan</v>
      </c>
      <c r="H156" t="s">
        <v>360</v>
      </c>
      <c r="I156" t="s">
        <v>659</v>
      </c>
      <c r="J156" t="str">
        <f>_xlfn.XLOOKUP(Table1[[#This Row],[Course ]], CCF!B:B, CCF!A:A)</f>
        <v>UX401</v>
      </c>
      <c r="K156" t="s">
        <v>367</v>
      </c>
      <c r="L156">
        <f>_xlfn.XLOOKUP(K156, CCF!B:B, CCF!C:C)</f>
        <v>67990</v>
      </c>
      <c r="M156" t="s">
        <v>24</v>
      </c>
    </row>
    <row r="157" spans="1:13" x14ac:dyDescent="0.3">
      <c r="A157">
        <v>156</v>
      </c>
      <c r="B157" t="s">
        <v>823</v>
      </c>
      <c r="C157" s="3">
        <v>64732</v>
      </c>
      <c r="D157" t="s">
        <v>666</v>
      </c>
      <c r="E157">
        <v>66</v>
      </c>
      <c r="F157" s="1">
        <v>45315</v>
      </c>
      <c r="G157" s="1" t="str">
        <f>TEXT(Table1[[#This Row],[Enrollment date]], "mmm")</f>
        <v>Jan</v>
      </c>
      <c r="H157" t="s">
        <v>360</v>
      </c>
      <c r="I157" t="s">
        <v>659</v>
      </c>
      <c r="J157" t="str">
        <f>_xlfn.XLOOKUP(Table1[[#This Row],[Course ]], CCF!B:B, CCF!A:A)</f>
        <v>DA202</v>
      </c>
      <c r="K157" t="s">
        <v>363</v>
      </c>
      <c r="L157">
        <f>_xlfn.XLOOKUP(K157, CCF!B:B, CCF!C:C)</f>
        <v>79999</v>
      </c>
      <c r="M157" t="s">
        <v>53</v>
      </c>
    </row>
    <row r="158" spans="1:13" x14ac:dyDescent="0.3">
      <c r="A158">
        <v>157</v>
      </c>
      <c r="B158" t="s">
        <v>824</v>
      </c>
      <c r="C158" s="3">
        <v>40943</v>
      </c>
      <c r="D158" t="s">
        <v>666</v>
      </c>
      <c r="E158">
        <v>32</v>
      </c>
      <c r="F158" s="1">
        <v>45315</v>
      </c>
      <c r="G158" s="1" t="str">
        <f>TEXT(Table1[[#This Row],[Enrollment date]], "mmm")</f>
        <v>Jan</v>
      </c>
      <c r="H158" t="s">
        <v>3</v>
      </c>
      <c r="I158" t="s">
        <v>660</v>
      </c>
      <c r="J158" t="str">
        <f>_xlfn.XLOOKUP(Table1[[#This Row],[Course ]], CCF!B:B, CCF!A:A)</f>
        <v>BA301</v>
      </c>
      <c r="K158" t="s">
        <v>364</v>
      </c>
      <c r="L158">
        <f>_xlfn.XLOOKUP(K158, CCF!B:B, CCF!C:C)</f>
        <v>59999</v>
      </c>
      <c r="M158" t="s">
        <v>27</v>
      </c>
    </row>
    <row r="159" spans="1:13" x14ac:dyDescent="0.3">
      <c r="A159">
        <v>158</v>
      </c>
      <c r="B159" t="s">
        <v>825</v>
      </c>
      <c r="C159" s="3">
        <v>40141</v>
      </c>
      <c r="D159" t="s">
        <v>667</v>
      </c>
      <c r="E159">
        <v>64</v>
      </c>
      <c r="F159" s="1">
        <v>45315</v>
      </c>
      <c r="G159" s="1" t="str">
        <f>TEXT(Table1[[#This Row],[Enrollment date]], "mmm")</f>
        <v>Jan</v>
      </c>
      <c r="H159" t="s">
        <v>360</v>
      </c>
      <c r="I159" t="s">
        <v>661</v>
      </c>
      <c r="J159" t="str">
        <f>_xlfn.XLOOKUP(Table1[[#This Row],[Course ]], CCF!B:B, CCF!A:A)</f>
        <v>DM101</v>
      </c>
      <c r="K159" t="s">
        <v>365</v>
      </c>
      <c r="L159">
        <f>_xlfn.XLOOKUP(K159, CCF!B:B, CCF!C:C)</f>
        <v>85499</v>
      </c>
      <c r="M159" t="s">
        <v>145</v>
      </c>
    </row>
    <row r="160" spans="1:13" x14ac:dyDescent="0.3">
      <c r="A160">
        <v>159</v>
      </c>
      <c r="B160" t="s">
        <v>826</v>
      </c>
      <c r="C160" s="3">
        <v>42215</v>
      </c>
      <c r="D160" t="s">
        <v>667</v>
      </c>
      <c r="E160">
        <v>28</v>
      </c>
      <c r="F160" s="1">
        <v>45315</v>
      </c>
      <c r="G160" s="1" t="str">
        <f>TEXT(Table1[[#This Row],[Enrollment date]], "mmm")</f>
        <v>Jan</v>
      </c>
      <c r="H160" t="s">
        <v>360</v>
      </c>
      <c r="I160" t="s">
        <v>660</v>
      </c>
      <c r="J160" t="str">
        <f>_xlfn.XLOOKUP(Table1[[#This Row],[Course ]], CCF!B:B, CCF!A:A)</f>
        <v>DM101</v>
      </c>
      <c r="K160" t="s">
        <v>365</v>
      </c>
      <c r="L160">
        <f>_xlfn.XLOOKUP(K160, CCF!B:B, CCF!C:C)</f>
        <v>85499</v>
      </c>
      <c r="M160" t="s">
        <v>20</v>
      </c>
    </row>
    <row r="161" spans="1:13" x14ac:dyDescent="0.3">
      <c r="A161">
        <v>160</v>
      </c>
      <c r="B161" t="s">
        <v>827</v>
      </c>
      <c r="C161" s="3">
        <v>39886</v>
      </c>
      <c r="D161" t="s">
        <v>667</v>
      </c>
      <c r="E161">
        <v>32</v>
      </c>
      <c r="F161" s="1">
        <v>45315</v>
      </c>
      <c r="G161" s="1" t="str">
        <f>TEXT(Table1[[#This Row],[Enrollment date]], "mmm")</f>
        <v>Jan</v>
      </c>
      <c r="H161" t="s">
        <v>360</v>
      </c>
      <c r="I161" t="s">
        <v>660</v>
      </c>
      <c r="J161" t="str">
        <f>_xlfn.XLOOKUP(Table1[[#This Row],[Course ]], CCF!B:B, CCF!A:A)</f>
        <v>DA202</v>
      </c>
      <c r="K161" t="s">
        <v>363</v>
      </c>
      <c r="L161">
        <f>_xlfn.XLOOKUP(K161, CCF!B:B, CCF!C:C)</f>
        <v>79999</v>
      </c>
      <c r="M161" t="s">
        <v>16</v>
      </c>
    </row>
    <row r="162" spans="1:13" x14ac:dyDescent="0.3">
      <c r="A162">
        <v>161</v>
      </c>
      <c r="B162" t="s">
        <v>828</v>
      </c>
      <c r="C162" s="3">
        <v>89741</v>
      </c>
      <c r="D162" t="s">
        <v>667</v>
      </c>
      <c r="E162">
        <v>33</v>
      </c>
      <c r="F162" s="1">
        <v>45316</v>
      </c>
      <c r="G162" s="1" t="str">
        <f>TEXT(Table1[[#This Row],[Enrollment date]], "mmm")</f>
        <v>Jan</v>
      </c>
      <c r="H162" t="s">
        <v>360</v>
      </c>
      <c r="I162" t="s">
        <v>659</v>
      </c>
      <c r="J162" t="str">
        <f>_xlfn.XLOOKUP(Table1[[#This Row],[Course ]], CCF!B:B, CCF!A:A)</f>
        <v>DA202</v>
      </c>
      <c r="K162" t="s">
        <v>363</v>
      </c>
      <c r="L162">
        <f>_xlfn.XLOOKUP(K162, CCF!B:B, CCF!C:C)</f>
        <v>79999</v>
      </c>
      <c r="M162" t="s">
        <v>18</v>
      </c>
    </row>
    <row r="163" spans="1:13" x14ac:dyDescent="0.3">
      <c r="A163">
        <v>162</v>
      </c>
      <c r="B163" t="s">
        <v>829</v>
      </c>
      <c r="C163" s="3">
        <v>79616</v>
      </c>
      <c r="D163" t="s">
        <v>666</v>
      </c>
      <c r="E163">
        <v>19</v>
      </c>
      <c r="F163" s="1">
        <v>45316</v>
      </c>
      <c r="G163" s="1" t="str">
        <f>TEXT(Table1[[#This Row],[Enrollment date]], "mmm")</f>
        <v>Jan</v>
      </c>
      <c r="H163" t="s">
        <v>360</v>
      </c>
      <c r="I163" t="s">
        <v>659</v>
      </c>
      <c r="J163" t="str">
        <f>_xlfn.XLOOKUP(Table1[[#This Row],[Course ]], CCF!B:B, CCF!A:A)</f>
        <v>DM101</v>
      </c>
      <c r="K163" t="s">
        <v>365</v>
      </c>
      <c r="L163">
        <f>_xlfn.XLOOKUP(K163, CCF!B:B, CCF!C:C)</f>
        <v>85499</v>
      </c>
      <c r="M163" t="s">
        <v>133</v>
      </c>
    </row>
    <row r="164" spans="1:13" x14ac:dyDescent="0.3">
      <c r="A164">
        <v>163</v>
      </c>
      <c r="B164" t="s">
        <v>830</v>
      </c>
      <c r="C164" s="3">
        <v>51078</v>
      </c>
      <c r="D164" t="s">
        <v>666</v>
      </c>
      <c r="E164">
        <v>29</v>
      </c>
      <c r="F164" s="1">
        <v>45316</v>
      </c>
      <c r="G164" s="1" t="str">
        <f>TEXT(Table1[[#This Row],[Enrollment date]], "mmm")</f>
        <v>Jan</v>
      </c>
      <c r="H164" t="s">
        <v>360</v>
      </c>
      <c r="I164" t="s">
        <v>660</v>
      </c>
      <c r="J164" t="str">
        <f>_xlfn.XLOOKUP(Table1[[#This Row],[Course ]], CCF!B:B, CCF!A:A)</f>
        <v>DM101</v>
      </c>
      <c r="K164" t="s">
        <v>365</v>
      </c>
      <c r="L164">
        <f>_xlfn.XLOOKUP(K164, CCF!B:B, CCF!C:C)</f>
        <v>85499</v>
      </c>
      <c r="M164" t="s">
        <v>318</v>
      </c>
    </row>
    <row r="165" spans="1:13" x14ac:dyDescent="0.3">
      <c r="A165">
        <v>164</v>
      </c>
      <c r="B165" t="s">
        <v>831</v>
      </c>
      <c r="C165" s="3">
        <v>21320</v>
      </c>
      <c r="D165" t="s">
        <v>667</v>
      </c>
      <c r="E165">
        <v>47</v>
      </c>
      <c r="F165" s="1">
        <v>45316</v>
      </c>
      <c r="G165" s="1" t="str">
        <f>TEXT(Table1[[#This Row],[Enrollment date]], "mmm")</f>
        <v>Jan</v>
      </c>
      <c r="H165" t="s">
        <v>360</v>
      </c>
      <c r="I165" t="s">
        <v>661</v>
      </c>
      <c r="J165" t="str">
        <f>_xlfn.XLOOKUP(Table1[[#This Row],[Course ]], CCF!B:B, CCF!A:A)</f>
        <v>DA202</v>
      </c>
      <c r="K165" t="s">
        <v>363</v>
      </c>
      <c r="L165">
        <f>_xlfn.XLOOKUP(K165, CCF!B:B, CCF!C:C)</f>
        <v>79999</v>
      </c>
      <c r="M165" t="s">
        <v>142</v>
      </c>
    </row>
    <row r="166" spans="1:13" x14ac:dyDescent="0.3">
      <c r="A166">
        <v>165</v>
      </c>
      <c r="B166" t="s">
        <v>832</v>
      </c>
      <c r="C166" s="3">
        <v>53076</v>
      </c>
      <c r="D166" t="s">
        <v>667</v>
      </c>
      <c r="E166">
        <v>33</v>
      </c>
      <c r="F166" s="1">
        <v>45316</v>
      </c>
      <c r="G166" s="1" t="str">
        <f>TEXT(Table1[[#This Row],[Enrollment date]], "mmm")</f>
        <v>Jan</v>
      </c>
      <c r="H166" t="s">
        <v>360</v>
      </c>
      <c r="I166" t="s">
        <v>661</v>
      </c>
      <c r="J166" t="str">
        <f>_xlfn.XLOOKUP(Table1[[#This Row],[Course ]], CCF!B:B, CCF!A:A)</f>
        <v>DA202</v>
      </c>
      <c r="K166" t="s">
        <v>363</v>
      </c>
      <c r="L166">
        <f>_xlfn.XLOOKUP(K166, CCF!B:B, CCF!C:C)</f>
        <v>79999</v>
      </c>
      <c r="M166" t="s">
        <v>2</v>
      </c>
    </row>
    <row r="167" spans="1:13" x14ac:dyDescent="0.3">
      <c r="A167">
        <v>166</v>
      </c>
      <c r="B167" t="s">
        <v>833</v>
      </c>
      <c r="C167" s="3">
        <v>62753</v>
      </c>
      <c r="D167" t="s">
        <v>666</v>
      </c>
      <c r="E167">
        <v>45</v>
      </c>
      <c r="F167" s="1">
        <v>45316</v>
      </c>
      <c r="G167" s="1" t="str">
        <f>TEXT(Table1[[#This Row],[Enrollment date]], "mmm")</f>
        <v>Jan</v>
      </c>
      <c r="H167" t="s">
        <v>360</v>
      </c>
      <c r="I167" t="s">
        <v>660</v>
      </c>
      <c r="J167" t="str">
        <f>_xlfn.XLOOKUP(Table1[[#This Row],[Course ]], CCF!B:B, CCF!A:A)</f>
        <v>BA301</v>
      </c>
      <c r="K167" t="s">
        <v>364</v>
      </c>
      <c r="L167">
        <f>_xlfn.XLOOKUP(K167, CCF!B:B, CCF!C:C)</f>
        <v>59999</v>
      </c>
      <c r="M167" t="s">
        <v>159</v>
      </c>
    </row>
    <row r="168" spans="1:13" x14ac:dyDescent="0.3">
      <c r="A168">
        <v>167</v>
      </c>
      <c r="B168" t="s">
        <v>834</v>
      </c>
      <c r="C168" s="3">
        <v>46827</v>
      </c>
      <c r="D168" t="s">
        <v>666</v>
      </c>
      <c r="E168">
        <v>43</v>
      </c>
      <c r="F168" s="1">
        <v>45316</v>
      </c>
      <c r="G168" s="1" t="str">
        <f>TEXT(Table1[[#This Row],[Enrollment date]], "mmm")</f>
        <v>Jan</v>
      </c>
      <c r="H168" t="s">
        <v>360</v>
      </c>
      <c r="I168" t="s">
        <v>661</v>
      </c>
      <c r="J168" t="str">
        <f>_xlfn.XLOOKUP(Table1[[#This Row],[Course ]], CCF!B:B, CCF!A:A)</f>
        <v>DM101</v>
      </c>
      <c r="K168" t="s">
        <v>365</v>
      </c>
      <c r="L168">
        <f>_xlfn.XLOOKUP(K168, CCF!B:B, CCF!C:C)</f>
        <v>85499</v>
      </c>
      <c r="M168" t="s">
        <v>16</v>
      </c>
    </row>
    <row r="169" spans="1:13" x14ac:dyDescent="0.3">
      <c r="A169">
        <v>168</v>
      </c>
      <c r="B169" t="s">
        <v>835</v>
      </c>
      <c r="C169" s="3">
        <v>79809</v>
      </c>
      <c r="D169" t="s">
        <v>666</v>
      </c>
      <c r="E169">
        <v>44</v>
      </c>
      <c r="F169" s="1">
        <v>45316</v>
      </c>
      <c r="G169" s="1" t="str">
        <f>TEXT(Table1[[#This Row],[Enrollment date]], "mmm")</f>
        <v>Jan</v>
      </c>
      <c r="H169" t="s">
        <v>360</v>
      </c>
      <c r="I169" t="s">
        <v>661</v>
      </c>
      <c r="J169" t="str">
        <f>_xlfn.XLOOKUP(Table1[[#This Row],[Course ]], CCF!B:B, CCF!A:A)</f>
        <v>DA202</v>
      </c>
      <c r="K169" t="s">
        <v>363</v>
      </c>
      <c r="L169">
        <f>_xlfn.XLOOKUP(K169, CCF!B:B, CCF!C:C)</f>
        <v>79999</v>
      </c>
      <c r="M169" t="s">
        <v>86</v>
      </c>
    </row>
    <row r="170" spans="1:13" x14ac:dyDescent="0.3">
      <c r="A170">
        <v>169</v>
      </c>
      <c r="B170" t="s">
        <v>836</v>
      </c>
      <c r="C170" s="3">
        <v>23391</v>
      </c>
      <c r="D170" t="s">
        <v>666</v>
      </c>
      <c r="E170">
        <v>41</v>
      </c>
      <c r="F170" s="1">
        <v>45316</v>
      </c>
      <c r="G170" s="1" t="str">
        <f>TEXT(Table1[[#This Row],[Enrollment date]], "mmm")</f>
        <v>Jan</v>
      </c>
      <c r="H170" t="s">
        <v>360</v>
      </c>
      <c r="I170" t="s">
        <v>660</v>
      </c>
      <c r="J170" t="str">
        <f>_xlfn.XLOOKUP(Table1[[#This Row],[Course ]], CCF!B:B, CCF!A:A)</f>
        <v>DM101</v>
      </c>
      <c r="K170" t="s">
        <v>365</v>
      </c>
      <c r="L170">
        <f>_xlfn.XLOOKUP(K170, CCF!B:B, CCF!C:C)</f>
        <v>85499</v>
      </c>
      <c r="M170" t="s">
        <v>131</v>
      </c>
    </row>
    <row r="171" spans="1:13" x14ac:dyDescent="0.3">
      <c r="A171">
        <v>170</v>
      </c>
      <c r="B171" t="s">
        <v>837</v>
      </c>
      <c r="C171" s="3">
        <v>38438</v>
      </c>
      <c r="D171" t="s">
        <v>667</v>
      </c>
      <c r="E171">
        <v>38</v>
      </c>
      <c r="F171" s="1">
        <v>45316</v>
      </c>
      <c r="G171" s="1" t="str">
        <f>TEXT(Table1[[#This Row],[Enrollment date]], "mmm")</f>
        <v>Jan</v>
      </c>
      <c r="H171" t="s">
        <v>360</v>
      </c>
      <c r="I171" t="s">
        <v>660</v>
      </c>
      <c r="J171" t="str">
        <f>_xlfn.XLOOKUP(Table1[[#This Row],[Course ]], CCF!B:B, CCF!A:A)</f>
        <v>DM101</v>
      </c>
      <c r="K171" t="s">
        <v>365</v>
      </c>
      <c r="L171">
        <f>_xlfn.XLOOKUP(K171, CCF!B:B, CCF!C:C)</f>
        <v>85499</v>
      </c>
      <c r="M171" t="s">
        <v>31</v>
      </c>
    </row>
    <row r="172" spans="1:13" x14ac:dyDescent="0.3">
      <c r="A172">
        <v>171</v>
      </c>
      <c r="B172" t="s">
        <v>838</v>
      </c>
      <c r="C172" s="3">
        <v>15211</v>
      </c>
      <c r="D172" t="s">
        <v>666</v>
      </c>
      <c r="E172">
        <v>46</v>
      </c>
      <c r="F172" s="1">
        <v>45317</v>
      </c>
      <c r="G172" s="1" t="str">
        <f>TEXT(Table1[[#This Row],[Enrollment date]], "mmm")</f>
        <v>Jan</v>
      </c>
      <c r="H172" t="s">
        <v>360</v>
      </c>
      <c r="I172" t="s">
        <v>664</v>
      </c>
      <c r="J172" t="str">
        <f>_xlfn.XLOOKUP(Table1[[#This Row],[Course ]], CCF!B:B, CCF!A:A)</f>
        <v>BA301</v>
      </c>
      <c r="K172" t="s">
        <v>364</v>
      </c>
      <c r="L172">
        <f>_xlfn.XLOOKUP(K172, CCF!B:B, CCF!C:C)</f>
        <v>59999</v>
      </c>
      <c r="M172" t="s">
        <v>43</v>
      </c>
    </row>
    <row r="173" spans="1:13" x14ac:dyDescent="0.3">
      <c r="A173">
        <v>172</v>
      </c>
      <c r="B173" t="s">
        <v>839</v>
      </c>
      <c r="C173" s="3">
        <v>46482</v>
      </c>
      <c r="D173" t="s">
        <v>667</v>
      </c>
      <c r="E173">
        <v>38</v>
      </c>
      <c r="F173" s="1">
        <v>45317</v>
      </c>
      <c r="G173" s="1" t="str">
        <f>TEXT(Table1[[#This Row],[Enrollment date]], "mmm")</f>
        <v>Jan</v>
      </c>
      <c r="H173" t="s">
        <v>360</v>
      </c>
      <c r="I173" t="s">
        <v>663</v>
      </c>
      <c r="J173" t="str">
        <f>_xlfn.XLOOKUP(Table1[[#This Row],[Course ]], CCF!B:B, CCF!A:A)</f>
        <v>DM101</v>
      </c>
      <c r="K173" t="s">
        <v>365</v>
      </c>
      <c r="L173">
        <f>_xlfn.XLOOKUP(K173, CCF!B:B, CCF!C:C)</f>
        <v>85499</v>
      </c>
      <c r="M173" t="s">
        <v>125</v>
      </c>
    </row>
    <row r="174" spans="1:13" x14ac:dyDescent="0.3">
      <c r="A174">
        <v>173</v>
      </c>
      <c r="B174" t="s">
        <v>840</v>
      </c>
      <c r="C174" s="3">
        <v>87486</v>
      </c>
      <c r="D174" t="s">
        <v>667</v>
      </c>
      <c r="E174">
        <v>19</v>
      </c>
      <c r="F174" s="1">
        <v>45317</v>
      </c>
      <c r="G174" s="1" t="str">
        <f>TEXT(Table1[[#This Row],[Enrollment date]], "mmm")</f>
        <v>Jan</v>
      </c>
      <c r="H174" t="s">
        <v>360</v>
      </c>
      <c r="I174" t="s">
        <v>659</v>
      </c>
      <c r="J174" t="str">
        <f>_xlfn.XLOOKUP(Table1[[#This Row],[Course ]], CCF!B:B, CCF!A:A)</f>
        <v>DM101</v>
      </c>
      <c r="K174" t="s">
        <v>365</v>
      </c>
      <c r="L174">
        <f>_xlfn.XLOOKUP(K174, CCF!B:B, CCF!C:C)</f>
        <v>85499</v>
      </c>
      <c r="M174" t="s">
        <v>30</v>
      </c>
    </row>
    <row r="175" spans="1:13" x14ac:dyDescent="0.3">
      <c r="A175">
        <v>174</v>
      </c>
      <c r="B175" t="s">
        <v>841</v>
      </c>
      <c r="C175" s="3">
        <v>72467</v>
      </c>
      <c r="D175" t="s">
        <v>666</v>
      </c>
      <c r="E175">
        <v>20</v>
      </c>
      <c r="F175" s="1">
        <v>45317</v>
      </c>
      <c r="G175" s="1" t="str">
        <f>TEXT(Table1[[#This Row],[Enrollment date]], "mmm")</f>
        <v>Jan</v>
      </c>
      <c r="H175" t="s">
        <v>360</v>
      </c>
      <c r="I175" t="s">
        <v>660</v>
      </c>
      <c r="J175" t="str">
        <f>_xlfn.XLOOKUP(Table1[[#This Row],[Course ]], CCF!B:B, CCF!A:A)</f>
        <v>BA301</v>
      </c>
      <c r="K175" t="s">
        <v>364</v>
      </c>
      <c r="L175">
        <f>_xlfn.XLOOKUP(K175, CCF!B:B, CCF!C:C)</f>
        <v>59999</v>
      </c>
      <c r="M175" t="s">
        <v>12</v>
      </c>
    </row>
    <row r="176" spans="1:13" x14ac:dyDescent="0.3">
      <c r="A176">
        <v>175</v>
      </c>
      <c r="B176" t="s">
        <v>842</v>
      </c>
      <c r="C176" s="3">
        <v>15643</v>
      </c>
      <c r="D176" t="s">
        <v>666</v>
      </c>
      <c r="E176">
        <v>20</v>
      </c>
      <c r="F176" s="1">
        <v>45317</v>
      </c>
      <c r="G176" s="1" t="str">
        <f>TEXT(Table1[[#This Row],[Enrollment date]], "mmm")</f>
        <v>Jan</v>
      </c>
      <c r="H176" t="s">
        <v>360</v>
      </c>
      <c r="I176" t="s">
        <v>661</v>
      </c>
      <c r="J176" t="str">
        <f>_xlfn.XLOOKUP(Table1[[#This Row],[Course ]], CCF!B:B, CCF!A:A)</f>
        <v>BA301</v>
      </c>
      <c r="K176" t="s">
        <v>364</v>
      </c>
      <c r="L176">
        <f>_xlfn.XLOOKUP(K176, CCF!B:B, CCF!C:C)</f>
        <v>59999</v>
      </c>
      <c r="M176" t="s">
        <v>20</v>
      </c>
    </row>
    <row r="177" spans="1:13" x14ac:dyDescent="0.3">
      <c r="A177">
        <v>176</v>
      </c>
      <c r="B177" t="s">
        <v>843</v>
      </c>
      <c r="C177" s="3">
        <v>86410</v>
      </c>
      <c r="D177" t="s">
        <v>666</v>
      </c>
      <c r="E177">
        <v>26</v>
      </c>
      <c r="F177" s="1">
        <v>45317</v>
      </c>
      <c r="G177" s="1" t="str">
        <f>TEXT(Table1[[#This Row],[Enrollment date]], "mmm")</f>
        <v>Jan</v>
      </c>
      <c r="H177" t="s">
        <v>360</v>
      </c>
      <c r="I177" t="s">
        <v>659</v>
      </c>
      <c r="J177" t="str">
        <f>_xlfn.XLOOKUP(Table1[[#This Row],[Course ]], CCF!B:B, CCF!A:A)</f>
        <v>BA301</v>
      </c>
      <c r="K177" t="s">
        <v>364</v>
      </c>
      <c r="L177">
        <f>_xlfn.XLOOKUP(K177, CCF!B:B, CCF!C:C)</f>
        <v>59999</v>
      </c>
      <c r="M177" t="s">
        <v>85</v>
      </c>
    </row>
    <row r="178" spans="1:13" x14ac:dyDescent="0.3">
      <c r="A178">
        <v>177</v>
      </c>
      <c r="B178" t="s">
        <v>844</v>
      </c>
      <c r="C178" s="3">
        <v>13892</v>
      </c>
      <c r="D178" t="s">
        <v>666</v>
      </c>
      <c r="E178">
        <v>67</v>
      </c>
      <c r="F178" s="1">
        <v>45317</v>
      </c>
      <c r="G178" s="1" t="str">
        <f>TEXT(Table1[[#This Row],[Enrollment date]], "mmm")</f>
        <v>Jan</v>
      </c>
      <c r="H178" t="s">
        <v>360</v>
      </c>
      <c r="I178" t="s">
        <v>659</v>
      </c>
      <c r="J178" t="str">
        <f>_xlfn.XLOOKUP(Table1[[#This Row],[Course ]], CCF!B:B, CCF!A:A)</f>
        <v>DM101</v>
      </c>
      <c r="K178" t="s">
        <v>365</v>
      </c>
      <c r="L178">
        <f>_xlfn.XLOOKUP(K178, CCF!B:B, CCF!C:C)</f>
        <v>85499</v>
      </c>
      <c r="M178" t="s">
        <v>16</v>
      </c>
    </row>
    <row r="179" spans="1:13" x14ac:dyDescent="0.3">
      <c r="A179">
        <v>178</v>
      </c>
      <c r="B179" t="s">
        <v>845</v>
      </c>
      <c r="C179" s="3">
        <v>60092</v>
      </c>
      <c r="D179" t="s">
        <v>667</v>
      </c>
      <c r="E179">
        <v>62</v>
      </c>
      <c r="F179" s="1">
        <v>45317</v>
      </c>
      <c r="G179" s="1" t="str">
        <f>TEXT(Table1[[#This Row],[Enrollment date]], "mmm")</f>
        <v>Jan</v>
      </c>
      <c r="H179" t="s">
        <v>360</v>
      </c>
      <c r="I179" t="s">
        <v>659</v>
      </c>
      <c r="J179" t="str">
        <f>_xlfn.XLOOKUP(Table1[[#This Row],[Course ]], CCF!B:B, CCF!A:A)</f>
        <v>DA202</v>
      </c>
      <c r="K179" t="s">
        <v>363</v>
      </c>
      <c r="L179">
        <f>_xlfn.XLOOKUP(K179, CCF!B:B, CCF!C:C)</f>
        <v>79999</v>
      </c>
      <c r="M179" t="s">
        <v>25</v>
      </c>
    </row>
    <row r="180" spans="1:13" x14ac:dyDescent="0.3">
      <c r="A180">
        <v>179</v>
      </c>
      <c r="B180" t="s">
        <v>846</v>
      </c>
      <c r="C180" s="3">
        <v>17383</v>
      </c>
      <c r="D180" t="s">
        <v>666</v>
      </c>
      <c r="E180">
        <v>49</v>
      </c>
      <c r="F180" s="1">
        <v>45317</v>
      </c>
      <c r="G180" s="1" t="str">
        <f>TEXT(Table1[[#This Row],[Enrollment date]], "mmm")</f>
        <v>Jan</v>
      </c>
      <c r="H180" t="s">
        <v>360</v>
      </c>
      <c r="I180" t="s">
        <v>661</v>
      </c>
      <c r="J180" t="str">
        <f>_xlfn.XLOOKUP(Table1[[#This Row],[Course ]], CCF!B:B, CCF!A:A)</f>
        <v>BA301</v>
      </c>
      <c r="K180" t="s">
        <v>364</v>
      </c>
      <c r="L180">
        <f>_xlfn.XLOOKUP(K180, CCF!B:B, CCF!C:C)</f>
        <v>59999</v>
      </c>
      <c r="M180" t="s">
        <v>18</v>
      </c>
    </row>
    <row r="181" spans="1:13" x14ac:dyDescent="0.3">
      <c r="A181">
        <v>180</v>
      </c>
      <c r="B181" t="s">
        <v>847</v>
      </c>
      <c r="C181" s="3">
        <v>40525</v>
      </c>
      <c r="D181" t="s">
        <v>666</v>
      </c>
      <c r="E181">
        <v>48</v>
      </c>
      <c r="F181" s="1">
        <v>45317</v>
      </c>
      <c r="G181" s="1" t="str">
        <f>TEXT(Table1[[#This Row],[Enrollment date]], "mmm")</f>
        <v>Jan</v>
      </c>
      <c r="H181" t="s">
        <v>360</v>
      </c>
      <c r="I181" t="s">
        <v>659</v>
      </c>
      <c r="J181" t="str">
        <f>_xlfn.XLOOKUP(Table1[[#This Row],[Course ]], CCF!B:B, CCF!A:A)</f>
        <v>DA202</v>
      </c>
      <c r="K181" t="s">
        <v>363</v>
      </c>
      <c r="L181">
        <f>_xlfn.XLOOKUP(K181, CCF!B:B, CCF!C:C)</f>
        <v>79999</v>
      </c>
      <c r="M181" t="s">
        <v>80</v>
      </c>
    </row>
    <row r="182" spans="1:13" x14ac:dyDescent="0.3">
      <c r="A182">
        <v>181</v>
      </c>
      <c r="B182" t="s">
        <v>848</v>
      </c>
      <c r="C182" s="3">
        <v>67424</v>
      </c>
      <c r="D182" t="s">
        <v>666</v>
      </c>
      <c r="E182">
        <v>23</v>
      </c>
      <c r="F182" s="1">
        <v>45317</v>
      </c>
      <c r="G182" s="1" t="str">
        <f>TEXT(Table1[[#This Row],[Enrollment date]], "mmm")</f>
        <v>Jan</v>
      </c>
      <c r="H182" t="s">
        <v>3</v>
      </c>
      <c r="I182" t="s">
        <v>663</v>
      </c>
      <c r="J182" t="str">
        <f>_xlfn.XLOOKUP(Table1[[#This Row],[Course ]], CCF!B:B, CCF!A:A)</f>
        <v>DA202</v>
      </c>
      <c r="K182" t="s">
        <v>363</v>
      </c>
      <c r="L182">
        <f>_xlfn.XLOOKUP(K182, CCF!B:B, CCF!C:C)</f>
        <v>79999</v>
      </c>
      <c r="M182" t="s">
        <v>111</v>
      </c>
    </row>
    <row r="183" spans="1:13" x14ac:dyDescent="0.3">
      <c r="A183">
        <v>182</v>
      </c>
      <c r="B183" t="s">
        <v>849</v>
      </c>
      <c r="C183" s="3">
        <v>47409</v>
      </c>
      <c r="D183" t="s">
        <v>666</v>
      </c>
      <c r="E183">
        <v>37</v>
      </c>
      <c r="F183" s="1">
        <v>45318</v>
      </c>
      <c r="G183" s="1" t="str">
        <f>TEXT(Table1[[#This Row],[Enrollment date]], "mmm")</f>
        <v>Jan</v>
      </c>
      <c r="H183" t="s">
        <v>360</v>
      </c>
      <c r="I183" t="s">
        <v>659</v>
      </c>
      <c r="J183" t="str">
        <f>_xlfn.XLOOKUP(Table1[[#This Row],[Course ]], CCF!B:B, CCF!A:A)</f>
        <v>DA202</v>
      </c>
      <c r="K183" t="s">
        <v>363</v>
      </c>
      <c r="L183">
        <f>_xlfn.XLOOKUP(K183, CCF!B:B, CCF!C:C)</f>
        <v>79999</v>
      </c>
      <c r="M183" t="s">
        <v>384</v>
      </c>
    </row>
    <row r="184" spans="1:13" x14ac:dyDescent="0.3">
      <c r="A184">
        <v>183</v>
      </c>
      <c r="B184" t="s">
        <v>850</v>
      </c>
      <c r="C184" s="3">
        <v>32376</v>
      </c>
      <c r="D184" t="s">
        <v>667</v>
      </c>
      <c r="E184">
        <v>41</v>
      </c>
      <c r="F184" s="1">
        <v>45318</v>
      </c>
      <c r="G184" s="1" t="str">
        <f>TEXT(Table1[[#This Row],[Enrollment date]], "mmm")</f>
        <v>Jan</v>
      </c>
      <c r="H184" t="s">
        <v>361</v>
      </c>
      <c r="I184" t="s">
        <v>664</v>
      </c>
      <c r="J184" t="str">
        <f>_xlfn.XLOOKUP(Table1[[#This Row],[Course ]], CCF!B:B, CCF!A:A)</f>
        <v>BA301</v>
      </c>
      <c r="K184" t="s">
        <v>364</v>
      </c>
      <c r="L184">
        <f>_xlfn.XLOOKUP(K184, CCF!B:B, CCF!C:C)</f>
        <v>59999</v>
      </c>
      <c r="M184" t="s">
        <v>385</v>
      </c>
    </row>
    <row r="185" spans="1:13" x14ac:dyDescent="0.3">
      <c r="A185">
        <v>184</v>
      </c>
      <c r="B185" t="s">
        <v>851</v>
      </c>
      <c r="C185" s="3">
        <v>83376</v>
      </c>
      <c r="D185" t="s">
        <v>666</v>
      </c>
      <c r="E185">
        <v>18</v>
      </c>
      <c r="F185" s="1">
        <v>45318</v>
      </c>
      <c r="G185" s="1" t="str">
        <f>TEXT(Table1[[#This Row],[Enrollment date]], "mmm")</f>
        <v>Jan</v>
      </c>
      <c r="H185" t="s">
        <v>360</v>
      </c>
      <c r="I185" t="s">
        <v>660</v>
      </c>
      <c r="J185" t="str">
        <f>_xlfn.XLOOKUP(Table1[[#This Row],[Course ]], CCF!B:B, CCF!A:A)</f>
        <v>DA202</v>
      </c>
      <c r="K185" t="s">
        <v>363</v>
      </c>
      <c r="L185">
        <f>_xlfn.XLOOKUP(K185, CCF!B:B, CCF!C:C)</f>
        <v>79999</v>
      </c>
      <c r="M185" t="s">
        <v>386</v>
      </c>
    </row>
    <row r="186" spans="1:13" x14ac:dyDescent="0.3">
      <c r="A186">
        <v>185</v>
      </c>
      <c r="B186" t="s">
        <v>852</v>
      </c>
      <c r="C186" s="3">
        <v>60642</v>
      </c>
      <c r="D186" t="s">
        <v>666</v>
      </c>
      <c r="E186">
        <v>28</v>
      </c>
      <c r="F186" s="1">
        <v>45318</v>
      </c>
      <c r="G186" s="1" t="str">
        <f>TEXT(Table1[[#This Row],[Enrollment date]], "mmm")</f>
        <v>Jan</v>
      </c>
      <c r="H186" t="s">
        <v>360</v>
      </c>
      <c r="I186" t="s">
        <v>660</v>
      </c>
      <c r="J186" t="str">
        <f>_xlfn.XLOOKUP(Table1[[#This Row],[Course ]], CCF!B:B, CCF!A:A)</f>
        <v>DA202</v>
      </c>
      <c r="K186" t="s">
        <v>363</v>
      </c>
      <c r="L186">
        <f>_xlfn.XLOOKUP(K186, CCF!B:B, CCF!C:C)</f>
        <v>79999</v>
      </c>
      <c r="M186" t="s">
        <v>387</v>
      </c>
    </row>
    <row r="187" spans="1:13" x14ac:dyDescent="0.3">
      <c r="A187">
        <v>186</v>
      </c>
      <c r="B187" t="s">
        <v>853</v>
      </c>
      <c r="C187" s="3">
        <v>70119</v>
      </c>
      <c r="D187" t="s">
        <v>666</v>
      </c>
      <c r="E187">
        <v>27</v>
      </c>
      <c r="F187" s="1">
        <v>45318</v>
      </c>
      <c r="G187" s="1" t="str">
        <f>TEXT(Table1[[#This Row],[Enrollment date]], "mmm")</f>
        <v>Jan</v>
      </c>
      <c r="H187" t="s">
        <v>360</v>
      </c>
      <c r="I187" t="s">
        <v>660</v>
      </c>
      <c r="J187" t="str">
        <f>_xlfn.XLOOKUP(Table1[[#This Row],[Course ]], CCF!B:B, CCF!A:A)</f>
        <v>DM101</v>
      </c>
      <c r="K187" t="s">
        <v>365</v>
      </c>
      <c r="L187">
        <f>_xlfn.XLOOKUP(K187, CCF!B:B, CCF!C:C)</f>
        <v>85499</v>
      </c>
      <c r="M187" t="s">
        <v>91</v>
      </c>
    </row>
    <row r="188" spans="1:13" x14ac:dyDescent="0.3">
      <c r="A188">
        <v>187</v>
      </c>
      <c r="B188" t="s">
        <v>854</v>
      </c>
      <c r="C188" s="3">
        <v>46897</v>
      </c>
      <c r="D188" t="s">
        <v>666</v>
      </c>
      <c r="E188">
        <v>19</v>
      </c>
      <c r="F188" s="1">
        <v>45318</v>
      </c>
      <c r="G188" s="1" t="str">
        <f>TEXT(Table1[[#This Row],[Enrollment date]], "mmm")</f>
        <v>Jan</v>
      </c>
      <c r="H188" t="s">
        <v>360</v>
      </c>
      <c r="I188" t="s">
        <v>660</v>
      </c>
      <c r="J188" t="str">
        <f>_xlfn.XLOOKUP(Table1[[#This Row],[Course ]], CCF!B:B, CCF!A:A)</f>
        <v>DM101</v>
      </c>
      <c r="K188" t="s">
        <v>365</v>
      </c>
      <c r="L188">
        <f>_xlfn.XLOOKUP(K188, CCF!B:B, CCF!C:C)</f>
        <v>85499</v>
      </c>
      <c r="M188" t="s">
        <v>17</v>
      </c>
    </row>
    <row r="189" spans="1:13" x14ac:dyDescent="0.3">
      <c r="A189">
        <v>188</v>
      </c>
      <c r="B189" t="s">
        <v>855</v>
      </c>
      <c r="C189" s="3">
        <v>23997</v>
      </c>
      <c r="D189" t="s">
        <v>667</v>
      </c>
      <c r="E189">
        <v>47</v>
      </c>
      <c r="F189" s="1">
        <v>45318</v>
      </c>
      <c r="G189" s="1" t="str">
        <f>TEXT(Table1[[#This Row],[Enrollment date]], "mmm")</f>
        <v>Jan</v>
      </c>
      <c r="H189" t="s">
        <v>360</v>
      </c>
      <c r="I189" t="s">
        <v>659</v>
      </c>
      <c r="J189" t="str">
        <f>_xlfn.XLOOKUP(Table1[[#This Row],[Course ]], CCF!B:B, CCF!A:A)</f>
        <v>DM101</v>
      </c>
      <c r="K189" t="s">
        <v>365</v>
      </c>
      <c r="L189">
        <f>_xlfn.XLOOKUP(K189, CCF!B:B, CCF!C:C)</f>
        <v>85499</v>
      </c>
      <c r="M189" t="s">
        <v>144</v>
      </c>
    </row>
    <row r="190" spans="1:13" x14ac:dyDescent="0.3">
      <c r="A190">
        <v>189</v>
      </c>
      <c r="B190" t="s">
        <v>856</v>
      </c>
      <c r="C190" s="3">
        <v>30111</v>
      </c>
      <c r="D190" t="s">
        <v>666</v>
      </c>
      <c r="E190">
        <v>37</v>
      </c>
      <c r="F190" s="1">
        <v>45318</v>
      </c>
      <c r="G190" s="1" t="str">
        <f>TEXT(Table1[[#This Row],[Enrollment date]], "mmm")</f>
        <v>Jan</v>
      </c>
      <c r="H190" t="s">
        <v>360</v>
      </c>
      <c r="I190" t="s">
        <v>664</v>
      </c>
      <c r="J190" t="str">
        <f>_xlfn.XLOOKUP(Table1[[#This Row],[Course ]], CCF!B:B, CCF!A:A)</f>
        <v>DM101</v>
      </c>
      <c r="K190" t="s">
        <v>365</v>
      </c>
      <c r="L190">
        <f>_xlfn.XLOOKUP(K190, CCF!B:B, CCF!C:C)</f>
        <v>85499</v>
      </c>
      <c r="M190" t="s">
        <v>18</v>
      </c>
    </row>
    <row r="191" spans="1:13" x14ac:dyDescent="0.3">
      <c r="A191">
        <v>190</v>
      </c>
      <c r="B191" t="s">
        <v>857</v>
      </c>
      <c r="C191" s="3">
        <v>51014</v>
      </c>
      <c r="D191" t="s">
        <v>666</v>
      </c>
      <c r="E191">
        <v>45</v>
      </c>
      <c r="F191" s="1">
        <v>45319</v>
      </c>
      <c r="G191" s="1" t="str">
        <f>TEXT(Table1[[#This Row],[Enrollment date]], "mmm")</f>
        <v>Jan</v>
      </c>
      <c r="H191" t="s">
        <v>360</v>
      </c>
      <c r="I191" t="s">
        <v>661</v>
      </c>
      <c r="J191" t="str">
        <f>_xlfn.XLOOKUP(Table1[[#This Row],[Course ]], CCF!B:B, CCF!A:A)</f>
        <v>UX401</v>
      </c>
      <c r="K191" t="s">
        <v>367</v>
      </c>
      <c r="L191">
        <f>_xlfn.XLOOKUP(K191, CCF!B:B, CCF!C:C)</f>
        <v>67990</v>
      </c>
      <c r="M191" t="s">
        <v>388</v>
      </c>
    </row>
    <row r="192" spans="1:13" x14ac:dyDescent="0.3">
      <c r="A192">
        <v>191</v>
      </c>
      <c r="B192" t="s">
        <v>858</v>
      </c>
      <c r="C192" s="3">
        <v>35871</v>
      </c>
      <c r="D192" t="s">
        <v>666</v>
      </c>
      <c r="E192">
        <v>39</v>
      </c>
      <c r="F192" s="1">
        <v>45319</v>
      </c>
      <c r="G192" s="1" t="str">
        <f>TEXT(Table1[[#This Row],[Enrollment date]], "mmm")</f>
        <v>Jan</v>
      </c>
      <c r="H192" t="s">
        <v>360</v>
      </c>
      <c r="I192" t="s">
        <v>664</v>
      </c>
      <c r="J192" t="str">
        <f>_xlfn.XLOOKUP(Table1[[#This Row],[Course ]], CCF!B:B, CCF!A:A)</f>
        <v>DM101</v>
      </c>
      <c r="K192" t="s">
        <v>365</v>
      </c>
      <c r="L192">
        <f>_xlfn.XLOOKUP(K192, CCF!B:B, CCF!C:C)</f>
        <v>85499</v>
      </c>
      <c r="M192" t="s">
        <v>30</v>
      </c>
    </row>
    <row r="193" spans="1:13" x14ac:dyDescent="0.3">
      <c r="A193">
        <v>192</v>
      </c>
      <c r="B193" t="s">
        <v>859</v>
      </c>
      <c r="C193" s="3">
        <v>41639</v>
      </c>
      <c r="D193" t="s">
        <v>666</v>
      </c>
      <c r="E193">
        <v>37</v>
      </c>
      <c r="F193" s="1">
        <v>45319</v>
      </c>
      <c r="G193" s="1" t="str">
        <f>TEXT(Table1[[#This Row],[Enrollment date]], "mmm")</f>
        <v>Jan</v>
      </c>
      <c r="H193" t="s">
        <v>360</v>
      </c>
      <c r="I193" t="s">
        <v>660</v>
      </c>
      <c r="J193" t="str">
        <f>_xlfn.XLOOKUP(Table1[[#This Row],[Course ]], CCF!B:B, CCF!A:A)</f>
        <v>DM101</v>
      </c>
      <c r="K193" t="s">
        <v>365</v>
      </c>
      <c r="L193">
        <f>_xlfn.XLOOKUP(K193, CCF!B:B, CCF!C:C)</f>
        <v>85499</v>
      </c>
      <c r="M193" t="s">
        <v>16</v>
      </c>
    </row>
    <row r="194" spans="1:13" x14ac:dyDescent="0.3">
      <c r="A194">
        <v>193</v>
      </c>
      <c r="B194" t="s">
        <v>860</v>
      </c>
      <c r="C194" s="3">
        <v>75842</v>
      </c>
      <c r="D194" t="s">
        <v>666</v>
      </c>
      <c r="E194">
        <v>26</v>
      </c>
      <c r="F194" s="1">
        <v>45319</v>
      </c>
      <c r="G194" s="1" t="str">
        <f>TEXT(Table1[[#This Row],[Enrollment date]], "mmm")</f>
        <v>Jan</v>
      </c>
      <c r="H194" t="s">
        <v>360</v>
      </c>
      <c r="I194" t="s">
        <v>661</v>
      </c>
      <c r="J194" t="str">
        <f>_xlfn.XLOOKUP(Table1[[#This Row],[Course ]], CCF!B:B, CCF!A:A)</f>
        <v>DM101</v>
      </c>
      <c r="K194" t="s">
        <v>365</v>
      </c>
      <c r="L194">
        <f>_xlfn.XLOOKUP(K194, CCF!B:B, CCF!C:C)</f>
        <v>85499</v>
      </c>
      <c r="M194" t="s">
        <v>294</v>
      </c>
    </row>
    <row r="195" spans="1:13" x14ac:dyDescent="0.3">
      <c r="A195">
        <v>194</v>
      </c>
      <c r="B195" t="s">
        <v>861</v>
      </c>
      <c r="C195" s="3">
        <v>62885</v>
      </c>
      <c r="D195" t="s">
        <v>666</v>
      </c>
      <c r="E195">
        <v>69</v>
      </c>
      <c r="F195" s="1">
        <v>45320</v>
      </c>
      <c r="G195" s="1" t="str">
        <f>TEXT(Table1[[#This Row],[Enrollment date]], "mmm")</f>
        <v>Jan</v>
      </c>
      <c r="H195" t="s">
        <v>360</v>
      </c>
      <c r="I195" t="s">
        <v>660</v>
      </c>
      <c r="J195" t="str">
        <f>_xlfn.XLOOKUP(Table1[[#This Row],[Course ]], CCF!B:B, CCF!A:A)</f>
        <v>DA202</v>
      </c>
      <c r="K195" t="s">
        <v>363</v>
      </c>
      <c r="L195">
        <f>_xlfn.XLOOKUP(K195, CCF!B:B, CCF!C:C)</f>
        <v>79999</v>
      </c>
      <c r="M195" t="s">
        <v>27</v>
      </c>
    </row>
    <row r="196" spans="1:13" x14ac:dyDescent="0.3">
      <c r="A196">
        <v>195</v>
      </c>
      <c r="B196" t="s">
        <v>862</v>
      </c>
      <c r="C196" s="3">
        <v>73746</v>
      </c>
      <c r="D196" t="s">
        <v>667</v>
      </c>
      <c r="E196">
        <v>68</v>
      </c>
      <c r="F196" s="1">
        <v>45320</v>
      </c>
      <c r="G196" s="1" t="str">
        <f>TEXT(Table1[[#This Row],[Enrollment date]], "mmm")</f>
        <v>Jan</v>
      </c>
      <c r="H196" t="s">
        <v>360</v>
      </c>
      <c r="I196" t="s">
        <v>660</v>
      </c>
      <c r="J196" t="str">
        <f>_xlfn.XLOOKUP(Table1[[#This Row],[Course ]], CCF!B:B, CCF!A:A)</f>
        <v>DA202</v>
      </c>
      <c r="K196" t="s">
        <v>363</v>
      </c>
      <c r="L196">
        <f>_xlfn.XLOOKUP(K196, CCF!B:B, CCF!C:C)</f>
        <v>79999</v>
      </c>
      <c r="M196" t="s">
        <v>197</v>
      </c>
    </row>
    <row r="197" spans="1:13" x14ac:dyDescent="0.3">
      <c r="A197">
        <v>196</v>
      </c>
      <c r="B197" t="s">
        <v>863</v>
      </c>
      <c r="C197" s="3">
        <v>32479</v>
      </c>
      <c r="D197" t="s">
        <v>666</v>
      </c>
      <c r="E197">
        <v>22</v>
      </c>
      <c r="F197" s="1">
        <v>45320</v>
      </c>
      <c r="G197" s="1" t="str">
        <f>TEXT(Table1[[#This Row],[Enrollment date]], "mmm")</f>
        <v>Jan</v>
      </c>
      <c r="H197" t="s">
        <v>360</v>
      </c>
      <c r="I197" t="s">
        <v>660</v>
      </c>
      <c r="J197" t="str">
        <f>_xlfn.XLOOKUP(Table1[[#This Row],[Course ]], CCF!B:B, CCF!A:A)</f>
        <v>BA301</v>
      </c>
      <c r="K197" t="s">
        <v>364</v>
      </c>
      <c r="L197">
        <f>_xlfn.XLOOKUP(K197, CCF!B:B, CCF!C:C)</f>
        <v>59999</v>
      </c>
      <c r="M197" t="s">
        <v>6</v>
      </c>
    </row>
    <row r="198" spans="1:13" x14ac:dyDescent="0.3">
      <c r="A198">
        <v>197</v>
      </c>
      <c r="B198" t="s">
        <v>864</v>
      </c>
      <c r="C198" s="3">
        <v>79116</v>
      </c>
      <c r="D198" t="s">
        <v>666</v>
      </c>
      <c r="E198">
        <v>49</v>
      </c>
      <c r="F198" s="1">
        <v>45320</v>
      </c>
      <c r="G198" s="1" t="str">
        <f>TEXT(Table1[[#This Row],[Enrollment date]], "mmm")</f>
        <v>Jan</v>
      </c>
      <c r="H198" t="s">
        <v>360</v>
      </c>
      <c r="I198" t="s">
        <v>662</v>
      </c>
      <c r="J198" t="str">
        <f>_xlfn.XLOOKUP(Table1[[#This Row],[Course ]], CCF!B:B, CCF!A:A)</f>
        <v>DA202</v>
      </c>
      <c r="K198" t="s">
        <v>363</v>
      </c>
      <c r="L198">
        <f>_xlfn.XLOOKUP(K198, CCF!B:B, CCF!C:C)</f>
        <v>79999</v>
      </c>
      <c r="M198" t="s">
        <v>91</v>
      </c>
    </row>
    <row r="199" spans="1:13" x14ac:dyDescent="0.3">
      <c r="A199">
        <v>198</v>
      </c>
      <c r="B199" t="s">
        <v>865</v>
      </c>
      <c r="C199" s="3">
        <v>23415</v>
      </c>
      <c r="D199" t="s">
        <v>666</v>
      </c>
      <c r="E199">
        <v>42</v>
      </c>
      <c r="F199" s="1">
        <v>45320</v>
      </c>
      <c r="G199" s="1" t="str">
        <f>TEXT(Table1[[#This Row],[Enrollment date]], "mmm")</f>
        <v>Jan</v>
      </c>
      <c r="H199" t="s">
        <v>360</v>
      </c>
      <c r="I199" t="s">
        <v>660</v>
      </c>
      <c r="J199" t="str">
        <f>_xlfn.XLOOKUP(Table1[[#This Row],[Course ]], CCF!B:B, CCF!A:A)</f>
        <v>BA301</v>
      </c>
      <c r="K199" t="s">
        <v>364</v>
      </c>
      <c r="L199">
        <f>_xlfn.XLOOKUP(K199, CCF!B:B, CCF!C:C)</f>
        <v>59999</v>
      </c>
      <c r="M199" t="s">
        <v>134</v>
      </c>
    </row>
    <row r="200" spans="1:13" x14ac:dyDescent="0.3">
      <c r="A200">
        <v>199</v>
      </c>
      <c r="B200" t="s">
        <v>866</v>
      </c>
      <c r="C200" s="3">
        <v>93484</v>
      </c>
      <c r="D200" t="s">
        <v>667</v>
      </c>
      <c r="E200">
        <v>18</v>
      </c>
      <c r="F200" s="1">
        <v>45321</v>
      </c>
      <c r="G200" s="1" t="str">
        <f>TEXT(Table1[[#This Row],[Enrollment date]], "mmm")</f>
        <v>Jan</v>
      </c>
      <c r="H200" t="s">
        <v>360</v>
      </c>
      <c r="I200" t="s">
        <v>660</v>
      </c>
      <c r="J200" t="str">
        <f>_xlfn.XLOOKUP(Table1[[#This Row],[Course ]], CCF!B:B, CCF!A:A)</f>
        <v>BA301</v>
      </c>
      <c r="K200" t="s">
        <v>364</v>
      </c>
      <c r="L200">
        <f>_xlfn.XLOOKUP(K200, CCF!B:B, CCF!C:C)</f>
        <v>59999</v>
      </c>
      <c r="M200" t="s">
        <v>196</v>
      </c>
    </row>
    <row r="201" spans="1:13" x14ac:dyDescent="0.3">
      <c r="A201">
        <v>200</v>
      </c>
      <c r="B201" t="s">
        <v>867</v>
      </c>
      <c r="C201" s="3">
        <v>27357</v>
      </c>
      <c r="D201" t="s">
        <v>666</v>
      </c>
      <c r="E201">
        <v>33</v>
      </c>
      <c r="F201" s="1">
        <v>45321</v>
      </c>
      <c r="G201" s="1" t="str">
        <f>TEXT(Table1[[#This Row],[Enrollment date]], "mmm")</f>
        <v>Jan</v>
      </c>
      <c r="H201" t="s">
        <v>360</v>
      </c>
      <c r="I201" t="s">
        <v>662</v>
      </c>
      <c r="J201" t="str">
        <f>_xlfn.XLOOKUP(Table1[[#This Row],[Course ]], CCF!B:B, CCF!A:A)</f>
        <v>DA202</v>
      </c>
      <c r="K201" t="s">
        <v>363</v>
      </c>
      <c r="L201">
        <f>_xlfn.XLOOKUP(K201, CCF!B:B, CCF!C:C)</f>
        <v>79999</v>
      </c>
      <c r="M201" t="s">
        <v>145</v>
      </c>
    </row>
    <row r="202" spans="1:13" x14ac:dyDescent="0.3">
      <c r="A202">
        <v>201</v>
      </c>
      <c r="B202" t="s">
        <v>868</v>
      </c>
      <c r="C202" s="3">
        <v>91550</v>
      </c>
      <c r="D202" t="s">
        <v>666</v>
      </c>
      <c r="E202">
        <v>40</v>
      </c>
      <c r="F202" s="1">
        <v>45321</v>
      </c>
      <c r="G202" s="1" t="str">
        <f>TEXT(Table1[[#This Row],[Enrollment date]], "mmm")</f>
        <v>Jan</v>
      </c>
      <c r="H202" t="s">
        <v>360</v>
      </c>
      <c r="I202" t="s">
        <v>660</v>
      </c>
      <c r="J202" t="str">
        <f>_xlfn.XLOOKUP(Table1[[#This Row],[Course ]], CCF!B:B, CCF!A:A)</f>
        <v>DA202</v>
      </c>
      <c r="K202" t="s">
        <v>363</v>
      </c>
      <c r="L202">
        <f>_xlfn.XLOOKUP(K202, CCF!B:B, CCF!C:C)</f>
        <v>79999</v>
      </c>
      <c r="M202" t="s">
        <v>389</v>
      </c>
    </row>
    <row r="203" spans="1:13" x14ac:dyDescent="0.3">
      <c r="A203">
        <v>202</v>
      </c>
      <c r="B203" t="s">
        <v>869</v>
      </c>
      <c r="C203" s="3">
        <v>63188</v>
      </c>
      <c r="D203" t="s">
        <v>667</v>
      </c>
      <c r="E203">
        <v>45</v>
      </c>
      <c r="F203" s="1">
        <v>45321</v>
      </c>
      <c r="G203" s="1" t="str">
        <f>TEXT(Table1[[#This Row],[Enrollment date]], "mmm")</f>
        <v>Jan</v>
      </c>
      <c r="H203" t="s">
        <v>360</v>
      </c>
      <c r="I203" t="s">
        <v>661</v>
      </c>
      <c r="J203" t="str">
        <f>_xlfn.XLOOKUP(Table1[[#This Row],[Course ]], CCF!B:B, CCF!A:A)</f>
        <v>DM101</v>
      </c>
      <c r="K203" t="s">
        <v>365</v>
      </c>
      <c r="L203">
        <f>_xlfn.XLOOKUP(K203, CCF!B:B, CCF!C:C)</f>
        <v>85499</v>
      </c>
      <c r="M203" t="s">
        <v>27</v>
      </c>
    </row>
    <row r="204" spans="1:13" x14ac:dyDescent="0.3">
      <c r="A204">
        <v>203</v>
      </c>
      <c r="B204" t="s">
        <v>870</v>
      </c>
      <c r="C204" s="3">
        <v>31533</v>
      </c>
      <c r="D204" t="s">
        <v>666</v>
      </c>
      <c r="E204">
        <v>33</v>
      </c>
      <c r="F204" s="1">
        <v>45321</v>
      </c>
      <c r="G204" s="1" t="str">
        <f>TEXT(Table1[[#This Row],[Enrollment date]], "mmm")</f>
        <v>Jan</v>
      </c>
      <c r="H204" t="s">
        <v>360</v>
      </c>
      <c r="I204" t="s">
        <v>661</v>
      </c>
      <c r="J204" t="str">
        <f>_xlfn.XLOOKUP(Table1[[#This Row],[Course ]], CCF!B:B, CCF!A:A)</f>
        <v>DA202</v>
      </c>
      <c r="K204" t="s">
        <v>363</v>
      </c>
      <c r="L204">
        <f>_xlfn.XLOOKUP(K204, CCF!B:B, CCF!C:C)</f>
        <v>79999</v>
      </c>
      <c r="M204" t="s">
        <v>9</v>
      </c>
    </row>
    <row r="205" spans="1:13" x14ac:dyDescent="0.3">
      <c r="A205">
        <v>204</v>
      </c>
      <c r="B205" t="s">
        <v>871</v>
      </c>
      <c r="C205" s="3">
        <v>74403</v>
      </c>
      <c r="D205" t="s">
        <v>666</v>
      </c>
      <c r="E205">
        <v>36</v>
      </c>
      <c r="F205" s="1">
        <v>45321</v>
      </c>
      <c r="G205" s="1" t="str">
        <f>TEXT(Table1[[#This Row],[Enrollment date]], "mmm")</f>
        <v>Jan</v>
      </c>
      <c r="H205" t="s">
        <v>360</v>
      </c>
      <c r="I205" t="s">
        <v>661</v>
      </c>
      <c r="J205" t="str">
        <f>_xlfn.XLOOKUP(Table1[[#This Row],[Course ]], CCF!B:B, CCF!A:A)</f>
        <v>DA202</v>
      </c>
      <c r="K205" t="s">
        <v>363</v>
      </c>
      <c r="L205">
        <f>_xlfn.XLOOKUP(K205, CCF!B:B, CCF!C:C)</f>
        <v>79999</v>
      </c>
      <c r="M205" t="s">
        <v>16</v>
      </c>
    </row>
    <row r="206" spans="1:13" x14ac:dyDescent="0.3">
      <c r="A206">
        <v>205</v>
      </c>
      <c r="B206" t="s">
        <v>872</v>
      </c>
      <c r="C206" s="3">
        <v>26659</v>
      </c>
      <c r="D206" t="s">
        <v>666</v>
      </c>
      <c r="E206">
        <v>30</v>
      </c>
      <c r="F206" s="1">
        <v>45321</v>
      </c>
      <c r="G206" s="1" t="str">
        <f>TEXT(Table1[[#This Row],[Enrollment date]], "mmm")</f>
        <v>Jan</v>
      </c>
      <c r="H206" t="s">
        <v>360</v>
      </c>
      <c r="I206" t="s">
        <v>659</v>
      </c>
      <c r="J206" t="str">
        <f>_xlfn.XLOOKUP(Table1[[#This Row],[Course ]], CCF!B:B, CCF!A:A)</f>
        <v>DA202</v>
      </c>
      <c r="K206" t="s">
        <v>363</v>
      </c>
      <c r="L206">
        <f>_xlfn.XLOOKUP(K206, CCF!B:B, CCF!C:C)</f>
        <v>79999</v>
      </c>
      <c r="M206" t="s">
        <v>390</v>
      </c>
    </row>
    <row r="207" spans="1:13" x14ac:dyDescent="0.3">
      <c r="A207">
        <v>206</v>
      </c>
      <c r="B207" t="s">
        <v>873</v>
      </c>
      <c r="C207" s="3">
        <v>14888</v>
      </c>
      <c r="D207" t="s">
        <v>667</v>
      </c>
      <c r="E207">
        <v>58</v>
      </c>
      <c r="F207" s="1">
        <v>45321</v>
      </c>
      <c r="G207" s="1" t="str">
        <f>TEXT(Table1[[#This Row],[Enrollment date]], "mmm")</f>
        <v>Jan</v>
      </c>
      <c r="H207" t="s">
        <v>360</v>
      </c>
      <c r="I207" t="s">
        <v>663</v>
      </c>
      <c r="J207" t="str">
        <f>_xlfn.XLOOKUP(Table1[[#This Row],[Course ]], CCF!B:B, CCF!A:A)</f>
        <v>FSD103</v>
      </c>
      <c r="K207" t="s">
        <v>366</v>
      </c>
      <c r="L207">
        <f>_xlfn.XLOOKUP(K207, CCF!B:B, CCF!C:C)</f>
        <v>109990</v>
      </c>
      <c r="M207" t="s">
        <v>134</v>
      </c>
    </row>
    <row r="208" spans="1:13" x14ac:dyDescent="0.3">
      <c r="A208">
        <v>207</v>
      </c>
      <c r="B208" t="s">
        <v>874</v>
      </c>
      <c r="C208" s="3">
        <v>74709</v>
      </c>
      <c r="D208" t="s">
        <v>666</v>
      </c>
      <c r="E208">
        <v>35</v>
      </c>
      <c r="F208" s="1">
        <v>45321</v>
      </c>
      <c r="G208" s="1" t="str">
        <f>TEXT(Table1[[#This Row],[Enrollment date]], "mmm")</f>
        <v>Jan</v>
      </c>
      <c r="H208" t="s">
        <v>360</v>
      </c>
      <c r="I208" t="s">
        <v>659</v>
      </c>
      <c r="J208" t="str">
        <f>_xlfn.XLOOKUP(Table1[[#This Row],[Course ]], CCF!B:B, CCF!A:A)</f>
        <v>DM101</v>
      </c>
      <c r="K208" t="s">
        <v>365</v>
      </c>
      <c r="L208">
        <f>_xlfn.XLOOKUP(K208, CCF!B:B, CCF!C:C)</f>
        <v>85499</v>
      </c>
      <c r="M208" t="s">
        <v>38</v>
      </c>
    </row>
    <row r="209" spans="1:13" x14ac:dyDescent="0.3">
      <c r="A209">
        <v>208</v>
      </c>
      <c r="B209" t="s">
        <v>875</v>
      </c>
      <c r="C209" s="3">
        <v>32154</v>
      </c>
      <c r="D209" t="s">
        <v>666</v>
      </c>
      <c r="E209">
        <v>28</v>
      </c>
      <c r="F209" s="1">
        <v>45321</v>
      </c>
      <c r="G209" s="1" t="str">
        <f>TEXT(Table1[[#This Row],[Enrollment date]], "mmm")</f>
        <v>Jan</v>
      </c>
      <c r="H209" t="s">
        <v>360</v>
      </c>
      <c r="I209" t="s">
        <v>660</v>
      </c>
      <c r="J209" t="str">
        <f>_xlfn.XLOOKUP(Table1[[#This Row],[Course ]], CCF!B:B, CCF!A:A)</f>
        <v>BA301</v>
      </c>
      <c r="K209" t="s">
        <v>364</v>
      </c>
      <c r="L209">
        <f>_xlfn.XLOOKUP(K209, CCF!B:B, CCF!C:C)</f>
        <v>59999</v>
      </c>
      <c r="M209" t="s">
        <v>141</v>
      </c>
    </row>
    <row r="210" spans="1:13" x14ac:dyDescent="0.3">
      <c r="A210">
        <v>209</v>
      </c>
      <c r="B210" t="s">
        <v>876</v>
      </c>
      <c r="C210" s="3">
        <v>46521</v>
      </c>
      <c r="D210" t="s">
        <v>667</v>
      </c>
      <c r="E210">
        <v>66</v>
      </c>
      <c r="F210" s="1">
        <v>45321</v>
      </c>
      <c r="G210" s="1" t="str">
        <f>TEXT(Table1[[#This Row],[Enrollment date]], "mmm")</f>
        <v>Jan</v>
      </c>
      <c r="H210" t="s">
        <v>360</v>
      </c>
      <c r="I210" t="s">
        <v>659</v>
      </c>
      <c r="J210" t="str">
        <f>_xlfn.XLOOKUP(Table1[[#This Row],[Course ]], CCF!B:B, CCF!A:A)</f>
        <v>DM101</v>
      </c>
      <c r="K210" t="s">
        <v>365</v>
      </c>
      <c r="L210">
        <f>_xlfn.XLOOKUP(K210, CCF!B:B, CCF!C:C)</f>
        <v>85499</v>
      </c>
      <c r="M210" t="s">
        <v>7</v>
      </c>
    </row>
    <row r="211" spans="1:13" x14ac:dyDescent="0.3">
      <c r="A211">
        <v>210</v>
      </c>
      <c r="B211" t="s">
        <v>877</v>
      </c>
      <c r="C211" s="3">
        <v>53767</v>
      </c>
      <c r="D211" t="s">
        <v>666</v>
      </c>
      <c r="E211">
        <v>34</v>
      </c>
      <c r="F211" s="1">
        <v>45322</v>
      </c>
      <c r="G211" s="1" t="str">
        <f>TEXT(Table1[[#This Row],[Enrollment date]], "mmm")</f>
        <v>Jan</v>
      </c>
      <c r="H211" t="s">
        <v>360</v>
      </c>
      <c r="I211" t="s">
        <v>660</v>
      </c>
      <c r="J211" t="str">
        <f>_xlfn.XLOOKUP(Table1[[#This Row],[Course ]], CCF!B:B, CCF!A:A)</f>
        <v>BA301</v>
      </c>
      <c r="K211" t="s">
        <v>364</v>
      </c>
      <c r="L211">
        <f>_xlfn.XLOOKUP(K211, CCF!B:B, CCF!C:C)</f>
        <v>59999</v>
      </c>
      <c r="M211" t="s">
        <v>334</v>
      </c>
    </row>
    <row r="212" spans="1:13" x14ac:dyDescent="0.3">
      <c r="A212">
        <v>211</v>
      </c>
      <c r="B212" t="s">
        <v>878</v>
      </c>
      <c r="C212" s="3">
        <v>82084</v>
      </c>
      <c r="D212" t="s">
        <v>667</v>
      </c>
      <c r="E212">
        <v>49</v>
      </c>
      <c r="F212" s="1">
        <v>45322</v>
      </c>
      <c r="G212" s="1" t="str">
        <f>TEXT(Table1[[#This Row],[Enrollment date]], "mmm")</f>
        <v>Jan</v>
      </c>
      <c r="H212" t="s">
        <v>360</v>
      </c>
      <c r="I212" t="s">
        <v>660</v>
      </c>
      <c r="J212" t="str">
        <f>_xlfn.XLOOKUP(Table1[[#This Row],[Course ]], CCF!B:B, CCF!A:A)</f>
        <v>BA301</v>
      </c>
      <c r="K212" t="s">
        <v>364</v>
      </c>
      <c r="L212">
        <f>_xlfn.XLOOKUP(K212, CCF!B:B, CCF!C:C)</f>
        <v>59999</v>
      </c>
      <c r="M212" t="s">
        <v>38</v>
      </c>
    </row>
    <row r="213" spans="1:13" x14ac:dyDescent="0.3">
      <c r="A213">
        <v>212</v>
      </c>
      <c r="B213" t="s">
        <v>879</v>
      </c>
      <c r="C213" s="3">
        <v>37452</v>
      </c>
      <c r="D213" t="s">
        <v>666</v>
      </c>
      <c r="E213">
        <v>41</v>
      </c>
      <c r="F213" s="1">
        <v>45322</v>
      </c>
      <c r="G213" s="1" t="str">
        <f>TEXT(Table1[[#This Row],[Enrollment date]], "mmm")</f>
        <v>Jan</v>
      </c>
      <c r="H213" t="s">
        <v>360</v>
      </c>
      <c r="I213" t="s">
        <v>659</v>
      </c>
      <c r="J213" t="str">
        <f>_xlfn.XLOOKUP(Table1[[#This Row],[Course ]], CCF!B:B, CCF!A:A)</f>
        <v>DA202</v>
      </c>
      <c r="K213" t="s">
        <v>363</v>
      </c>
      <c r="L213">
        <f>_xlfn.XLOOKUP(K213, CCF!B:B, CCF!C:C)</f>
        <v>79999</v>
      </c>
      <c r="M213" t="s">
        <v>391</v>
      </c>
    </row>
    <row r="214" spans="1:13" x14ac:dyDescent="0.3">
      <c r="A214">
        <v>213</v>
      </c>
      <c r="B214" t="s">
        <v>880</v>
      </c>
      <c r="C214" s="3">
        <v>42967</v>
      </c>
      <c r="D214" t="s">
        <v>666</v>
      </c>
      <c r="E214">
        <v>60</v>
      </c>
      <c r="F214" s="1">
        <v>45322</v>
      </c>
      <c r="G214" s="1" t="str">
        <f>TEXT(Table1[[#This Row],[Enrollment date]], "mmm")</f>
        <v>Jan</v>
      </c>
      <c r="H214" t="s">
        <v>360</v>
      </c>
      <c r="I214" t="s">
        <v>661</v>
      </c>
      <c r="J214" t="str">
        <f>_xlfn.XLOOKUP(Table1[[#This Row],[Course ]], CCF!B:B, CCF!A:A)</f>
        <v>DA202</v>
      </c>
      <c r="K214" t="s">
        <v>363</v>
      </c>
      <c r="L214">
        <f>_xlfn.XLOOKUP(K214, CCF!B:B, CCF!C:C)</f>
        <v>79999</v>
      </c>
      <c r="M214" t="s">
        <v>226</v>
      </c>
    </row>
    <row r="215" spans="1:13" x14ac:dyDescent="0.3">
      <c r="A215">
        <v>214</v>
      </c>
      <c r="B215" t="s">
        <v>881</v>
      </c>
      <c r="C215" s="3">
        <v>71793</v>
      </c>
      <c r="D215" t="s">
        <v>667</v>
      </c>
      <c r="E215">
        <v>33</v>
      </c>
      <c r="F215" s="1">
        <v>45322</v>
      </c>
      <c r="G215" s="1" t="str">
        <f>TEXT(Table1[[#This Row],[Enrollment date]], "mmm")</f>
        <v>Jan</v>
      </c>
      <c r="H215" t="s">
        <v>360</v>
      </c>
      <c r="I215" t="s">
        <v>660</v>
      </c>
      <c r="J215" t="str">
        <f>_xlfn.XLOOKUP(Table1[[#This Row],[Course ]], CCF!B:B, CCF!A:A)</f>
        <v>DM101</v>
      </c>
      <c r="K215" t="s">
        <v>365</v>
      </c>
      <c r="L215">
        <f>_xlfn.XLOOKUP(K215, CCF!B:B, CCF!C:C)</f>
        <v>85499</v>
      </c>
      <c r="M215" t="s">
        <v>64</v>
      </c>
    </row>
    <row r="216" spans="1:13" x14ac:dyDescent="0.3">
      <c r="A216">
        <v>215</v>
      </c>
      <c r="B216" t="s">
        <v>882</v>
      </c>
      <c r="C216" s="3">
        <v>64107</v>
      </c>
      <c r="D216" t="s">
        <v>666</v>
      </c>
      <c r="E216">
        <v>38</v>
      </c>
      <c r="F216" s="1">
        <v>45322</v>
      </c>
      <c r="G216" s="1" t="str">
        <f>TEXT(Table1[[#This Row],[Enrollment date]], "mmm")</f>
        <v>Jan</v>
      </c>
      <c r="H216" t="s">
        <v>360</v>
      </c>
      <c r="I216" t="s">
        <v>660</v>
      </c>
      <c r="J216" t="str">
        <f>_xlfn.XLOOKUP(Table1[[#This Row],[Course ]], CCF!B:B, CCF!A:A)</f>
        <v>DM101</v>
      </c>
      <c r="K216" t="s">
        <v>365</v>
      </c>
      <c r="L216">
        <f>_xlfn.XLOOKUP(K216, CCF!B:B, CCF!C:C)</f>
        <v>85499</v>
      </c>
      <c r="M216" t="s">
        <v>16</v>
      </c>
    </row>
    <row r="217" spans="1:13" x14ac:dyDescent="0.3">
      <c r="A217">
        <v>216</v>
      </c>
      <c r="B217" t="s">
        <v>883</v>
      </c>
      <c r="C217" s="3">
        <v>74972</v>
      </c>
      <c r="D217" t="s">
        <v>667</v>
      </c>
      <c r="E217">
        <v>24</v>
      </c>
      <c r="F217" s="1">
        <v>45322</v>
      </c>
      <c r="G217" s="1" t="str">
        <f>TEXT(Table1[[#This Row],[Enrollment date]], "mmm")</f>
        <v>Jan</v>
      </c>
      <c r="H217" t="s">
        <v>360</v>
      </c>
      <c r="I217" t="s">
        <v>663</v>
      </c>
      <c r="J217" t="str">
        <f>_xlfn.XLOOKUP(Table1[[#This Row],[Course ]], CCF!B:B, CCF!A:A)</f>
        <v>BA301</v>
      </c>
      <c r="K217" t="s">
        <v>364</v>
      </c>
      <c r="L217">
        <f>_xlfn.XLOOKUP(K217, CCF!B:B, CCF!C:C)</f>
        <v>59999</v>
      </c>
      <c r="M217" t="s">
        <v>103</v>
      </c>
    </row>
    <row r="218" spans="1:13" x14ac:dyDescent="0.3">
      <c r="A218">
        <v>217</v>
      </c>
      <c r="B218" t="s">
        <v>884</v>
      </c>
      <c r="C218" s="3">
        <v>27592</v>
      </c>
      <c r="D218" t="s">
        <v>666</v>
      </c>
      <c r="E218">
        <v>57</v>
      </c>
      <c r="F218" s="1">
        <v>45322</v>
      </c>
      <c r="G218" s="1" t="str">
        <f>TEXT(Table1[[#This Row],[Enrollment date]], "mmm")</f>
        <v>Jan</v>
      </c>
      <c r="H218" t="s">
        <v>360</v>
      </c>
      <c r="I218" t="s">
        <v>659</v>
      </c>
      <c r="J218" t="str">
        <f>_xlfn.XLOOKUP(Table1[[#This Row],[Course ]], CCF!B:B, CCF!A:A)</f>
        <v>DM101</v>
      </c>
      <c r="K218" t="s">
        <v>365</v>
      </c>
      <c r="L218">
        <f>_xlfn.XLOOKUP(K218, CCF!B:B, CCF!C:C)</f>
        <v>85499</v>
      </c>
      <c r="M218" t="s">
        <v>233</v>
      </c>
    </row>
    <row r="219" spans="1:13" x14ac:dyDescent="0.3">
      <c r="A219">
        <v>218</v>
      </c>
      <c r="B219" t="s">
        <v>885</v>
      </c>
      <c r="C219" s="3">
        <v>44228</v>
      </c>
      <c r="D219" t="s">
        <v>666</v>
      </c>
      <c r="E219">
        <v>66</v>
      </c>
      <c r="F219" s="1">
        <v>45322</v>
      </c>
      <c r="G219" s="1" t="str">
        <f>TEXT(Table1[[#This Row],[Enrollment date]], "mmm")</f>
        <v>Jan</v>
      </c>
      <c r="H219" t="s">
        <v>360</v>
      </c>
      <c r="I219" t="s">
        <v>660</v>
      </c>
      <c r="J219" t="str">
        <f>_xlfn.XLOOKUP(Table1[[#This Row],[Course ]], CCF!B:B, CCF!A:A)</f>
        <v>DM101</v>
      </c>
      <c r="K219" t="s">
        <v>365</v>
      </c>
      <c r="L219">
        <f>_xlfn.XLOOKUP(K219, CCF!B:B, CCF!C:C)</f>
        <v>85499</v>
      </c>
      <c r="M219" t="s">
        <v>392</v>
      </c>
    </row>
    <row r="220" spans="1:13" x14ac:dyDescent="0.3">
      <c r="A220">
        <v>219</v>
      </c>
      <c r="B220" t="s">
        <v>886</v>
      </c>
      <c r="C220" s="3">
        <v>88677</v>
      </c>
      <c r="D220" t="s">
        <v>667</v>
      </c>
      <c r="E220">
        <v>74</v>
      </c>
      <c r="F220" s="1">
        <v>45323</v>
      </c>
      <c r="G220" s="1" t="str">
        <f>TEXT(Table1[[#This Row],[Enrollment date]], "mmm")</f>
        <v>Feb</v>
      </c>
      <c r="H220" t="s">
        <v>360</v>
      </c>
      <c r="I220" t="s">
        <v>665</v>
      </c>
      <c r="J220" t="str">
        <f>_xlfn.XLOOKUP(Table1[[#This Row],[Course ]], CCF!B:B, CCF!A:A)</f>
        <v>DM101</v>
      </c>
      <c r="K220" t="s">
        <v>365</v>
      </c>
      <c r="L220">
        <f>_xlfn.XLOOKUP(K220, CCF!B:B, CCF!C:C)</f>
        <v>85499</v>
      </c>
      <c r="M220" t="s">
        <v>53</v>
      </c>
    </row>
    <row r="221" spans="1:13" x14ac:dyDescent="0.3">
      <c r="A221">
        <v>220</v>
      </c>
      <c r="B221" t="s">
        <v>887</v>
      </c>
      <c r="C221" s="3">
        <v>14796</v>
      </c>
      <c r="D221" t="s">
        <v>667</v>
      </c>
      <c r="E221">
        <v>41</v>
      </c>
      <c r="F221" s="1">
        <v>45323</v>
      </c>
      <c r="G221" s="1" t="str">
        <f>TEXT(Table1[[#This Row],[Enrollment date]], "mmm")</f>
        <v>Feb</v>
      </c>
      <c r="H221" t="s">
        <v>360</v>
      </c>
      <c r="I221" t="s">
        <v>660</v>
      </c>
      <c r="J221" t="str">
        <f>_xlfn.XLOOKUP(Table1[[#This Row],[Course ]], CCF!B:B, CCF!A:A)</f>
        <v>DM101</v>
      </c>
      <c r="K221" t="s">
        <v>365</v>
      </c>
      <c r="L221">
        <f>_xlfn.XLOOKUP(K221, CCF!B:B, CCF!C:C)</f>
        <v>85499</v>
      </c>
      <c r="M221" t="s">
        <v>18</v>
      </c>
    </row>
    <row r="222" spans="1:13" x14ac:dyDescent="0.3">
      <c r="A222">
        <v>221</v>
      </c>
      <c r="B222" t="s">
        <v>888</v>
      </c>
      <c r="C222" s="3">
        <v>23117</v>
      </c>
      <c r="D222" t="s">
        <v>666</v>
      </c>
      <c r="E222">
        <v>23</v>
      </c>
      <c r="F222" s="1">
        <v>45323</v>
      </c>
      <c r="G222" s="1" t="str">
        <f>TEXT(Table1[[#This Row],[Enrollment date]], "mmm")</f>
        <v>Feb</v>
      </c>
      <c r="H222" t="s">
        <v>360</v>
      </c>
      <c r="I222" t="s">
        <v>660</v>
      </c>
      <c r="J222" t="str">
        <f>_xlfn.XLOOKUP(Table1[[#This Row],[Course ]], CCF!B:B, CCF!A:A)</f>
        <v>DM101</v>
      </c>
      <c r="K222" t="s">
        <v>365</v>
      </c>
      <c r="L222">
        <f>_xlfn.XLOOKUP(K222, CCF!B:B, CCF!C:C)</f>
        <v>85499</v>
      </c>
      <c r="M222" t="s">
        <v>80</v>
      </c>
    </row>
    <row r="223" spans="1:13" x14ac:dyDescent="0.3">
      <c r="A223">
        <v>222</v>
      </c>
      <c r="B223" t="s">
        <v>889</v>
      </c>
      <c r="C223" s="3">
        <v>58249</v>
      </c>
      <c r="D223" t="s">
        <v>666</v>
      </c>
      <c r="E223">
        <v>34</v>
      </c>
      <c r="F223" s="1">
        <v>45323</v>
      </c>
      <c r="G223" s="1" t="str">
        <f>TEXT(Table1[[#This Row],[Enrollment date]], "mmm")</f>
        <v>Feb</v>
      </c>
      <c r="H223" t="s">
        <v>360</v>
      </c>
      <c r="I223" t="s">
        <v>660</v>
      </c>
      <c r="J223" t="str">
        <f>_xlfn.XLOOKUP(Table1[[#This Row],[Course ]], CCF!B:B, CCF!A:A)</f>
        <v>DA202</v>
      </c>
      <c r="K223" t="s">
        <v>363</v>
      </c>
      <c r="L223">
        <f>_xlfn.XLOOKUP(K223, CCF!B:B, CCF!C:C)</f>
        <v>79999</v>
      </c>
      <c r="M223" t="s">
        <v>17</v>
      </c>
    </row>
    <row r="224" spans="1:13" x14ac:dyDescent="0.3">
      <c r="A224">
        <v>223</v>
      </c>
      <c r="B224" t="s">
        <v>890</v>
      </c>
      <c r="C224" s="3">
        <v>24437</v>
      </c>
      <c r="D224" t="s">
        <v>666</v>
      </c>
      <c r="E224">
        <v>27</v>
      </c>
      <c r="F224" s="1">
        <v>45323</v>
      </c>
      <c r="G224" s="1" t="str">
        <f>TEXT(Table1[[#This Row],[Enrollment date]], "mmm")</f>
        <v>Feb</v>
      </c>
      <c r="H224" t="s">
        <v>360</v>
      </c>
      <c r="I224" t="s">
        <v>659</v>
      </c>
      <c r="J224" t="str">
        <f>_xlfn.XLOOKUP(Table1[[#This Row],[Course ]], CCF!B:B, CCF!A:A)</f>
        <v>FSD103</v>
      </c>
      <c r="K224" t="s">
        <v>366</v>
      </c>
      <c r="L224">
        <f>_xlfn.XLOOKUP(K224, CCF!B:B, CCF!C:C)</f>
        <v>109990</v>
      </c>
      <c r="M224" t="s">
        <v>393</v>
      </c>
    </row>
    <row r="225" spans="1:13" x14ac:dyDescent="0.3">
      <c r="A225">
        <v>224</v>
      </c>
      <c r="B225" t="s">
        <v>724</v>
      </c>
      <c r="C225" s="3">
        <v>54785</v>
      </c>
      <c r="D225" t="s">
        <v>667</v>
      </c>
      <c r="E225">
        <v>75</v>
      </c>
      <c r="F225" s="1">
        <v>45323</v>
      </c>
      <c r="G225" s="1" t="str">
        <f>TEXT(Table1[[#This Row],[Enrollment date]], "mmm")</f>
        <v>Feb</v>
      </c>
      <c r="H225" t="s">
        <v>360</v>
      </c>
      <c r="I225" t="s">
        <v>659</v>
      </c>
      <c r="J225" t="str">
        <f>_xlfn.XLOOKUP(Table1[[#This Row],[Course ]], CCF!B:B, CCF!A:A)</f>
        <v>BA301</v>
      </c>
      <c r="K225" t="s">
        <v>364</v>
      </c>
      <c r="L225">
        <f>_xlfn.XLOOKUP(K225, CCF!B:B, CCF!C:C)</f>
        <v>59999</v>
      </c>
      <c r="M225" t="s">
        <v>394</v>
      </c>
    </row>
    <row r="226" spans="1:13" x14ac:dyDescent="0.3">
      <c r="A226">
        <v>225</v>
      </c>
      <c r="B226" t="s">
        <v>891</v>
      </c>
      <c r="C226" s="3">
        <v>45940</v>
      </c>
      <c r="D226" t="s">
        <v>666</v>
      </c>
      <c r="E226">
        <v>69</v>
      </c>
      <c r="F226" s="1">
        <v>45323</v>
      </c>
      <c r="G226" s="1" t="str">
        <f>TEXT(Table1[[#This Row],[Enrollment date]], "mmm")</f>
        <v>Feb</v>
      </c>
      <c r="H226" t="s">
        <v>360</v>
      </c>
      <c r="I226" t="s">
        <v>660</v>
      </c>
      <c r="J226" t="str">
        <f>_xlfn.XLOOKUP(Table1[[#This Row],[Course ]], CCF!B:B, CCF!A:A)</f>
        <v>BA301</v>
      </c>
      <c r="K226" t="s">
        <v>364</v>
      </c>
      <c r="L226">
        <f>_xlfn.XLOOKUP(K226, CCF!B:B, CCF!C:C)</f>
        <v>59999</v>
      </c>
      <c r="M226" t="s">
        <v>148</v>
      </c>
    </row>
    <row r="227" spans="1:13" x14ac:dyDescent="0.3">
      <c r="A227">
        <v>226</v>
      </c>
      <c r="B227" t="s">
        <v>892</v>
      </c>
      <c r="C227" s="3">
        <v>26274</v>
      </c>
      <c r="D227" t="s">
        <v>666</v>
      </c>
      <c r="E227">
        <v>41</v>
      </c>
      <c r="F227" s="1">
        <v>45324</v>
      </c>
      <c r="G227" s="1" t="str">
        <f>TEXT(Table1[[#This Row],[Enrollment date]], "mmm")</f>
        <v>Feb</v>
      </c>
      <c r="H227" t="s">
        <v>360</v>
      </c>
      <c r="I227" t="s">
        <v>660</v>
      </c>
      <c r="J227" t="str">
        <f>_xlfn.XLOOKUP(Table1[[#This Row],[Course ]], CCF!B:B, CCF!A:A)</f>
        <v>DA202</v>
      </c>
      <c r="K227" t="s">
        <v>363</v>
      </c>
      <c r="L227">
        <f>_xlfn.XLOOKUP(K227, CCF!B:B, CCF!C:C)</f>
        <v>79999</v>
      </c>
      <c r="M227" t="s">
        <v>27</v>
      </c>
    </row>
    <row r="228" spans="1:13" x14ac:dyDescent="0.3">
      <c r="A228">
        <v>227</v>
      </c>
      <c r="B228" t="s">
        <v>893</v>
      </c>
      <c r="C228" s="3">
        <v>86306</v>
      </c>
      <c r="D228" t="s">
        <v>667</v>
      </c>
      <c r="E228">
        <v>47</v>
      </c>
      <c r="F228" s="1">
        <v>45324</v>
      </c>
      <c r="G228" s="1" t="str">
        <f>TEXT(Table1[[#This Row],[Enrollment date]], "mmm")</f>
        <v>Feb</v>
      </c>
      <c r="H228" t="s">
        <v>360</v>
      </c>
      <c r="I228" t="s">
        <v>659</v>
      </c>
      <c r="J228" t="str">
        <f>_xlfn.XLOOKUP(Table1[[#This Row],[Course ]], CCF!B:B, CCF!A:A)</f>
        <v>AI001</v>
      </c>
      <c r="K228" t="s">
        <v>368</v>
      </c>
      <c r="L228">
        <f>_xlfn.XLOOKUP(K228, CCF!B:B, CCF!C:C)</f>
        <v>119990</v>
      </c>
      <c r="M228" t="s">
        <v>18</v>
      </c>
    </row>
    <row r="229" spans="1:13" x14ac:dyDescent="0.3">
      <c r="A229">
        <v>228</v>
      </c>
      <c r="B229" t="s">
        <v>894</v>
      </c>
      <c r="C229" s="3">
        <v>72781</v>
      </c>
      <c r="D229" t="s">
        <v>667</v>
      </c>
      <c r="E229">
        <v>32</v>
      </c>
      <c r="F229" s="1">
        <v>45324</v>
      </c>
      <c r="G229" s="1" t="str">
        <f>TEXT(Table1[[#This Row],[Enrollment date]], "mmm")</f>
        <v>Feb</v>
      </c>
      <c r="H229" t="s">
        <v>360</v>
      </c>
      <c r="I229" t="s">
        <v>659</v>
      </c>
      <c r="J229" t="str">
        <f>_xlfn.XLOOKUP(Table1[[#This Row],[Course ]], CCF!B:B, CCF!A:A)</f>
        <v>BA301</v>
      </c>
      <c r="K229" t="s">
        <v>364</v>
      </c>
      <c r="L229">
        <f>_xlfn.XLOOKUP(K229, CCF!B:B, CCF!C:C)</f>
        <v>59999</v>
      </c>
      <c r="M229" t="s">
        <v>9</v>
      </c>
    </row>
    <row r="230" spans="1:13" x14ac:dyDescent="0.3">
      <c r="A230">
        <v>229</v>
      </c>
      <c r="B230" t="s">
        <v>895</v>
      </c>
      <c r="C230" s="3">
        <v>20985</v>
      </c>
      <c r="D230" t="s">
        <v>666</v>
      </c>
      <c r="E230">
        <v>25</v>
      </c>
      <c r="F230" s="1">
        <v>45324</v>
      </c>
      <c r="G230" s="1" t="str">
        <f>TEXT(Table1[[#This Row],[Enrollment date]], "mmm")</f>
        <v>Feb</v>
      </c>
      <c r="H230" t="s">
        <v>360</v>
      </c>
      <c r="I230" t="s">
        <v>664</v>
      </c>
      <c r="J230" t="str">
        <f>_xlfn.XLOOKUP(Table1[[#This Row],[Course ]], CCF!B:B, CCF!A:A)</f>
        <v>DM101</v>
      </c>
      <c r="K230" t="s">
        <v>365</v>
      </c>
      <c r="L230">
        <f>_xlfn.XLOOKUP(K230, CCF!B:B, CCF!C:C)</f>
        <v>85499</v>
      </c>
      <c r="M230" t="s">
        <v>16</v>
      </c>
    </row>
    <row r="231" spans="1:13" x14ac:dyDescent="0.3">
      <c r="A231">
        <v>230</v>
      </c>
      <c r="B231" t="s">
        <v>896</v>
      </c>
      <c r="C231" s="3">
        <v>50056</v>
      </c>
      <c r="D231" t="s">
        <v>666</v>
      </c>
      <c r="E231">
        <v>63</v>
      </c>
      <c r="F231" s="1">
        <v>45324</v>
      </c>
      <c r="G231" s="1" t="str">
        <f>TEXT(Table1[[#This Row],[Enrollment date]], "mmm")</f>
        <v>Feb</v>
      </c>
      <c r="H231" t="s">
        <v>360</v>
      </c>
      <c r="I231" t="s">
        <v>660</v>
      </c>
      <c r="J231" t="str">
        <f>_xlfn.XLOOKUP(Table1[[#This Row],[Course ]], CCF!B:B, CCF!A:A)</f>
        <v>BA301</v>
      </c>
      <c r="K231" t="s">
        <v>364</v>
      </c>
      <c r="L231">
        <f>_xlfn.XLOOKUP(K231, CCF!B:B, CCF!C:C)</f>
        <v>59999</v>
      </c>
      <c r="M231" t="s">
        <v>102</v>
      </c>
    </row>
    <row r="232" spans="1:13" x14ac:dyDescent="0.3">
      <c r="A232">
        <v>231</v>
      </c>
      <c r="B232" t="s">
        <v>897</v>
      </c>
      <c r="C232" s="3">
        <v>69436</v>
      </c>
      <c r="D232" t="s">
        <v>666</v>
      </c>
      <c r="E232">
        <v>28</v>
      </c>
      <c r="F232" s="1">
        <v>45325</v>
      </c>
      <c r="G232" s="1" t="str">
        <f>TEXT(Table1[[#This Row],[Enrollment date]], "mmm")</f>
        <v>Feb</v>
      </c>
      <c r="H232" t="s">
        <v>360</v>
      </c>
      <c r="I232" t="s">
        <v>662</v>
      </c>
      <c r="J232" t="str">
        <f>_xlfn.XLOOKUP(Table1[[#This Row],[Course ]], CCF!B:B, CCF!A:A)</f>
        <v>BA301</v>
      </c>
      <c r="K232" t="s">
        <v>364</v>
      </c>
      <c r="L232">
        <f>_xlfn.XLOOKUP(K232, CCF!B:B, CCF!C:C)</f>
        <v>59999</v>
      </c>
      <c r="M232" t="s">
        <v>111</v>
      </c>
    </row>
    <row r="233" spans="1:13" x14ac:dyDescent="0.3">
      <c r="A233">
        <v>232</v>
      </c>
      <c r="B233" t="s">
        <v>898</v>
      </c>
      <c r="C233" s="3">
        <v>87096</v>
      </c>
      <c r="D233" t="s">
        <v>666</v>
      </c>
      <c r="E233">
        <v>37</v>
      </c>
      <c r="F233" s="1">
        <v>45325</v>
      </c>
      <c r="G233" s="1" t="str">
        <f>TEXT(Table1[[#This Row],[Enrollment date]], "mmm")</f>
        <v>Feb</v>
      </c>
      <c r="H233" t="s">
        <v>3</v>
      </c>
      <c r="I233" t="s">
        <v>659</v>
      </c>
      <c r="J233" t="str">
        <f>_xlfn.XLOOKUP(Table1[[#This Row],[Course ]], CCF!B:B, CCF!A:A)</f>
        <v>UX401</v>
      </c>
      <c r="K233" t="s">
        <v>367</v>
      </c>
      <c r="L233">
        <f>_xlfn.XLOOKUP(K233, CCF!B:B, CCF!C:C)</f>
        <v>67990</v>
      </c>
      <c r="M233" t="s">
        <v>7</v>
      </c>
    </row>
    <row r="234" spans="1:13" x14ac:dyDescent="0.3">
      <c r="A234">
        <v>233</v>
      </c>
      <c r="B234" t="s">
        <v>899</v>
      </c>
      <c r="C234" s="3">
        <v>84728</v>
      </c>
      <c r="D234" t="s">
        <v>666</v>
      </c>
      <c r="E234">
        <v>73</v>
      </c>
      <c r="F234" s="1">
        <v>45325</v>
      </c>
      <c r="G234" s="1" t="str">
        <f>TEXT(Table1[[#This Row],[Enrollment date]], "mmm")</f>
        <v>Feb</v>
      </c>
      <c r="H234" t="s">
        <v>360</v>
      </c>
      <c r="I234" t="s">
        <v>660</v>
      </c>
      <c r="J234" t="str">
        <f>_xlfn.XLOOKUP(Table1[[#This Row],[Course ]], CCF!B:B, CCF!A:A)</f>
        <v>DM101</v>
      </c>
      <c r="K234" t="s">
        <v>365</v>
      </c>
      <c r="L234">
        <f>_xlfn.XLOOKUP(K234, CCF!B:B, CCF!C:C)</f>
        <v>85499</v>
      </c>
      <c r="M234" t="s">
        <v>33</v>
      </c>
    </row>
    <row r="235" spans="1:13" x14ac:dyDescent="0.3">
      <c r="A235">
        <v>234</v>
      </c>
      <c r="B235" t="s">
        <v>900</v>
      </c>
      <c r="C235" s="3">
        <v>29322</v>
      </c>
      <c r="D235" t="s">
        <v>667</v>
      </c>
      <c r="E235">
        <v>20</v>
      </c>
      <c r="F235" s="1">
        <v>45325</v>
      </c>
      <c r="G235" s="1" t="str">
        <f>TEXT(Table1[[#This Row],[Enrollment date]], "mmm")</f>
        <v>Feb</v>
      </c>
      <c r="H235" t="s">
        <v>360</v>
      </c>
      <c r="I235" t="s">
        <v>663</v>
      </c>
      <c r="J235" t="str">
        <f>_xlfn.XLOOKUP(Table1[[#This Row],[Course ]], CCF!B:B, CCF!A:A)</f>
        <v>DA202</v>
      </c>
      <c r="K235" t="s">
        <v>363</v>
      </c>
      <c r="L235">
        <f>_xlfn.XLOOKUP(K235, CCF!B:B, CCF!C:C)</f>
        <v>79999</v>
      </c>
      <c r="M235" t="s">
        <v>28</v>
      </c>
    </row>
    <row r="236" spans="1:13" x14ac:dyDescent="0.3">
      <c r="A236">
        <v>235</v>
      </c>
      <c r="B236" t="s">
        <v>901</v>
      </c>
      <c r="C236" s="3">
        <v>32327</v>
      </c>
      <c r="D236" t="s">
        <v>666</v>
      </c>
      <c r="E236">
        <v>22</v>
      </c>
      <c r="F236" s="1">
        <v>45326</v>
      </c>
      <c r="G236" s="1" t="str">
        <f>TEXT(Table1[[#This Row],[Enrollment date]], "mmm")</f>
        <v>Feb</v>
      </c>
      <c r="H236" t="s">
        <v>360</v>
      </c>
      <c r="I236" t="s">
        <v>663</v>
      </c>
      <c r="J236" t="str">
        <f>_xlfn.XLOOKUP(Table1[[#This Row],[Course ]], CCF!B:B, CCF!A:A)</f>
        <v>UX401</v>
      </c>
      <c r="K236" t="s">
        <v>367</v>
      </c>
      <c r="L236">
        <f>_xlfn.XLOOKUP(K236, CCF!B:B, CCF!C:C)</f>
        <v>67990</v>
      </c>
      <c r="M236" t="s">
        <v>169</v>
      </c>
    </row>
    <row r="237" spans="1:13" x14ac:dyDescent="0.3">
      <c r="A237">
        <v>236</v>
      </c>
      <c r="B237" t="s">
        <v>902</v>
      </c>
      <c r="C237" s="3">
        <v>90293</v>
      </c>
      <c r="D237" t="s">
        <v>667</v>
      </c>
      <c r="E237">
        <v>73</v>
      </c>
      <c r="F237" s="1">
        <v>45326</v>
      </c>
      <c r="G237" s="1" t="str">
        <f>TEXT(Table1[[#This Row],[Enrollment date]], "mmm")</f>
        <v>Feb</v>
      </c>
      <c r="H237" t="s">
        <v>360</v>
      </c>
      <c r="I237" t="s">
        <v>659</v>
      </c>
      <c r="J237" t="str">
        <f>_xlfn.XLOOKUP(Table1[[#This Row],[Course ]], CCF!B:B, CCF!A:A)</f>
        <v>FSD103</v>
      </c>
      <c r="K237" t="s">
        <v>366</v>
      </c>
      <c r="L237">
        <f>_xlfn.XLOOKUP(K237, CCF!B:B, CCF!C:C)</f>
        <v>109990</v>
      </c>
      <c r="M237" t="s">
        <v>395</v>
      </c>
    </row>
    <row r="238" spans="1:13" x14ac:dyDescent="0.3">
      <c r="A238">
        <v>237</v>
      </c>
      <c r="B238" t="s">
        <v>903</v>
      </c>
      <c r="C238" s="3">
        <v>14418</v>
      </c>
      <c r="D238" t="s">
        <v>667</v>
      </c>
      <c r="E238">
        <v>19</v>
      </c>
      <c r="F238" s="1">
        <v>45326</v>
      </c>
      <c r="G238" s="1" t="str">
        <f>TEXT(Table1[[#This Row],[Enrollment date]], "mmm")</f>
        <v>Feb</v>
      </c>
      <c r="H238" t="s">
        <v>360</v>
      </c>
      <c r="I238" t="s">
        <v>661</v>
      </c>
      <c r="J238" t="str">
        <f>_xlfn.XLOOKUP(Table1[[#This Row],[Course ]], CCF!B:B, CCF!A:A)</f>
        <v>DM101</v>
      </c>
      <c r="K238" t="s">
        <v>365</v>
      </c>
      <c r="L238">
        <f>_xlfn.XLOOKUP(K238, CCF!B:B, CCF!C:C)</f>
        <v>85499</v>
      </c>
      <c r="M238" t="s">
        <v>20</v>
      </c>
    </row>
    <row r="239" spans="1:13" x14ac:dyDescent="0.3">
      <c r="A239">
        <v>238</v>
      </c>
      <c r="B239" t="s">
        <v>904</v>
      </c>
      <c r="C239" s="3">
        <v>34316</v>
      </c>
      <c r="D239" t="s">
        <v>666</v>
      </c>
      <c r="E239">
        <v>27</v>
      </c>
      <c r="F239" s="1">
        <v>45326</v>
      </c>
      <c r="G239" s="1" t="str">
        <f>TEXT(Table1[[#This Row],[Enrollment date]], "mmm")</f>
        <v>Feb</v>
      </c>
      <c r="H239" t="s">
        <v>360</v>
      </c>
      <c r="I239" t="s">
        <v>660</v>
      </c>
      <c r="J239" t="str">
        <f>_xlfn.XLOOKUP(Table1[[#This Row],[Course ]], CCF!B:B, CCF!A:A)</f>
        <v>DM101</v>
      </c>
      <c r="K239" t="s">
        <v>365</v>
      </c>
      <c r="L239">
        <f>_xlfn.XLOOKUP(K239, CCF!B:B, CCF!C:C)</f>
        <v>85499</v>
      </c>
      <c r="M239" t="s">
        <v>12</v>
      </c>
    </row>
    <row r="240" spans="1:13" x14ac:dyDescent="0.3">
      <c r="A240">
        <v>239</v>
      </c>
      <c r="B240" t="s">
        <v>905</v>
      </c>
      <c r="C240" s="3">
        <v>91906</v>
      </c>
      <c r="D240" t="s">
        <v>666</v>
      </c>
      <c r="E240">
        <v>19</v>
      </c>
      <c r="F240" s="1">
        <v>45326</v>
      </c>
      <c r="G240" s="1" t="str">
        <f>TEXT(Table1[[#This Row],[Enrollment date]], "mmm")</f>
        <v>Feb</v>
      </c>
      <c r="H240" t="s">
        <v>360</v>
      </c>
      <c r="I240" t="s">
        <v>664</v>
      </c>
      <c r="J240" t="str">
        <f>_xlfn.XLOOKUP(Table1[[#This Row],[Course ]], CCF!B:B, CCF!A:A)</f>
        <v>DM101</v>
      </c>
      <c r="K240" t="s">
        <v>365</v>
      </c>
      <c r="L240">
        <f>_xlfn.XLOOKUP(K240, CCF!B:B, CCF!C:C)</f>
        <v>85499</v>
      </c>
      <c r="M240" t="s">
        <v>9</v>
      </c>
    </row>
    <row r="241" spans="1:13" x14ac:dyDescent="0.3">
      <c r="A241">
        <v>240</v>
      </c>
      <c r="B241" t="s">
        <v>906</v>
      </c>
      <c r="C241" s="3">
        <v>85740</v>
      </c>
      <c r="D241" t="s">
        <v>667</v>
      </c>
      <c r="E241">
        <v>41</v>
      </c>
      <c r="F241" s="1">
        <v>45327</v>
      </c>
      <c r="G241" s="1" t="str">
        <f>TEXT(Table1[[#This Row],[Enrollment date]], "mmm")</f>
        <v>Feb</v>
      </c>
      <c r="H241" t="s">
        <v>361</v>
      </c>
      <c r="I241" t="s">
        <v>662</v>
      </c>
      <c r="J241" t="str">
        <f>_xlfn.XLOOKUP(Table1[[#This Row],[Course ]], CCF!B:B, CCF!A:A)</f>
        <v>DA202</v>
      </c>
      <c r="K241" t="s">
        <v>363</v>
      </c>
      <c r="L241">
        <f>_xlfn.XLOOKUP(K241, CCF!B:B, CCF!C:C)</f>
        <v>79999</v>
      </c>
      <c r="M241" t="s">
        <v>396</v>
      </c>
    </row>
    <row r="242" spans="1:13" x14ac:dyDescent="0.3">
      <c r="A242">
        <v>241</v>
      </c>
      <c r="B242" t="s">
        <v>907</v>
      </c>
      <c r="C242" s="3">
        <v>19192</v>
      </c>
      <c r="D242" t="s">
        <v>666</v>
      </c>
      <c r="E242">
        <v>44</v>
      </c>
      <c r="F242" s="1">
        <v>45327</v>
      </c>
      <c r="G242" s="1" t="str">
        <f>TEXT(Table1[[#This Row],[Enrollment date]], "mmm")</f>
        <v>Feb</v>
      </c>
      <c r="H242" t="s">
        <v>360</v>
      </c>
      <c r="I242" t="s">
        <v>659</v>
      </c>
      <c r="J242" t="str">
        <f>_xlfn.XLOOKUP(Table1[[#This Row],[Course ]], CCF!B:B, CCF!A:A)</f>
        <v>UX401</v>
      </c>
      <c r="K242" t="s">
        <v>367</v>
      </c>
      <c r="L242">
        <f>_xlfn.XLOOKUP(K242, CCF!B:B, CCF!C:C)</f>
        <v>67990</v>
      </c>
      <c r="M242" t="s">
        <v>9</v>
      </c>
    </row>
    <row r="243" spans="1:13" x14ac:dyDescent="0.3">
      <c r="A243">
        <v>242</v>
      </c>
      <c r="B243" t="s">
        <v>908</v>
      </c>
      <c r="C243" s="3">
        <v>42860</v>
      </c>
      <c r="D243" t="s">
        <v>667</v>
      </c>
      <c r="E243">
        <v>31</v>
      </c>
      <c r="F243" s="1">
        <v>45327</v>
      </c>
      <c r="G243" s="1" t="str">
        <f>TEXT(Table1[[#This Row],[Enrollment date]], "mmm")</f>
        <v>Feb</v>
      </c>
      <c r="H243" t="s">
        <v>360</v>
      </c>
      <c r="I243" t="s">
        <v>661</v>
      </c>
      <c r="J243" t="str">
        <f>_xlfn.XLOOKUP(Table1[[#This Row],[Course ]], CCF!B:B, CCF!A:A)</f>
        <v>DM101</v>
      </c>
      <c r="K243" t="s">
        <v>365</v>
      </c>
      <c r="L243">
        <f>_xlfn.XLOOKUP(K243, CCF!B:B, CCF!C:C)</f>
        <v>85499</v>
      </c>
      <c r="M243" t="s">
        <v>16</v>
      </c>
    </row>
    <row r="244" spans="1:13" x14ac:dyDescent="0.3">
      <c r="A244">
        <v>243</v>
      </c>
      <c r="B244" t="s">
        <v>909</v>
      </c>
      <c r="C244" s="3">
        <v>41543</v>
      </c>
      <c r="D244" t="s">
        <v>666</v>
      </c>
      <c r="E244">
        <v>28</v>
      </c>
      <c r="F244" s="1">
        <v>45327</v>
      </c>
      <c r="G244" s="1" t="str">
        <f>TEXT(Table1[[#This Row],[Enrollment date]], "mmm")</f>
        <v>Feb</v>
      </c>
      <c r="H244" t="s">
        <v>360</v>
      </c>
      <c r="I244" t="s">
        <v>660</v>
      </c>
      <c r="J244" t="str">
        <f>_xlfn.XLOOKUP(Table1[[#This Row],[Course ]], CCF!B:B, CCF!A:A)</f>
        <v>DM101</v>
      </c>
      <c r="K244" t="s">
        <v>365</v>
      </c>
      <c r="L244">
        <f>_xlfn.XLOOKUP(K244, CCF!B:B, CCF!C:C)</f>
        <v>85499</v>
      </c>
      <c r="M244" t="s">
        <v>9</v>
      </c>
    </row>
    <row r="245" spans="1:13" x14ac:dyDescent="0.3">
      <c r="A245">
        <v>244</v>
      </c>
      <c r="B245" t="s">
        <v>910</v>
      </c>
      <c r="C245" s="3">
        <v>76375</v>
      </c>
      <c r="D245" t="s">
        <v>666</v>
      </c>
      <c r="E245">
        <v>56</v>
      </c>
      <c r="F245" s="1">
        <v>45327</v>
      </c>
      <c r="G245" s="1" t="str">
        <f>TEXT(Table1[[#This Row],[Enrollment date]], "mmm")</f>
        <v>Feb</v>
      </c>
      <c r="H245" t="s">
        <v>360</v>
      </c>
      <c r="I245" t="s">
        <v>660</v>
      </c>
      <c r="J245" t="str">
        <f>_xlfn.XLOOKUP(Table1[[#This Row],[Course ]], CCF!B:B, CCF!A:A)</f>
        <v>DM101</v>
      </c>
      <c r="K245" t="s">
        <v>365</v>
      </c>
      <c r="L245">
        <f>_xlfn.XLOOKUP(K245, CCF!B:B, CCF!C:C)</f>
        <v>85499</v>
      </c>
      <c r="M245" t="s">
        <v>80</v>
      </c>
    </row>
    <row r="246" spans="1:13" x14ac:dyDescent="0.3">
      <c r="A246">
        <v>245</v>
      </c>
      <c r="B246" t="s">
        <v>911</v>
      </c>
      <c r="C246" s="3">
        <v>57186</v>
      </c>
      <c r="D246" t="s">
        <v>666</v>
      </c>
      <c r="E246">
        <v>27</v>
      </c>
      <c r="F246" s="1">
        <v>45327</v>
      </c>
      <c r="G246" s="1" t="str">
        <f>TEXT(Table1[[#This Row],[Enrollment date]], "mmm")</f>
        <v>Feb</v>
      </c>
      <c r="H246" t="s">
        <v>360</v>
      </c>
      <c r="I246" t="s">
        <v>662</v>
      </c>
      <c r="J246" t="str">
        <f>_xlfn.XLOOKUP(Table1[[#This Row],[Course ]], CCF!B:B, CCF!A:A)</f>
        <v>DA202</v>
      </c>
      <c r="K246" t="s">
        <v>363</v>
      </c>
      <c r="L246">
        <f>_xlfn.XLOOKUP(K246, CCF!B:B, CCF!C:C)</f>
        <v>79999</v>
      </c>
      <c r="M246" t="s">
        <v>16</v>
      </c>
    </row>
    <row r="247" spans="1:13" x14ac:dyDescent="0.3">
      <c r="A247">
        <v>246</v>
      </c>
      <c r="B247" t="s">
        <v>912</v>
      </c>
      <c r="C247" s="3">
        <v>33396</v>
      </c>
      <c r="D247" t="s">
        <v>666</v>
      </c>
      <c r="E247">
        <v>35</v>
      </c>
      <c r="F247" s="1">
        <v>45327</v>
      </c>
      <c r="G247" s="1" t="str">
        <f>TEXT(Table1[[#This Row],[Enrollment date]], "mmm")</f>
        <v>Feb</v>
      </c>
      <c r="H247" t="s">
        <v>3</v>
      </c>
      <c r="I247" t="s">
        <v>661</v>
      </c>
      <c r="J247" t="str">
        <f>_xlfn.XLOOKUP(Table1[[#This Row],[Course ]], CCF!B:B, CCF!A:A)</f>
        <v>UX401</v>
      </c>
      <c r="K247" t="s">
        <v>367</v>
      </c>
      <c r="L247">
        <f>_xlfn.XLOOKUP(K247, CCF!B:B, CCF!C:C)</f>
        <v>67990</v>
      </c>
      <c r="M247" t="s">
        <v>397</v>
      </c>
    </row>
    <row r="248" spans="1:13" x14ac:dyDescent="0.3">
      <c r="A248">
        <v>247</v>
      </c>
      <c r="B248" t="s">
        <v>913</v>
      </c>
      <c r="C248" s="3">
        <v>50568</v>
      </c>
      <c r="D248" t="s">
        <v>667</v>
      </c>
      <c r="E248">
        <v>29</v>
      </c>
      <c r="F248" s="1">
        <v>45327</v>
      </c>
      <c r="G248" s="1" t="str">
        <f>TEXT(Table1[[#This Row],[Enrollment date]], "mmm")</f>
        <v>Feb</v>
      </c>
      <c r="H248" t="s">
        <v>3</v>
      </c>
      <c r="I248" t="s">
        <v>661</v>
      </c>
      <c r="J248" t="str">
        <f>_xlfn.XLOOKUP(Table1[[#This Row],[Course ]], CCF!B:B, CCF!A:A)</f>
        <v>DA202</v>
      </c>
      <c r="K248" t="s">
        <v>363</v>
      </c>
      <c r="L248">
        <f>_xlfn.XLOOKUP(K248, CCF!B:B, CCF!C:C)</f>
        <v>79999</v>
      </c>
      <c r="M248" t="s">
        <v>38</v>
      </c>
    </row>
    <row r="249" spans="1:13" x14ac:dyDescent="0.3">
      <c r="A249">
        <v>248</v>
      </c>
      <c r="B249" t="s">
        <v>914</v>
      </c>
      <c r="C249" s="3">
        <v>29431</v>
      </c>
      <c r="D249" t="s">
        <v>666</v>
      </c>
      <c r="E249">
        <v>25</v>
      </c>
      <c r="F249" s="1">
        <v>45327</v>
      </c>
      <c r="G249" s="1" t="str">
        <f>TEXT(Table1[[#This Row],[Enrollment date]], "mmm")</f>
        <v>Feb</v>
      </c>
      <c r="H249" t="s">
        <v>360</v>
      </c>
      <c r="I249" t="s">
        <v>661</v>
      </c>
      <c r="J249" t="str">
        <f>_xlfn.XLOOKUP(Table1[[#This Row],[Course ]], CCF!B:B, CCF!A:A)</f>
        <v>DA202</v>
      </c>
      <c r="K249" t="s">
        <v>363</v>
      </c>
      <c r="L249">
        <f>_xlfn.XLOOKUP(K249, CCF!B:B, CCF!C:C)</f>
        <v>79999</v>
      </c>
      <c r="M249" t="s">
        <v>94</v>
      </c>
    </row>
    <row r="250" spans="1:13" x14ac:dyDescent="0.3">
      <c r="A250">
        <v>249</v>
      </c>
      <c r="B250" t="s">
        <v>915</v>
      </c>
      <c r="C250" s="3">
        <v>25057</v>
      </c>
      <c r="D250" t="s">
        <v>666</v>
      </c>
      <c r="E250">
        <v>39</v>
      </c>
      <c r="F250" s="1">
        <v>45327</v>
      </c>
      <c r="G250" s="1" t="str">
        <f>TEXT(Table1[[#This Row],[Enrollment date]], "mmm")</f>
        <v>Feb</v>
      </c>
      <c r="H250" t="s">
        <v>360</v>
      </c>
      <c r="I250" t="s">
        <v>661</v>
      </c>
      <c r="J250" t="str">
        <f>_xlfn.XLOOKUP(Table1[[#This Row],[Course ]], CCF!B:B, CCF!A:A)</f>
        <v>DA202</v>
      </c>
      <c r="K250" t="s">
        <v>363</v>
      </c>
      <c r="L250">
        <f>_xlfn.XLOOKUP(K250, CCF!B:B, CCF!C:C)</f>
        <v>79999</v>
      </c>
      <c r="M250" t="s">
        <v>27</v>
      </c>
    </row>
    <row r="251" spans="1:13" x14ac:dyDescent="0.3">
      <c r="A251">
        <v>250</v>
      </c>
      <c r="B251" t="s">
        <v>916</v>
      </c>
      <c r="C251" s="3">
        <v>23732</v>
      </c>
      <c r="D251" t="s">
        <v>666</v>
      </c>
      <c r="E251">
        <v>73</v>
      </c>
      <c r="F251" s="1">
        <v>45328</v>
      </c>
      <c r="G251" s="1" t="str">
        <f>TEXT(Table1[[#This Row],[Enrollment date]], "mmm")</f>
        <v>Feb</v>
      </c>
      <c r="H251" t="s">
        <v>360</v>
      </c>
      <c r="I251" t="s">
        <v>660</v>
      </c>
      <c r="J251" t="str">
        <f>_xlfn.XLOOKUP(Table1[[#This Row],[Course ]], CCF!B:B, CCF!A:A)</f>
        <v>BA301</v>
      </c>
      <c r="K251" t="s">
        <v>364</v>
      </c>
      <c r="L251">
        <f>_xlfn.XLOOKUP(K251, CCF!B:B, CCF!C:C)</f>
        <v>59999</v>
      </c>
      <c r="M251" t="s">
        <v>20</v>
      </c>
    </row>
    <row r="252" spans="1:13" x14ac:dyDescent="0.3">
      <c r="A252">
        <v>251</v>
      </c>
      <c r="B252" t="s">
        <v>917</v>
      </c>
      <c r="C252" s="3">
        <v>53311</v>
      </c>
      <c r="D252" t="s">
        <v>667</v>
      </c>
      <c r="E252">
        <v>44</v>
      </c>
      <c r="F252" s="1">
        <v>45328</v>
      </c>
      <c r="G252" s="1" t="str">
        <f>TEXT(Table1[[#This Row],[Enrollment date]], "mmm")</f>
        <v>Feb</v>
      </c>
      <c r="H252" t="s">
        <v>361</v>
      </c>
      <c r="I252" t="s">
        <v>659</v>
      </c>
      <c r="J252" t="str">
        <f>_xlfn.XLOOKUP(Table1[[#This Row],[Course ]], CCF!B:B, CCF!A:A)</f>
        <v>DM101</v>
      </c>
      <c r="K252" t="s">
        <v>365</v>
      </c>
      <c r="L252">
        <f>_xlfn.XLOOKUP(K252, CCF!B:B, CCF!C:C)</f>
        <v>85499</v>
      </c>
      <c r="M252" t="s">
        <v>398</v>
      </c>
    </row>
    <row r="253" spans="1:13" x14ac:dyDescent="0.3">
      <c r="A253">
        <v>252</v>
      </c>
      <c r="B253" t="s">
        <v>918</v>
      </c>
      <c r="C253" s="3">
        <v>37328</v>
      </c>
      <c r="D253" t="s">
        <v>666</v>
      </c>
      <c r="E253">
        <v>28</v>
      </c>
      <c r="F253" s="1">
        <v>45328</v>
      </c>
      <c r="G253" s="1" t="str">
        <f>TEXT(Table1[[#This Row],[Enrollment date]], "mmm")</f>
        <v>Feb</v>
      </c>
      <c r="H253" t="s">
        <v>360</v>
      </c>
      <c r="I253" t="s">
        <v>661</v>
      </c>
      <c r="J253" t="str">
        <f>_xlfn.XLOOKUP(Table1[[#This Row],[Course ]], CCF!B:B, CCF!A:A)</f>
        <v>UX401</v>
      </c>
      <c r="K253" t="s">
        <v>367</v>
      </c>
      <c r="L253">
        <f>_xlfn.XLOOKUP(K253, CCF!B:B, CCF!C:C)</f>
        <v>67990</v>
      </c>
      <c r="M253" t="s">
        <v>109</v>
      </c>
    </row>
    <row r="254" spans="1:13" x14ac:dyDescent="0.3">
      <c r="A254">
        <v>253</v>
      </c>
      <c r="B254" t="s">
        <v>919</v>
      </c>
      <c r="C254" s="3">
        <v>70111</v>
      </c>
      <c r="D254" t="s">
        <v>666</v>
      </c>
      <c r="E254">
        <v>18</v>
      </c>
      <c r="F254" s="1">
        <v>45328</v>
      </c>
      <c r="G254" s="1" t="str">
        <f>TEXT(Table1[[#This Row],[Enrollment date]], "mmm")</f>
        <v>Feb</v>
      </c>
      <c r="H254" t="s">
        <v>360</v>
      </c>
      <c r="I254" t="s">
        <v>660</v>
      </c>
      <c r="J254" t="str">
        <f>_xlfn.XLOOKUP(Table1[[#This Row],[Course ]], CCF!B:B, CCF!A:A)</f>
        <v>DA202</v>
      </c>
      <c r="K254" t="s">
        <v>363</v>
      </c>
      <c r="L254">
        <f>_xlfn.XLOOKUP(K254, CCF!B:B, CCF!C:C)</f>
        <v>79999</v>
      </c>
      <c r="M254" t="s">
        <v>20</v>
      </c>
    </row>
    <row r="255" spans="1:13" x14ac:dyDescent="0.3">
      <c r="A255">
        <v>254</v>
      </c>
      <c r="B255" t="s">
        <v>920</v>
      </c>
      <c r="C255" s="3">
        <v>33987</v>
      </c>
      <c r="D255" t="s">
        <v>666</v>
      </c>
      <c r="E255">
        <v>22</v>
      </c>
      <c r="F255" s="1">
        <v>45328</v>
      </c>
      <c r="G255" s="1" t="str">
        <f>TEXT(Table1[[#This Row],[Enrollment date]], "mmm")</f>
        <v>Feb</v>
      </c>
      <c r="H255" t="s">
        <v>360</v>
      </c>
      <c r="I255" t="s">
        <v>664</v>
      </c>
      <c r="J255" t="str">
        <f>_xlfn.XLOOKUP(Table1[[#This Row],[Course ]], CCF!B:B, CCF!A:A)</f>
        <v>FSD103</v>
      </c>
      <c r="K255" t="s">
        <v>366</v>
      </c>
      <c r="L255">
        <f>_xlfn.XLOOKUP(K255, CCF!B:B, CCF!C:C)</f>
        <v>109990</v>
      </c>
      <c r="M255" t="s">
        <v>194</v>
      </c>
    </row>
    <row r="256" spans="1:13" x14ac:dyDescent="0.3">
      <c r="A256">
        <v>255</v>
      </c>
      <c r="B256" t="s">
        <v>921</v>
      </c>
      <c r="C256" s="3">
        <v>49213</v>
      </c>
      <c r="D256" t="s">
        <v>667</v>
      </c>
      <c r="E256">
        <v>39</v>
      </c>
      <c r="F256" s="1">
        <v>45328</v>
      </c>
      <c r="G256" s="1" t="str">
        <f>TEXT(Table1[[#This Row],[Enrollment date]], "mmm")</f>
        <v>Feb</v>
      </c>
      <c r="H256" t="s">
        <v>360</v>
      </c>
      <c r="I256" t="s">
        <v>661</v>
      </c>
      <c r="J256" t="str">
        <f>_xlfn.XLOOKUP(Table1[[#This Row],[Course ]], CCF!B:B, CCF!A:A)</f>
        <v>DM101</v>
      </c>
      <c r="K256" t="s">
        <v>365</v>
      </c>
      <c r="L256">
        <f>_xlfn.XLOOKUP(K256, CCF!B:B, CCF!C:C)</f>
        <v>85499</v>
      </c>
      <c r="M256" t="s">
        <v>20</v>
      </c>
    </row>
    <row r="257" spans="1:13" x14ac:dyDescent="0.3">
      <c r="A257">
        <v>256</v>
      </c>
      <c r="B257" t="s">
        <v>922</v>
      </c>
      <c r="C257" s="3">
        <v>39174</v>
      </c>
      <c r="D257" t="s">
        <v>666</v>
      </c>
      <c r="E257">
        <v>42</v>
      </c>
      <c r="F257" s="1">
        <v>45329</v>
      </c>
      <c r="G257" s="1" t="str">
        <f>TEXT(Table1[[#This Row],[Enrollment date]], "mmm")</f>
        <v>Feb</v>
      </c>
      <c r="H257" t="s">
        <v>360</v>
      </c>
      <c r="I257" t="s">
        <v>659</v>
      </c>
      <c r="J257" t="str">
        <f>_xlfn.XLOOKUP(Table1[[#This Row],[Course ]], CCF!B:B, CCF!A:A)</f>
        <v>DA202</v>
      </c>
      <c r="K257" t="s">
        <v>363</v>
      </c>
      <c r="L257">
        <f>_xlfn.XLOOKUP(K257, CCF!B:B, CCF!C:C)</f>
        <v>79999</v>
      </c>
      <c r="M257" t="s">
        <v>6</v>
      </c>
    </row>
    <row r="258" spans="1:13" x14ac:dyDescent="0.3">
      <c r="A258">
        <v>257</v>
      </c>
      <c r="B258" t="s">
        <v>923</v>
      </c>
      <c r="C258" s="3">
        <v>24496</v>
      </c>
      <c r="D258" t="s">
        <v>666</v>
      </c>
      <c r="E258">
        <v>50</v>
      </c>
      <c r="F258" s="1">
        <v>45329</v>
      </c>
      <c r="G258" s="1" t="str">
        <f>TEXT(Table1[[#This Row],[Enrollment date]], "mmm")</f>
        <v>Feb</v>
      </c>
      <c r="H258" t="s">
        <v>360</v>
      </c>
      <c r="I258" t="s">
        <v>661</v>
      </c>
      <c r="J258" t="str">
        <f>_xlfn.XLOOKUP(Table1[[#This Row],[Course ]], CCF!B:B, CCF!A:A)</f>
        <v>DM101</v>
      </c>
      <c r="K258" t="s">
        <v>365</v>
      </c>
      <c r="L258">
        <f>_xlfn.XLOOKUP(K258, CCF!B:B, CCF!C:C)</f>
        <v>85499</v>
      </c>
      <c r="M258" t="s">
        <v>145</v>
      </c>
    </row>
    <row r="259" spans="1:13" x14ac:dyDescent="0.3">
      <c r="A259">
        <v>258</v>
      </c>
      <c r="B259" t="s">
        <v>924</v>
      </c>
      <c r="C259" s="3">
        <v>58974</v>
      </c>
      <c r="D259" t="s">
        <v>667</v>
      </c>
      <c r="E259">
        <v>27</v>
      </c>
      <c r="F259" s="1">
        <v>45329</v>
      </c>
      <c r="G259" s="1" t="str">
        <f>TEXT(Table1[[#This Row],[Enrollment date]], "mmm")</f>
        <v>Feb</v>
      </c>
      <c r="H259" t="s">
        <v>360</v>
      </c>
      <c r="I259" t="s">
        <v>665</v>
      </c>
      <c r="J259" t="str">
        <f>_xlfn.XLOOKUP(Table1[[#This Row],[Course ]], CCF!B:B, CCF!A:A)</f>
        <v>DA202</v>
      </c>
      <c r="K259" t="s">
        <v>363</v>
      </c>
      <c r="L259">
        <f>_xlfn.XLOOKUP(K259, CCF!B:B, CCF!C:C)</f>
        <v>79999</v>
      </c>
      <c r="M259" t="s">
        <v>399</v>
      </c>
    </row>
    <row r="260" spans="1:13" x14ac:dyDescent="0.3">
      <c r="A260">
        <v>259</v>
      </c>
      <c r="B260" t="s">
        <v>925</v>
      </c>
      <c r="C260" s="3">
        <v>25743</v>
      </c>
      <c r="D260" t="s">
        <v>666</v>
      </c>
      <c r="E260">
        <v>22</v>
      </c>
      <c r="F260" s="1">
        <v>45329</v>
      </c>
      <c r="G260" s="1" t="str">
        <f>TEXT(Table1[[#This Row],[Enrollment date]], "mmm")</f>
        <v>Feb</v>
      </c>
      <c r="H260" t="s">
        <v>360</v>
      </c>
      <c r="I260" t="s">
        <v>659</v>
      </c>
      <c r="J260" t="str">
        <f>_xlfn.XLOOKUP(Table1[[#This Row],[Course ]], CCF!B:B, CCF!A:A)</f>
        <v>DM101</v>
      </c>
      <c r="K260" t="s">
        <v>365</v>
      </c>
      <c r="L260">
        <f>_xlfn.XLOOKUP(K260, CCF!B:B, CCF!C:C)</f>
        <v>85499</v>
      </c>
      <c r="M260" t="s">
        <v>99</v>
      </c>
    </row>
    <row r="261" spans="1:13" x14ac:dyDescent="0.3">
      <c r="A261">
        <v>260</v>
      </c>
      <c r="B261" t="s">
        <v>926</v>
      </c>
      <c r="C261" s="3">
        <v>97572</v>
      </c>
      <c r="D261" t="s">
        <v>666</v>
      </c>
      <c r="E261">
        <v>26</v>
      </c>
      <c r="F261" s="1">
        <v>45329</v>
      </c>
      <c r="G261" s="1" t="str">
        <f>TEXT(Table1[[#This Row],[Enrollment date]], "mmm")</f>
        <v>Feb</v>
      </c>
      <c r="H261" t="s">
        <v>360</v>
      </c>
      <c r="I261" t="s">
        <v>660</v>
      </c>
      <c r="J261" t="str">
        <f>_xlfn.XLOOKUP(Table1[[#This Row],[Course ]], CCF!B:B, CCF!A:A)</f>
        <v>DA202</v>
      </c>
      <c r="K261" t="s">
        <v>363</v>
      </c>
      <c r="L261">
        <f>_xlfn.XLOOKUP(K261, CCF!B:B, CCF!C:C)</f>
        <v>79999</v>
      </c>
      <c r="M261" t="s">
        <v>12</v>
      </c>
    </row>
    <row r="262" spans="1:13" x14ac:dyDescent="0.3">
      <c r="A262">
        <v>261</v>
      </c>
      <c r="B262" t="s">
        <v>927</v>
      </c>
      <c r="C262" s="3">
        <v>38836</v>
      </c>
      <c r="D262" t="s">
        <v>666</v>
      </c>
      <c r="E262">
        <v>55</v>
      </c>
      <c r="F262" s="1">
        <v>45329</v>
      </c>
      <c r="G262" s="1" t="str">
        <f>TEXT(Table1[[#This Row],[Enrollment date]], "mmm")</f>
        <v>Feb</v>
      </c>
      <c r="H262" t="s">
        <v>360</v>
      </c>
      <c r="I262" t="s">
        <v>660</v>
      </c>
      <c r="J262" t="str">
        <f>_xlfn.XLOOKUP(Table1[[#This Row],[Course ]], CCF!B:B, CCF!A:A)</f>
        <v>DM101</v>
      </c>
      <c r="K262" t="s">
        <v>365</v>
      </c>
      <c r="L262">
        <f>_xlfn.XLOOKUP(K262, CCF!B:B, CCF!C:C)</f>
        <v>85499</v>
      </c>
      <c r="M262" t="s">
        <v>103</v>
      </c>
    </row>
    <row r="263" spans="1:13" x14ac:dyDescent="0.3">
      <c r="A263">
        <v>262</v>
      </c>
      <c r="B263" t="s">
        <v>928</v>
      </c>
      <c r="C263" s="3">
        <v>42312</v>
      </c>
      <c r="D263" t="s">
        <v>667</v>
      </c>
      <c r="E263">
        <v>34</v>
      </c>
      <c r="F263" s="1">
        <v>45330</v>
      </c>
      <c r="G263" s="1" t="str">
        <f>TEXT(Table1[[#This Row],[Enrollment date]], "mmm")</f>
        <v>Feb</v>
      </c>
      <c r="H263" t="s">
        <v>360</v>
      </c>
      <c r="I263" t="s">
        <v>659</v>
      </c>
      <c r="J263" t="str">
        <f>_xlfn.XLOOKUP(Table1[[#This Row],[Course ]], CCF!B:B, CCF!A:A)</f>
        <v>UX401</v>
      </c>
      <c r="K263" t="s">
        <v>367</v>
      </c>
      <c r="L263">
        <f>_xlfn.XLOOKUP(K263, CCF!B:B, CCF!C:C)</f>
        <v>67990</v>
      </c>
      <c r="M263" t="s">
        <v>9</v>
      </c>
    </row>
    <row r="264" spans="1:13" x14ac:dyDescent="0.3">
      <c r="A264">
        <v>263</v>
      </c>
      <c r="B264" t="s">
        <v>929</v>
      </c>
      <c r="C264" s="3">
        <v>48788</v>
      </c>
      <c r="D264" t="s">
        <v>667</v>
      </c>
      <c r="E264">
        <v>46</v>
      </c>
      <c r="F264" s="1">
        <v>45330</v>
      </c>
      <c r="G264" s="1" t="str">
        <f>TEXT(Table1[[#This Row],[Enrollment date]], "mmm")</f>
        <v>Feb</v>
      </c>
      <c r="H264" t="s">
        <v>360</v>
      </c>
      <c r="I264" t="s">
        <v>660</v>
      </c>
      <c r="J264" t="str">
        <f>_xlfn.XLOOKUP(Table1[[#This Row],[Course ]], CCF!B:B, CCF!A:A)</f>
        <v>BA301</v>
      </c>
      <c r="K264" t="s">
        <v>364</v>
      </c>
      <c r="L264">
        <f>_xlfn.XLOOKUP(K264, CCF!B:B, CCF!C:C)</f>
        <v>59999</v>
      </c>
      <c r="M264" t="s">
        <v>134</v>
      </c>
    </row>
    <row r="265" spans="1:13" x14ac:dyDescent="0.3">
      <c r="A265">
        <v>264</v>
      </c>
      <c r="B265" t="s">
        <v>930</v>
      </c>
      <c r="C265" s="3">
        <v>28379</v>
      </c>
      <c r="D265" t="s">
        <v>667</v>
      </c>
      <c r="E265">
        <v>76</v>
      </c>
      <c r="F265" s="1">
        <v>45330</v>
      </c>
      <c r="G265" s="1" t="str">
        <f>TEXT(Table1[[#This Row],[Enrollment date]], "mmm")</f>
        <v>Feb</v>
      </c>
      <c r="H265" t="s">
        <v>360</v>
      </c>
      <c r="I265" t="s">
        <v>659</v>
      </c>
      <c r="J265" t="str">
        <f>_xlfn.XLOOKUP(Table1[[#This Row],[Course ]], CCF!B:B, CCF!A:A)</f>
        <v>BA301</v>
      </c>
      <c r="K265" t="s">
        <v>364</v>
      </c>
      <c r="L265">
        <f>_xlfn.XLOOKUP(K265, CCF!B:B, CCF!C:C)</f>
        <v>59999</v>
      </c>
      <c r="M265" t="s">
        <v>16</v>
      </c>
    </row>
    <row r="266" spans="1:13" x14ac:dyDescent="0.3">
      <c r="A266">
        <v>265</v>
      </c>
      <c r="B266" t="s">
        <v>931</v>
      </c>
      <c r="C266" s="3">
        <v>83967</v>
      </c>
      <c r="D266" t="s">
        <v>666</v>
      </c>
      <c r="E266">
        <v>68</v>
      </c>
      <c r="F266" s="1">
        <v>45330</v>
      </c>
      <c r="G266" s="1" t="str">
        <f>TEXT(Table1[[#This Row],[Enrollment date]], "mmm")</f>
        <v>Feb</v>
      </c>
      <c r="H266" t="s">
        <v>360</v>
      </c>
      <c r="I266" t="s">
        <v>661</v>
      </c>
      <c r="J266" t="str">
        <f>_xlfn.XLOOKUP(Table1[[#This Row],[Course ]], CCF!B:B, CCF!A:A)</f>
        <v>DM101</v>
      </c>
      <c r="K266" t="s">
        <v>365</v>
      </c>
      <c r="L266">
        <f>_xlfn.XLOOKUP(K266, CCF!B:B, CCF!C:C)</f>
        <v>85499</v>
      </c>
      <c r="M266" t="s">
        <v>400</v>
      </c>
    </row>
    <row r="267" spans="1:13" x14ac:dyDescent="0.3">
      <c r="A267">
        <v>266</v>
      </c>
      <c r="B267" t="s">
        <v>932</v>
      </c>
      <c r="C267" s="3">
        <v>65515</v>
      </c>
      <c r="D267" t="s">
        <v>666</v>
      </c>
      <c r="E267">
        <v>34</v>
      </c>
      <c r="F267" s="1">
        <v>45330</v>
      </c>
      <c r="G267" s="1" t="str">
        <f>TEXT(Table1[[#This Row],[Enrollment date]], "mmm")</f>
        <v>Feb</v>
      </c>
      <c r="H267" t="s">
        <v>360</v>
      </c>
      <c r="I267" t="s">
        <v>660</v>
      </c>
      <c r="J267" t="str">
        <f>_xlfn.XLOOKUP(Table1[[#This Row],[Course ]], CCF!B:B, CCF!A:A)</f>
        <v>FSD103</v>
      </c>
      <c r="K267" t="s">
        <v>366</v>
      </c>
      <c r="L267">
        <f>_xlfn.XLOOKUP(K267, CCF!B:B, CCF!C:C)</f>
        <v>109990</v>
      </c>
      <c r="M267" t="s">
        <v>7</v>
      </c>
    </row>
    <row r="268" spans="1:13" x14ac:dyDescent="0.3">
      <c r="A268">
        <v>267</v>
      </c>
      <c r="B268" t="s">
        <v>933</v>
      </c>
      <c r="C268" s="3">
        <v>36378</v>
      </c>
      <c r="D268" t="s">
        <v>666</v>
      </c>
      <c r="E268">
        <v>73</v>
      </c>
      <c r="F268" s="1">
        <v>45330</v>
      </c>
      <c r="G268" s="1" t="str">
        <f>TEXT(Table1[[#This Row],[Enrollment date]], "mmm")</f>
        <v>Feb</v>
      </c>
      <c r="H268" t="s">
        <v>360</v>
      </c>
      <c r="I268" t="s">
        <v>663</v>
      </c>
      <c r="J268" t="str">
        <f>_xlfn.XLOOKUP(Table1[[#This Row],[Course ]], CCF!B:B, CCF!A:A)</f>
        <v>DM101</v>
      </c>
      <c r="K268" t="s">
        <v>365</v>
      </c>
      <c r="L268">
        <f>_xlfn.XLOOKUP(K268, CCF!B:B, CCF!C:C)</f>
        <v>85499</v>
      </c>
      <c r="M268" t="s">
        <v>209</v>
      </c>
    </row>
    <row r="269" spans="1:13" x14ac:dyDescent="0.3">
      <c r="A269">
        <v>268</v>
      </c>
      <c r="B269" t="s">
        <v>934</v>
      </c>
      <c r="C269" s="3">
        <v>11423</v>
      </c>
      <c r="D269" t="s">
        <v>667</v>
      </c>
      <c r="E269">
        <v>52</v>
      </c>
      <c r="F269" s="1">
        <v>45330</v>
      </c>
      <c r="G269" s="1" t="str">
        <f>TEXT(Table1[[#This Row],[Enrollment date]], "mmm")</f>
        <v>Feb</v>
      </c>
      <c r="H269" t="s">
        <v>360</v>
      </c>
      <c r="I269" t="s">
        <v>661</v>
      </c>
      <c r="J269" t="str">
        <f>_xlfn.XLOOKUP(Table1[[#This Row],[Course ]], CCF!B:B, CCF!A:A)</f>
        <v>BA301</v>
      </c>
      <c r="K269" t="s">
        <v>364</v>
      </c>
      <c r="L269">
        <f>_xlfn.XLOOKUP(K269, CCF!B:B, CCF!C:C)</f>
        <v>59999</v>
      </c>
      <c r="M269" t="s">
        <v>175</v>
      </c>
    </row>
    <row r="270" spans="1:13" x14ac:dyDescent="0.3">
      <c r="A270">
        <v>269</v>
      </c>
      <c r="B270" t="s">
        <v>935</v>
      </c>
      <c r="C270" s="3">
        <v>26488</v>
      </c>
      <c r="D270" t="s">
        <v>666</v>
      </c>
      <c r="E270">
        <v>33</v>
      </c>
      <c r="F270" s="1">
        <v>45330</v>
      </c>
      <c r="G270" s="1" t="str">
        <f>TEXT(Table1[[#This Row],[Enrollment date]], "mmm")</f>
        <v>Feb</v>
      </c>
      <c r="H270" t="s">
        <v>360</v>
      </c>
      <c r="I270" t="s">
        <v>660</v>
      </c>
      <c r="J270" t="str">
        <f>_xlfn.XLOOKUP(Table1[[#This Row],[Course ]], CCF!B:B, CCF!A:A)</f>
        <v>DA202</v>
      </c>
      <c r="K270" t="s">
        <v>363</v>
      </c>
      <c r="L270">
        <f>_xlfn.XLOOKUP(K270, CCF!B:B, CCF!C:C)</f>
        <v>79999</v>
      </c>
      <c r="M270" t="s">
        <v>106</v>
      </c>
    </row>
    <row r="271" spans="1:13" x14ac:dyDescent="0.3">
      <c r="A271">
        <v>270</v>
      </c>
      <c r="B271" t="s">
        <v>936</v>
      </c>
      <c r="C271" s="3">
        <v>55229</v>
      </c>
      <c r="D271" t="s">
        <v>667</v>
      </c>
      <c r="E271">
        <v>75</v>
      </c>
      <c r="F271" s="1">
        <v>45330</v>
      </c>
      <c r="G271" s="1" t="str">
        <f>TEXT(Table1[[#This Row],[Enrollment date]], "mmm")</f>
        <v>Feb</v>
      </c>
      <c r="H271" t="s">
        <v>360</v>
      </c>
      <c r="I271" t="s">
        <v>660</v>
      </c>
      <c r="J271" t="str">
        <f>_xlfn.XLOOKUP(Table1[[#This Row],[Course ]], CCF!B:B, CCF!A:A)</f>
        <v>DM101</v>
      </c>
      <c r="K271" t="s">
        <v>365</v>
      </c>
      <c r="L271">
        <f>_xlfn.XLOOKUP(K271, CCF!B:B, CCF!C:C)</f>
        <v>85499</v>
      </c>
      <c r="M271" t="s">
        <v>401</v>
      </c>
    </row>
    <row r="272" spans="1:13" x14ac:dyDescent="0.3">
      <c r="A272">
        <v>271</v>
      </c>
      <c r="B272" t="s">
        <v>937</v>
      </c>
      <c r="C272" s="3">
        <v>98339</v>
      </c>
      <c r="D272" t="s">
        <v>666</v>
      </c>
      <c r="E272">
        <v>27</v>
      </c>
      <c r="F272" s="1">
        <v>45330</v>
      </c>
      <c r="G272" s="1" t="str">
        <f>TEXT(Table1[[#This Row],[Enrollment date]], "mmm")</f>
        <v>Feb</v>
      </c>
      <c r="H272" t="s">
        <v>360</v>
      </c>
      <c r="I272" t="s">
        <v>660</v>
      </c>
      <c r="J272" t="str">
        <f>_xlfn.XLOOKUP(Table1[[#This Row],[Course ]], CCF!B:B, CCF!A:A)</f>
        <v>DA202</v>
      </c>
      <c r="K272" t="s">
        <v>363</v>
      </c>
      <c r="L272">
        <f>_xlfn.XLOOKUP(K272, CCF!B:B, CCF!C:C)</f>
        <v>79999</v>
      </c>
      <c r="M272" t="s">
        <v>28</v>
      </c>
    </row>
    <row r="273" spans="1:13" x14ac:dyDescent="0.3">
      <c r="A273">
        <v>272</v>
      </c>
      <c r="B273" t="s">
        <v>938</v>
      </c>
      <c r="C273" s="3">
        <v>50926</v>
      </c>
      <c r="D273" t="s">
        <v>666</v>
      </c>
      <c r="E273">
        <v>61</v>
      </c>
      <c r="F273" s="1">
        <v>45330</v>
      </c>
      <c r="G273" s="1" t="str">
        <f>TEXT(Table1[[#This Row],[Enrollment date]], "mmm")</f>
        <v>Feb</v>
      </c>
      <c r="H273" t="s">
        <v>360</v>
      </c>
      <c r="I273" t="s">
        <v>662</v>
      </c>
      <c r="J273" t="str">
        <f>_xlfn.XLOOKUP(Table1[[#This Row],[Course ]], CCF!B:B, CCF!A:A)</f>
        <v>DA202</v>
      </c>
      <c r="K273" t="s">
        <v>363</v>
      </c>
      <c r="L273">
        <f>_xlfn.XLOOKUP(K273, CCF!B:B, CCF!C:C)</f>
        <v>79999</v>
      </c>
      <c r="M273" t="s">
        <v>20</v>
      </c>
    </row>
    <row r="274" spans="1:13" x14ac:dyDescent="0.3">
      <c r="A274">
        <v>273</v>
      </c>
      <c r="B274" t="s">
        <v>939</v>
      </c>
      <c r="C274" s="3">
        <v>94953</v>
      </c>
      <c r="D274" t="s">
        <v>666</v>
      </c>
      <c r="E274">
        <v>43</v>
      </c>
      <c r="F274" s="1">
        <v>45330</v>
      </c>
      <c r="G274" s="1" t="str">
        <f>TEXT(Table1[[#This Row],[Enrollment date]], "mmm")</f>
        <v>Feb</v>
      </c>
      <c r="H274" t="s">
        <v>361</v>
      </c>
      <c r="I274" t="s">
        <v>659</v>
      </c>
      <c r="J274" t="str">
        <f>_xlfn.XLOOKUP(Table1[[#This Row],[Course ]], CCF!B:B, CCF!A:A)</f>
        <v>DM101</v>
      </c>
      <c r="K274" t="s">
        <v>365</v>
      </c>
      <c r="L274">
        <f>_xlfn.XLOOKUP(K274, CCF!B:B, CCF!C:C)</f>
        <v>85499</v>
      </c>
      <c r="M274" t="s">
        <v>16</v>
      </c>
    </row>
    <row r="275" spans="1:13" x14ac:dyDescent="0.3">
      <c r="A275">
        <v>274</v>
      </c>
      <c r="B275" t="s">
        <v>940</v>
      </c>
      <c r="C275" s="3">
        <v>89146</v>
      </c>
      <c r="D275" t="s">
        <v>666</v>
      </c>
      <c r="E275">
        <v>23</v>
      </c>
      <c r="F275" s="1">
        <v>45331</v>
      </c>
      <c r="G275" s="1" t="str">
        <f>TEXT(Table1[[#This Row],[Enrollment date]], "mmm")</f>
        <v>Feb</v>
      </c>
      <c r="H275" t="s">
        <v>360</v>
      </c>
      <c r="I275" t="s">
        <v>660</v>
      </c>
      <c r="J275" t="str">
        <f>_xlfn.XLOOKUP(Table1[[#This Row],[Course ]], CCF!B:B, CCF!A:A)</f>
        <v>DA202</v>
      </c>
      <c r="K275" t="s">
        <v>363</v>
      </c>
      <c r="L275">
        <f>_xlfn.XLOOKUP(K275, CCF!B:B, CCF!C:C)</f>
        <v>79999</v>
      </c>
      <c r="M275" t="s">
        <v>12</v>
      </c>
    </row>
    <row r="276" spans="1:13" x14ac:dyDescent="0.3">
      <c r="A276">
        <v>275</v>
      </c>
      <c r="B276" t="s">
        <v>941</v>
      </c>
      <c r="C276" s="3">
        <v>77737</v>
      </c>
      <c r="D276" t="s">
        <v>667</v>
      </c>
      <c r="E276">
        <v>41</v>
      </c>
      <c r="F276" s="1">
        <v>45331</v>
      </c>
      <c r="G276" s="1" t="str">
        <f>TEXT(Table1[[#This Row],[Enrollment date]], "mmm")</f>
        <v>Feb</v>
      </c>
      <c r="H276" t="s">
        <v>360</v>
      </c>
      <c r="I276" t="s">
        <v>661</v>
      </c>
      <c r="J276" t="str">
        <f>_xlfn.XLOOKUP(Table1[[#This Row],[Course ]], CCF!B:B, CCF!A:A)</f>
        <v>DA202</v>
      </c>
      <c r="K276" t="s">
        <v>363</v>
      </c>
      <c r="L276">
        <f>_xlfn.XLOOKUP(K276, CCF!B:B, CCF!C:C)</f>
        <v>79999</v>
      </c>
      <c r="M276" t="s">
        <v>65</v>
      </c>
    </row>
    <row r="277" spans="1:13" x14ac:dyDescent="0.3">
      <c r="A277">
        <v>276</v>
      </c>
      <c r="B277" t="s">
        <v>942</v>
      </c>
      <c r="C277" s="3">
        <v>86186</v>
      </c>
      <c r="D277" t="s">
        <v>666</v>
      </c>
      <c r="E277">
        <v>35</v>
      </c>
      <c r="F277" s="1">
        <v>45331</v>
      </c>
      <c r="G277" s="1" t="str">
        <f>TEXT(Table1[[#This Row],[Enrollment date]], "mmm")</f>
        <v>Feb</v>
      </c>
      <c r="H277" t="s">
        <v>360</v>
      </c>
      <c r="I277" t="s">
        <v>660</v>
      </c>
      <c r="J277" t="str">
        <f>_xlfn.XLOOKUP(Table1[[#This Row],[Course ]], CCF!B:B, CCF!A:A)</f>
        <v>DM101</v>
      </c>
      <c r="K277" t="s">
        <v>365</v>
      </c>
      <c r="L277">
        <f>_xlfn.XLOOKUP(K277, CCF!B:B, CCF!C:C)</f>
        <v>85499</v>
      </c>
      <c r="M277" t="s">
        <v>108</v>
      </c>
    </row>
    <row r="278" spans="1:13" x14ac:dyDescent="0.3">
      <c r="A278">
        <v>277</v>
      </c>
      <c r="B278" t="s">
        <v>943</v>
      </c>
      <c r="C278" s="3">
        <v>90481</v>
      </c>
      <c r="D278" t="s">
        <v>666</v>
      </c>
      <c r="E278">
        <v>49</v>
      </c>
      <c r="F278" s="1">
        <v>45331</v>
      </c>
      <c r="G278" s="1" t="str">
        <f>TEXT(Table1[[#This Row],[Enrollment date]], "mmm")</f>
        <v>Feb</v>
      </c>
      <c r="H278" t="s">
        <v>360</v>
      </c>
      <c r="I278" t="s">
        <v>665</v>
      </c>
      <c r="J278" t="str">
        <f>_xlfn.XLOOKUP(Table1[[#This Row],[Course ]], CCF!B:B, CCF!A:A)</f>
        <v>DA202</v>
      </c>
      <c r="K278" t="s">
        <v>363</v>
      </c>
      <c r="L278">
        <f>_xlfn.XLOOKUP(K278, CCF!B:B, CCF!C:C)</f>
        <v>79999</v>
      </c>
      <c r="M278" t="s">
        <v>114</v>
      </c>
    </row>
    <row r="279" spans="1:13" x14ac:dyDescent="0.3">
      <c r="A279">
        <v>278</v>
      </c>
      <c r="B279" t="s">
        <v>944</v>
      </c>
      <c r="C279" s="3">
        <v>77636</v>
      </c>
      <c r="D279" t="s">
        <v>666</v>
      </c>
      <c r="E279">
        <v>67</v>
      </c>
      <c r="F279" s="1">
        <v>45331</v>
      </c>
      <c r="G279" s="1" t="str">
        <f>TEXT(Table1[[#This Row],[Enrollment date]], "mmm")</f>
        <v>Feb</v>
      </c>
      <c r="H279" t="s">
        <v>360</v>
      </c>
      <c r="I279" t="s">
        <v>661</v>
      </c>
      <c r="J279" t="str">
        <f>_xlfn.XLOOKUP(Table1[[#This Row],[Course ]], CCF!B:B, CCF!A:A)</f>
        <v>DM101</v>
      </c>
      <c r="K279" t="s">
        <v>365</v>
      </c>
      <c r="L279">
        <f>_xlfn.XLOOKUP(K279, CCF!B:B, CCF!C:C)</f>
        <v>85499</v>
      </c>
      <c r="M279" t="s">
        <v>20</v>
      </c>
    </row>
    <row r="280" spans="1:13" x14ac:dyDescent="0.3">
      <c r="A280">
        <v>279</v>
      </c>
      <c r="B280" t="s">
        <v>945</v>
      </c>
      <c r="C280" s="3">
        <v>44911</v>
      </c>
      <c r="D280" t="s">
        <v>667</v>
      </c>
      <c r="E280">
        <v>63</v>
      </c>
      <c r="F280" s="1">
        <v>45331</v>
      </c>
      <c r="G280" s="1" t="str">
        <f>TEXT(Table1[[#This Row],[Enrollment date]], "mmm")</f>
        <v>Feb</v>
      </c>
      <c r="H280" t="s">
        <v>360</v>
      </c>
      <c r="I280" t="s">
        <v>660</v>
      </c>
      <c r="J280" t="str">
        <f>_xlfn.XLOOKUP(Table1[[#This Row],[Course ]], CCF!B:B, CCF!A:A)</f>
        <v>AI001</v>
      </c>
      <c r="K280" t="s">
        <v>368</v>
      </c>
      <c r="L280">
        <f>_xlfn.XLOOKUP(K280, CCF!B:B, CCF!C:C)</f>
        <v>119990</v>
      </c>
      <c r="M280" t="s">
        <v>37</v>
      </c>
    </row>
    <row r="281" spans="1:13" x14ac:dyDescent="0.3">
      <c r="A281">
        <v>280</v>
      </c>
      <c r="B281" t="s">
        <v>946</v>
      </c>
      <c r="C281" s="3">
        <v>14388</v>
      </c>
      <c r="D281" t="s">
        <v>666</v>
      </c>
      <c r="E281">
        <v>18</v>
      </c>
      <c r="F281" s="1">
        <v>45331</v>
      </c>
      <c r="G281" s="1" t="str">
        <f>TEXT(Table1[[#This Row],[Enrollment date]], "mmm")</f>
        <v>Feb</v>
      </c>
      <c r="H281" t="s">
        <v>360</v>
      </c>
      <c r="I281" t="s">
        <v>662</v>
      </c>
      <c r="J281" t="str">
        <f>_xlfn.XLOOKUP(Table1[[#This Row],[Course ]], CCF!B:B, CCF!A:A)</f>
        <v>BA301</v>
      </c>
      <c r="K281" t="s">
        <v>364</v>
      </c>
      <c r="L281">
        <f>_xlfn.XLOOKUP(K281, CCF!B:B, CCF!C:C)</f>
        <v>59999</v>
      </c>
      <c r="M281" t="s">
        <v>27</v>
      </c>
    </row>
    <row r="282" spans="1:13" x14ac:dyDescent="0.3">
      <c r="A282">
        <v>281</v>
      </c>
      <c r="B282" t="s">
        <v>947</v>
      </c>
      <c r="C282" s="3">
        <v>88380</v>
      </c>
      <c r="D282" t="s">
        <v>666</v>
      </c>
      <c r="E282">
        <v>34</v>
      </c>
      <c r="F282" s="1">
        <v>45331</v>
      </c>
      <c r="G282" s="1" t="str">
        <f>TEXT(Table1[[#This Row],[Enrollment date]], "mmm")</f>
        <v>Feb</v>
      </c>
      <c r="H282" t="s">
        <v>360</v>
      </c>
      <c r="I282" t="s">
        <v>665</v>
      </c>
      <c r="J282" t="str">
        <f>_xlfn.XLOOKUP(Table1[[#This Row],[Course ]], CCF!B:B, CCF!A:A)</f>
        <v>DA202</v>
      </c>
      <c r="K282" t="s">
        <v>363</v>
      </c>
      <c r="L282">
        <f>_xlfn.XLOOKUP(K282, CCF!B:B, CCF!C:C)</f>
        <v>79999</v>
      </c>
      <c r="M282" t="s">
        <v>133</v>
      </c>
    </row>
    <row r="283" spans="1:13" x14ac:dyDescent="0.3">
      <c r="A283">
        <v>282</v>
      </c>
      <c r="B283" t="s">
        <v>948</v>
      </c>
      <c r="C283" s="3">
        <v>86241</v>
      </c>
      <c r="D283" t="s">
        <v>667</v>
      </c>
      <c r="E283">
        <v>48</v>
      </c>
      <c r="F283" s="1">
        <v>45332</v>
      </c>
      <c r="G283" s="1" t="str">
        <f>TEXT(Table1[[#This Row],[Enrollment date]], "mmm")</f>
        <v>Feb</v>
      </c>
      <c r="H283" t="s">
        <v>360</v>
      </c>
      <c r="I283" t="s">
        <v>659</v>
      </c>
      <c r="J283" t="str">
        <f>_xlfn.XLOOKUP(Table1[[#This Row],[Course ]], CCF!B:B, CCF!A:A)</f>
        <v>DA202</v>
      </c>
      <c r="K283" t="s">
        <v>363</v>
      </c>
      <c r="L283">
        <f>_xlfn.XLOOKUP(K283, CCF!B:B, CCF!C:C)</f>
        <v>79999</v>
      </c>
      <c r="M283" t="s">
        <v>402</v>
      </c>
    </row>
    <row r="284" spans="1:13" x14ac:dyDescent="0.3">
      <c r="A284">
        <v>283</v>
      </c>
      <c r="B284" t="s">
        <v>949</v>
      </c>
      <c r="C284" s="3">
        <v>60383</v>
      </c>
      <c r="D284" t="s">
        <v>666</v>
      </c>
      <c r="E284">
        <v>43</v>
      </c>
      <c r="F284" s="1">
        <v>45332</v>
      </c>
      <c r="G284" s="1" t="str">
        <f>TEXT(Table1[[#This Row],[Enrollment date]], "mmm")</f>
        <v>Feb</v>
      </c>
      <c r="H284" t="s">
        <v>360</v>
      </c>
      <c r="I284" t="s">
        <v>661</v>
      </c>
      <c r="J284" t="str">
        <f>_xlfn.XLOOKUP(Table1[[#This Row],[Course ]], CCF!B:B, CCF!A:A)</f>
        <v>DA202</v>
      </c>
      <c r="K284" t="s">
        <v>363</v>
      </c>
      <c r="L284">
        <f>_xlfn.XLOOKUP(K284, CCF!B:B, CCF!C:C)</f>
        <v>79999</v>
      </c>
      <c r="M284" t="s">
        <v>9</v>
      </c>
    </row>
    <row r="285" spans="1:13" x14ac:dyDescent="0.3">
      <c r="A285">
        <v>284</v>
      </c>
      <c r="B285" t="s">
        <v>950</v>
      </c>
      <c r="C285" s="3">
        <v>23020</v>
      </c>
      <c r="D285" t="s">
        <v>667</v>
      </c>
      <c r="E285">
        <v>22</v>
      </c>
      <c r="F285" s="1">
        <v>45332</v>
      </c>
      <c r="G285" s="1" t="str">
        <f>TEXT(Table1[[#This Row],[Enrollment date]], "mmm")</f>
        <v>Feb</v>
      </c>
      <c r="H285" t="s">
        <v>360</v>
      </c>
      <c r="I285" t="s">
        <v>660</v>
      </c>
      <c r="J285" t="str">
        <f>_xlfn.XLOOKUP(Table1[[#This Row],[Course ]], CCF!B:B, CCF!A:A)</f>
        <v>BA301</v>
      </c>
      <c r="K285" t="s">
        <v>364</v>
      </c>
      <c r="L285">
        <f>_xlfn.XLOOKUP(K285, CCF!B:B, CCF!C:C)</f>
        <v>59999</v>
      </c>
      <c r="M285" t="s">
        <v>144</v>
      </c>
    </row>
    <row r="286" spans="1:13" x14ac:dyDescent="0.3">
      <c r="A286">
        <v>285</v>
      </c>
      <c r="B286" t="s">
        <v>951</v>
      </c>
      <c r="C286" s="3">
        <v>37010</v>
      </c>
      <c r="D286" t="s">
        <v>666</v>
      </c>
      <c r="E286">
        <v>64</v>
      </c>
      <c r="F286" s="1">
        <v>45333</v>
      </c>
      <c r="G286" s="1" t="str">
        <f>TEXT(Table1[[#This Row],[Enrollment date]], "mmm")</f>
        <v>Feb</v>
      </c>
      <c r="H286" t="s">
        <v>360</v>
      </c>
      <c r="I286" t="s">
        <v>660</v>
      </c>
      <c r="J286" t="str">
        <f>_xlfn.XLOOKUP(Table1[[#This Row],[Course ]], CCF!B:B, CCF!A:A)</f>
        <v>DM101</v>
      </c>
      <c r="K286" t="s">
        <v>365</v>
      </c>
      <c r="L286">
        <f>_xlfn.XLOOKUP(K286, CCF!B:B, CCF!C:C)</f>
        <v>85499</v>
      </c>
      <c r="M286" t="s">
        <v>16</v>
      </c>
    </row>
    <row r="287" spans="1:13" x14ac:dyDescent="0.3">
      <c r="A287">
        <v>286</v>
      </c>
      <c r="B287" t="s">
        <v>952</v>
      </c>
      <c r="C287" s="3">
        <v>82792</v>
      </c>
      <c r="D287" t="s">
        <v>667</v>
      </c>
      <c r="E287">
        <v>20</v>
      </c>
      <c r="F287" s="1">
        <v>45333</v>
      </c>
      <c r="G287" s="1" t="str">
        <f>TEXT(Table1[[#This Row],[Enrollment date]], "mmm")</f>
        <v>Feb</v>
      </c>
      <c r="H287" t="s">
        <v>360</v>
      </c>
      <c r="I287" t="s">
        <v>659</v>
      </c>
      <c r="J287" t="str">
        <f>_xlfn.XLOOKUP(Table1[[#This Row],[Course ]], CCF!B:B, CCF!A:A)</f>
        <v>DA202</v>
      </c>
      <c r="K287" t="s">
        <v>363</v>
      </c>
      <c r="L287">
        <f>_xlfn.XLOOKUP(K287, CCF!B:B, CCF!C:C)</f>
        <v>79999</v>
      </c>
      <c r="M287" t="s">
        <v>20</v>
      </c>
    </row>
    <row r="288" spans="1:13" x14ac:dyDescent="0.3">
      <c r="A288">
        <v>287</v>
      </c>
      <c r="B288" t="s">
        <v>953</v>
      </c>
      <c r="C288" s="3">
        <v>97654</v>
      </c>
      <c r="D288" t="s">
        <v>667</v>
      </c>
      <c r="E288">
        <v>22</v>
      </c>
      <c r="F288" s="1">
        <v>45333</v>
      </c>
      <c r="G288" s="1" t="str">
        <f>TEXT(Table1[[#This Row],[Enrollment date]], "mmm")</f>
        <v>Feb</v>
      </c>
      <c r="H288" t="s">
        <v>360</v>
      </c>
      <c r="I288" t="s">
        <v>665</v>
      </c>
      <c r="J288" t="str">
        <f>_xlfn.XLOOKUP(Table1[[#This Row],[Course ]], CCF!B:B, CCF!A:A)</f>
        <v>DM101</v>
      </c>
      <c r="K288" t="s">
        <v>365</v>
      </c>
      <c r="L288">
        <f>_xlfn.XLOOKUP(K288, CCF!B:B, CCF!C:C)</f>
        <v>85499</v>
      </c>
      <c r="M288" t="s">
        <v>135</v>
      </c>
    </row>
    <row r="289" spans="1:13" x14ac:dyDescent="0.3">
      <c r="A289">
        <v>288</v>
      </c>
      <c r="B289" t="s">
        <v>954</v>
      </c>
      <c r="C289" s="3">
        <v>43090</v>
      </c>
      <c r="D289" t="s">
        <v>666</v>
      </c>
      <c r="E289">
        <v>34</v>
      </c>
      <c r="F289" s="1">
        <v>45333</v>
      </c>
      <c r="G289" s="1" t="str">
        <f>TEXT(Table1[[#This Row],[Enrollment date]], "mmm")</f>
        <v>Feb</v>
      </c>
      <c r="H289" t="s">
        <v>360</v>
      </c>
      <c r="I289" t="s">
        <v>659</v>
      </c>
      <c r="J289" t="str">
        <f>_xlfn.XLOOKUP(Table1[[#This Row],[Course ]], CCF!B:B, CCF!A:A)</f>
        <v>DM101</v>
      </c>
      <c r="K289" t="s">
        <v>365</v>
      </c>
      <c r="L289">
        <f>_xlfn.XLOOKUP(K289, CCF!B:B, CCF!C:C)</f>
        <v>85499</v>
      </c>
      <c r="M289" t="s">
        <v>9</v>
      </c>
    </row>
    <row r="290" spans="1:13" x14ac:dyDescent="0.3">
      <c r="A290">
        <v>289</v>
      </c>
      <c r="B290" t="s">
        <v>955</v>
      </c>
      <c r="C290" s="3">
        <v>57823</v>
      </c>
      <c r="D290" t="s">
        <v>666</v>
      </c>
      <c r="E290">
        <v>29</v>
      </c>
      <c r="F290" s="1">
        <v>45333</v>
      </c>
      <c r="G290" s="1" t="str">
        <f>TEXT(Table1[[#This Row],[Enrollment date]], "mmm")</f>
        <v>Feb</v>
      </c>
      <c r="H290" t="s">
        <v>360</v>
      </c>
      <c r="I290" t="s">
        <v>660</v>
      </c>
      <c r="J290" t="str">
        <f>_xlfn.XLOOKUP(Table1[[#This Row],[Course ]], CCF!B:B, CCF!A:A)</f>
        <v>DA202</v>
      </c>
      <c r="K290" t="s">
        <v>363</v>
      </c>
      <c r="L290">
        <f>_xlfn.XLOOKUP(K290, CCF!B:B, CCF!C:C)</f>
        <v>79999</v>
      </c>
      <c r="M290" t="s">
        <v>20</v>
      </c>
    </row>
    <row r="291" spans="1:13" x14ac:dyDescent="0.3">
      <c r="A291">
        <v>290</v>
      </c>
      <c r="B291" t="s">
        <v>956</v>
      </c>
      <c r="C291" s="3">
        <v>42295</v>
      </c>
      <c r="D291" t="s">
        <v>667</v>
      </c>
      <c r="E291">
        <v>47</v>
      </c>
      <c r="F291" s="1">
        <v>45333</v>
      </c>
      <c r="G291" s="1" t="str">
        <f>TEXT(Table1[[#This Row],[Enrollment date]], "mmm")</f>
        <v>Feb</v>
      </c>
      <c r="H291" t="s">
        <v>360</v>
      </c>
      <c r="I291" t="s">
        <v>660</v>
      </c>
      <c r="J291" t="str">
        <f>_xlfn.XLOOKUP(Table1[[#This Row],[Course ]], CCF!B:B, CCF!A:A)</f>
        <v>BA301</v>
      </c>
      <c r="K291" t="s">
        <v>364</v>
      </c>
      <c r="L291">
        <f>_xlfn.XLOOKUP(K291, CCF!B:B, CCF!C:C)</f>
        <v>59999</v>
      </c>
      <c r="M291" t="s">
        <v>403</v>
      </c>
    </row>
    <row r="292" spans="1:13" x14ac:dyDescent="0.3">
      <c r="A292">
        <v>291</v>
      </c>
      <c r="B292" t="s">
        <v>957</v>
      </c>
      <c r="C292" s="3">
        <v>53871</v>
      </c>
      <c r="D292" t="s">
        <v>667</v>
      </c>
      <c r="E292">
        <v>43</v>
      </c>
      <c r="F292" s="1">
        <v>45333</v>
      </c>
      <c r="G292" s="1" t="str">
        <f>TEXT(Table1[[#This Row],[Enrollment date]], "mmm")</f>
        <v>Feb</v>
      </c>
      <c r="H292" t="s">
        <v>360</v>
      </c>
      <c r="I292" t="s">
        <v>660</v>
      </c>
      <c r="J292" t="str">
        <f>_xlfn.XLOOKUP(Table1[[#This Row],[Course ]], CCF!B:B, CCF!A:A)</f>
        <v>DM101</v>
      </c>
      <c r="K292" t="s">
        <v>365</v>
      </c>
      <c r="L292">
        <f>_xlfn.XLOOKUP(K292, CCF!B:B, CCF!C:C)</f>
        <v>85499</v>
      </c>
      <c r="M292" t="s">
        <v>236</v>
      </c>
    </row>
    <row r="293" spans="1:13" x14ac:dyDescent="0.3">
      <c r="A293">
        <v>292</v>
      </c>
      <c r="B293" t="s">
        <v>958</v>
      </c>
      <c r="C293" s="3">
        <v>24910</v>
      </c>
      <c r="D293" t="s">
        <v>666</v>
      </c>
      <c r="E293">
        <v>25</v>
      </c>
      <c r="F293" s="1">
        <v>45333</v>
      </c>
      <c r="G293" s="1" t="str">
        <f>TEXT(Table1[[#This Row],[Enrollment date]], "mmm")</f>
        <v>Feb</v>
      </c>
      <c r="H293" t="s">
        <v>360</v>
      </c>
      <c r="I293" t="s">
        <v>659</v>
      </c>
      <c r="J293" t="str">
        <f>_xlfn.XLOOKUP(Table1[[#This Row],[Course ]], CCF!B:B, CCF!A:A)</f>
        <v>DA202</v>
      </c>
      <c r="K293" t="s">
        <v>363</v>
      </c>
      <c r="L293">
        <f>_xlfn.XLOOKUP(K293, CCF!B:B, CCF!C:C)</f>
        <v>79999</v>
      </c>
      <c r="M293" t="s">
        <v>86</v>
      </c>
    </row>
    <row r="294" spans="1:13" x14ac:dyDescent="0.3">
      <c r="A294">
        <v>293</v>
      </c>
      <c r="B294" t="s">
        <v>959</v>
      </c>
      <c r="C294" s="3">
        <v>43256</v>
      </c>
      <c r="D294" t="s">
        <v>666</v>
      </c>
      <c r="E294">
        <v>33</v>
      </c>
      <c r="F294" s="1">
        <v>45334</v>
      </c>
      <c r="G294" s="1" t="str">
        <f>TEXT(Table1[[#This Row],[Enrollment date]], "mmm")</f>
        <v>Feb</v>
      </c>
      <c r="H294" t="s">
        <v>360</v>
      </c>
      <c r="I294" t="s">
        <v>660</v>
      </c>
      <c r="J294" t="str">
        <f>_xlfn.XLOOKUP(Table1[[#This Row],[Course ]], CCF!B:B, CCF!A:A)</f>
        <v>DM101</v>
      </c>
      <c r="K294" t="s">
        <v>365</v>
      </c>
      <c r="L294">
        <f>_xlfn.XLOOKUP(K294, CCF!B:B, CCF!C:C)</f>
        <v>85499</v>
      </c>
      <c r="M294" t="s">
        <v>21</v>
      </c>
    </row>
    <row r="295" spans="1:13" x14ac:dyDescent="0.3">
      <c r="A295">
        <v>294</v>
      </c>
      <c r="B295" t="s">
        <v>960</v>
      </c>
      <c r="C295" s="3">
        <v>34285</v>
      </c>
      <c r="D295" t="s">
        <v>667</v>
      </c>
      <c r="E295">
        <v>25</v>
      </c>
      <c r="F295" s="1">
        <v>45334</v>
      </c>
      <c r="G295" s="1" t="str">
        <f>TEXT(Table1[[#This Row],[Enrollment date]], "mmm")</f>
        <v>Feb</v>
      </c>
      <c r="H295" t="s">
        <v>360</v>
      </c>
      <c r="I295" t="s">
        <v>659</v>
      </c>
      <c r="J295" t="str">
        <f>_xlfn.XLOOKUP(Table1[[#This Row],[Course ]], CCF!B:B, CCF!A:A)</f>
        <v>DA202</v>
      </c>
      <c r="K295" t="s">
        <v>363</v>
      </c>
      <c r="L295">
        <f>_xlfn.XLOOKUP(K295, CCF!B:B, CCF!C:C)</f>
        <v>79999</v>
      </c>
      <c r="M295" t="s">
        <v>80</v>
      </c>
    </row>
    <row r="296" spans="1:13" x14ac:dyDescent="0.3">
      <c r="A296">
        <v>295</v>
      </c>
      <c r="B296" t="s">
        <v>961</v>
      </c>
      <c r="C296" s="3">
        <v>75074</v>
      </c>
      <c r="D296" t="s">
        <v>666</v>
      </c>
      <c r="E296">
        <v>27</v>
      </c>
      <c r="F296" s="1">
        <v>45334</v>
      </c>
      <c r="G296" s="1" t="str">
        <f>TEXT(Table1[[#This Row],[Enrollment date]], "mmm")</f>
        <v>Feb</v>
      </c>
      <c r="H296" t="s">
        <v>360</v>
      </c>
      <c r="I296" t="s">
        <v>661</v>
      </c>
      <c r="J296" t="str">
        <f>_xlfn.XLOOKUP(Table1[[#This Row],[Course ]], CCF!B:B, CCF!A:A)</f>
        <v>DM101</v>
      </c>
      <c r="K296" t="s">
        <v>365</v>
      </c>
      <c r="L296">
        <f>_xlfn.XLOOKUP(K296, CCF!B:B, CCF!C:C)</f>
        <v>85499</v>
      </c>
      <c r="M296" t="s">
        <v>9</v>
      </c>
    </row>
    <row r="297" spans="1:13" x14ac:dyDescent="0.3">
      <c r="A297">
        <v>296</v>
      </c>
      <c r="B297" t="s">
        <v>962</v>
      </c>
      <c r="C297" s="3">
        <v>34460</v>
      </c>
      <c r="D297" t="s">
        <v>667</v>
      </c>
      <c r="E297">
        <v>28</v>
      </c>
      <c r="F297" s="1">
        <v>45334</v>
      </c>
      <c r="G297" s="1" t="str">
        <f>TEXT(Table1[[#This Row],[Enrollment date]], "mmm")</f>
        <v>Feb</v>
      </c>
      <c r="H297" t="s">
        <v>360</v>
      </c>
      <c r="I297" t="s">
        <v>664</v>
      </c>
      <c r="J297" t="str">
        <f>_xlfn.XLOOKUP(Table1[[#This Row],[Course ]], CCF!B:B, CCF!A:A)</f>
        <v>DM101</v>
      </c>
      <c r="K297" t="s">
        <v>365</v>
      </c>
      <c r="L297">
        <f>_xlfn.XLOOKUP(K297, CCF!B:B, CCF!C:C)</f>
        <v>85499</v>
      </c>
      <c r="M297" t="s">
        <v>309</v>
      </c>
    </row>
    <row r="298" spans="1:13" x14ac:dyDescent="0.3">
      <c r="A298">
        <v>297</v>
      </c>
      <c r="B298" t="s">
        <v>963</v>
      </c>
      <c r="C298" s="3">
        <v>63336</v>
      </c>
      <c r="D298" t="s">
        <v>667</v>
      </c>
      <c r="E298">
        <v>37</v>
      </c>
      <c r="F298" s="1">
        <v>45334</v>
      </c>
      <c r="G298" s="1" t="str">
        <f>TEXT(Table1[[#This Row],[Enrollment date]], "mmm")</f>
        <v>Feb</v>
      </c>
      <c r="H298" t="s">
        <v>360</v>
      </c>
      <c r="I298" t="s">
        <v>659</v>
      </c>
      <c r="J298" t="str">
        <f>_xlfn.XLOOKUP(Table1[[#This Row],[Course ]], CCF!B:B, CCF!A:A)</f>
        <v>DM101</v>
      </c>
      <c r="K298" t="s">
        <v>365</v>
      </c>
      <c r="L298">
        <f>_xlfn.XLOOKUP(K298, CCF!B:B, CCF!C:C)</f>
        <v>85499</v>
      </c>
      <c r="M298" t="s">
        <v>62</v>
      </c>
    </row>
    <row r="299" spans="1:13" x14ac:dyDescent="0.3">
      <c r="A299">
        <v>298</v>
      </c>
      <c r="B299" t="s">
        <v>964</v>
      </c>
      <c r="C299" s="3">
        <v>50148</v>
      </c>
      <c r="D299" t="s">
        <v>666</v>
      </c>
      <c r="E299">
        <v>19</v>
      </c>
      <c r="F299" s="1">
        <v>45334</v>
      </c>
      <c r="G299" s="1" t="str">
        <f>TEXT(Table1[[#This Row],[Enrollment date]], "mmm")</f>
        <v>Feb</v>
      </c>
      <c r="H299" t="s">
        <v>360</v>
      </c>
      <c r="I299" t="s">
        <v>661</v>
      </c>
      <c r="J299" t="str">
        <f>_xlfn.XLOOKUP(Table1[[#This Row],[Course ]], CCF!B:B, CCF!A:A)</f>
        <v>BA301</v>
      </c>
      <c r="K299" t="s">
        <v>364</v>
      </c>
      <c r="L299">
        <f>_xlfn.XLOOKUP(K299, CCF!B:B, CCF!C:C)</f>
        <v>59999</v>
      </c>
      <c r="M299" t="s">
        <v>28</v>
      </c>
    </row>
    <row r="300" spans="1:13" x14ac:dyDescent="0.3">
      <c r="A300">
        <v>299</v>
      </c>
      <c r="B300" t="s">
        <v>965</v>
      </c>
      <c r="C300" s="3">
        <v>15324</v>
      </c>
      <c r="D300" t="s">
        <v>666</v>
      </c>
      <c r="E300">
        <v>32</v>
      </c>
      <c r="F300" s="1">
        <v>45335</v>
      </c>
      <c r="G300" s="1" t="str">
        <f>TEXT(Table1[[#This Row],[Enrollment date]], "mmm")</f>
        <v>Feb</v>
      </c>
      <c r="H300" t="s">
        <v>360</v>
      </c>
      <c r="I300" t="s">
        <v>659</v>
      </c>
      <c r="J300" t="str">
        <f>_xlfn.XLOOKUP(Table1[[#This Row],[Course ]], CCF!B:B, CCF!A:A)</f>
        <v>DM101</v>
      </c>
      <c r="K300" t="s">
        <v>365</v>
      </c>
      <c r="L300">
        <f>_xlfn.XLOOKUP(K300, CCF!B:B, CCF!C:C)</f>
        <v>85499</v>
      </c>
      <c r="M300" t="s">
        <v>213</v>
      </c>
    </row>
    <row r="301" spans="1:13" x14ac:dyDescent="0.3">
      <c r="A301">
        <v>300</v>
      </c>
      <c r="B301" t="s">
        <v>966</v>
      </c>
      <c r="C301" s="3">
        <v>99198</v>
      </c>
      <c r="D301" t="s">
        <v>666</v>
      </c>
      <c r="E301">
        <v>24</v>
      </c>
      <c r="F301" s="1">
        <v>45335</v>
      </c>
      <c r="G301" s="1" t="str">
        <f>TEXT(Table1[[#This Row],[Enrollment date]], "mmm")</f>
        <v>Feb</v>
      </c>
      <c r="H301" t="s">
        <v>360</v>
      </c>
      <c r="I301" t="s">
        <v>659</v>
      </c>
      <c r="J301" t="str">
        <f>_xlfn.XLOOKUP(Table1[[#This Row],[Course ]], CCF!B:B, CCF!A:A)</f>
        <v>DA202</v>
      </c>
      <c r="K301" t="s">
        <v>363</v>
      </c>
      <c r="L301">
        <f>_xlfn.XLOOKUP(K301, CCF!B:B, CCF!C:C)</f>
        <v>79999</v>
      </c>
      <c r="M301" t="s">
        <v>18</v>
      </c>
    </row>
    <row r="302" spans="1:13" x14ac:dyDescent="0.3">
      <c r="A302">
        <v>301</v>
      </c>
      <c r="B302" t="s">
        <v>967</v>
      </c>
      <c r="C302" s="3">
        <v>50084</v>
      </c>
      <c r="D302" t="s">
        <v>666</v>
      </c>
      <c r="E302">
        <v>67</v>
      </c>
      <c r="F302" s="1">
        <v>45335</v>
      </c>
      <c r="G302" s="1" t="str">
        <f>TEXT(Table1[[#This Row],[Enrollment date]], "mmm")</f>
        <v>Feb</v>
      </c>
      <c r="H302" t="s">
        <v>360</v>
      </c>
      <c r="I302" t="s">
        <v>660</v>
      </c>
      <c r="J302" t="str">
        <f>_xlfn.XLOOKUP(Table1[[#This Row],[Course ]], CCF!B:B, CCF!A:A)</f>
        <v>DM101</v>
      </c>
      <c r="K302" t="s">
        <v>365</v>
      </c>
      <c r="L302">
        <f>_xlfn.XLOOKUP(K302, CCF!B:B, CCF!C:C)</f>
        <v>85499</v>
      </c>
      <c r="M302" t="s">
        <v>404</v>
      </c>
    </row>
    <row r="303" spans="1:13" x14ac:dyDescent="0.3">
      <c r="A303">
        <v>302</v>
      </c>
      <c r="B303" t="s">
        <v>968</v>
      </c>
      <c r="C303" s="3">
        <v>95721</v>
      </c>
      <c r="D303" t="s">
        <v>666</v>
      </c>
      <c r="E303">
        <v>46</v>
      </c>
      <c r="F303" s="1">
        <v>45335</v>
      </c>
      <c r="G303" s="1" t="str">
        <f>TEXT(Table1[[#This Row],[Enrollment date]], "mmm")</f>
        <v>Feb</v>
      </c>
      <c r="H303" t="s">
        <v>360</v>
      </c>
      <c r="I303" t="s">
        <v>659</v>
      </c>
      <c r="J303" t="str">
        <f>_xlfn.XLOOKUP(Table1[[#This Row],[Course ]], CCF!B:B, CCF!A:A)</f>
        <v>DM101</v>
      </c>
      <c r="K303" t="s">
        <v>365</v>
      </c>
      <c r="L303">
        <f>_xlfn.XLOOKUP(K303, CCF!B:B, CCF!C:C)</f>
        <v>85499</v>
      </c>
      <c r="M303" t="s">
        <v>50</v>
      </c>
    </row>
    <row r="304" spans="1:13" x14ac:dyDescent="0.3">
      <c r="A304">
        <v>303</v>
      </c>
      <c r="B304" t="s">
        <v>969</v>
      </c>
      <c r="C304" s="3">
        <v>44868</v>
      </c>
      <c r="D304" t="s">
        <v>667</v>
      </c>
      <c r="E304">
        <v>30</v>
      </c>
      <c r="F304" s="1">
        <v>45335</v>
      </c>
      <c r="G304" s="1" t="str">
        <f>TEXT(Table1[[#This Row],[Enrollment date]], "mmm")</f>
        <v>Feb</v>
      </c>
      <c r="H304" t="s">
        <v>360</v>
      </c>
      <c r="I304" t="s">
        <v>660</v>
      </c>
      <c r="J304" t="str">
        <f>_xlfn.XLOOKUP(Table1[[#This Row],[Course ]], CCF!B:B, CCF!A:A)</f>
        <v>DA202</v>
      </c>
      <c r="K304" t="s">
        <v>363</v>
      </c>
      <c r="L304">
        <f>_xlfn.XLOOKUP(K304, CCF!B:B, CCF!C:C)</f>
        <v>79999</v>
      </c>
      <c r="M304" t="s">
        <v>2</v>
      </c>
    </row>
    <row r="305" spans="1:13" x14ac:dyDescent="0.3">
      <c r="A305">
        <v>304</v>
      </c>
      <c r="B305" t="s">
        <v>970</v>
      </c>
      <c r="C305" s="3">
        <v>41076</v>
      </c>
      <c r="D305" t="s">
        <v>666</v>
      </c>
      <c r="E305">
        <v>75</v>
      </c>
      <c r="F305" s="1">
        <v>45335</v>
      </c>
      <c r="G305" s="1" t="str">
        <f>TEXT(Table1[[#This Row],[Enrollment date]], "mmm")</f>
        <v>Feb</v>
      </c>
      <c r="H305" t="s">
        <v>360</v>
      </c>
      <c r="I305" t="s">
        <v>659</v>
      </c>
      <c r="J305" t="str">
        <f>_xlfn.XLOOKUP(Table1[[#This Row],[Course ]], CCF!B:B, CCF!A:A)</f>
        <v>BA301</v>
      </c>
      <c r="K305" t="s">
        <v>364</v>
      </c>
      <c r="L305">
        <f>_xlfn.XLOOKUP(K305, CCF!B:B, CCF!C:C)</f>
        <v>59999</v>
      </c>
      <c r="M305" t="s">
        <v>20</v>
      </c>
    </row>
    <row r="306" spans="1:13" x14ac:dyDescent="0.3">
      <c r="A306">
        <v>305</v>
      </c>
      <c r="B306" t="s">
        <v>971</v>
      </c>
      <c r="C306" s="3">
        <v>99418</v>
      </c>
      <c r="D306" t="s">
        <v>666</v>
      </c>
      <c r="E306">
        <v>41</v>
      </c>
      <c r="F306" s="1">
        <v>45335</v>
      </c>
      <c r="G306" s="1" t="str">
        <f>TEXT(Table1[[#This Row],[Enrollment date]], "mmm")</f>
        <v>Feb</v>
      </c>
      <c r="H306" t="s">
        <v>360</v>
      </c>
      <c r="I306" t="s">
        <v>661</v>
      </c>
      <c r="J306" t="str">
        <f>_xlfn.XLOOKUP(Table1[[#This Row],[Course ]], CCF!B:B, CCF!A:A)</f>
        <v>DA202</v>
      </c>
      <c r="K306" t="s">
        <v>363</v>
      </c>
      <c r="L306">
        <f>_xlfn.XLOOKUP(K306, CCF!B:B, CCF!C:C)</f>
        <v>79999</v>
      </c>
      <c r="M306" t="s">
        <v>53</v>
      </c>
    </row>
    <row r="307" spans="1:13" x14ac:dyDescent="0.3">
      <c r="A307">
        <v>306</v>
      </c>
      <c r="B307" t="s">
        <v>972</v>
      </c>
      <c r="C307" s="3">
        <v>32167</v>
      </c>
      <c r="D307" t="s">
        <v>666</v>
      </c>
      <c r="E307">
        <v>22</v>
      </c>
      <c r="F307" s="1">
        <v>45335</v>
      </c>
      <c r="G307" s="1" t="str">
        <f>TEXT(Table1[[#This Row],[Enrollment date]], "mmm")</f>
        <v>Feb</v>
      </c>
      <c r="H307" t="s">
        <v>3</v>
      </c>
      <c r="I307" t="s">
        <v>661</v>
      </c>
      <c r="J307" t="str">
        <f>_xlfn.XLOOKUP(Table1[[#This Row],[Course ]], CCF!B:B, CCF!A:A)</f>
        <v>BA301</v>
      </c>
      <c r="K307" t="s">
        <v>364</v>
      </c>
      <c r="L307">
        <f>_xlfn.XLOOKUP(K307, CCF!B:B, CCF!C:C)</f>
        <v>59999</v>
      </c>
      <c r="M307" t="s">
        <v>106</v>
      </c>
    </row>
    <row r="308" spans="1:13" x14ac:dyDescent="0.3">
      <c r="A308">
        <v>307</v>
      </c>
      <c r="B308" t="s">
        <v>973</v>
      </c>
      <c r="C308" s="3">
        <v>54177</v>
      </c>
      <c r="D308" t="s">
        <v>666</v>
      </c>
      <c r="E308">
        <v>22</v>
      </c>
      <c r="F308" s="1">
        <v>45335</v>
      </c>
      <c r="G308" s="1" t="str">
        <f>TEXT(Table1[[#This Row],[Enrollment date]], "mmm")</f>
        <v>Feb</v>
      </c>
      <c r="H308" t="s">
        <v>360</v>
      </c>
      <c r="I308" t="s">
        <v>661</v>
      </c>
      <c r="J308" t="str">
        <f>_xlfn.XLOOKUP(Table1[[#This Row],[Course ]], CCF!B:B, CCF!A:A)</f>
        <v>BA301</v>
      </c>
      <c r="K308" t="s">
        <v>364</v>
      </c>
      <c r="L308">
        <f>_xlfn.XLOOKUP(K308, CCF!B:B, CCF!C:C)</f>
        <v>59999</v>
      </c>
      <c r="M308" t="s">
        <v>151</v>
      </c>
    </row>
    <row r="309" spans="1:13" x14ac:dyDescent="0.3">
      <c r="A309">
        <v>308</v>
      </c>
      <c r="B309" t="s">
        <v>974</v>
      </c>
      <c r="C309" s="3">
        <v>52264</v>
      </c>
      <c r="D309" t="s">
        <v>666</v>
      </c>
      <c r="E309">
        <v>59</v>
      </c>
      <c r="F309" s="1">
        <v>45335</v>
      </c>
      <c r="G309" s="1" t="str">
        <f>TEXT(Table1[[#This Row],[Enrollment date]], "mmm")</f>
        <v>Feb</v>
      </c>
      <c r="H309" t="s">
        <v>360</v>
      </c>
      <c r="I309" t="s">
        <v>661</v>
      </c>
      <c r="J309" t="str">
        <f>_xlfn.XLOOKUP(Table1[[#This Row],[Course ]], CCF!B:B, CCF!A:A)</f>
        <v>DM101</v>
      </c>
      <c r="K309" t="s">
        <v>365</v>
      </c>
      <c r="L309">
        <f>_xlfn.XLOOKUP(K309, CCF!B:B, CCF!C:C)</f>
        <v>85499</v>
      </c>
      <c r="M309" t="s">
        <v>80</v>
      </c>
    </row>
    <row r="310" spans="1:13" x14ac:dyDescent="0.3">
      <c r="A310">
        <v>309</v>
      </c>
      <c r="B310" t="s">
        <v>975</v>
      </c>
      <c r="C310" s="3">
        <v>11273</v>
      </c>
      <c r="D310" t="s">
        <v>666</v>
      </c>
      <c r="E310">
        <v>56</v>
      </c>
      <c r="F310" s="1">
        <v>45335</v>
      </c>
      <c r="G310" s="1" t="str">
        <f>TEXT(Table1[[#This Row],[Enrollment date]], "mmm")</f>
        <v>Feb</v>
      </c>
      <c r="H310" t="s">
        <v>360</v>
      </c>
      <c r="I310" t="s">
        <v>663</v>
      </c>
      <c r="J310" t="str">
        <f>_xlfn.XLOOKUP(Table1[[#This Row],[Course ]], CCF!B:B, CCF!A:A)</f>
        <v>DM101</v>
      </c>
      <c r="K310" t="s">
        <v>365</v>
      </c>
      <c r="L310">
        <f>_xlfn.XLOOKUP(K310, CCF!B:B, CCF!C:C)</f>
        <v>85499</v>
      </c>
      <c r="M310" t="s">
        <v>405</v>
      </c>
    </row>
    <row r="311" spans="1:13" x14ac:dyDescent="0.3">
      <c r="A311">
        <v>310</v>
      </c>
      <c r="B311" t="s">
        <v>976</v>
      </c>
      <c r="C311" s="3">
        <v>94817</v>
      </c>
      <c r="D311" t="s">
        <v>666</v>
      </c>
      <c r="E311">
        <v>24</v>
      </c>
      <c r="F311" s="1">
        <v>45336</v>
      </c>
      <c r="G311" s="1" t="str">
        <f>TEXT(Table1[[#This Row],[Enrollment date]], "mmm")</f>
        <v>Feb</v>
      </c>
      <c r="H311" t="s">
        <v>360</v>
      </c>
      <c r="I311" t="s">
        <v>663</v>
      </c>
      <c r="J311" t="str">
        <f>_xlfn.XLOOKUP(Table1[[#This Row],[Course ]], CCF!B:B, CCF!A:A)</f>
        <v>DM101</v>
      </c>
      <c r="K311" t="s">
        <v>365</v>
      </c>
      <c r="L311">
        <f>_xlfn.XLOOKUP(K311, CCF!B:B, CCF!C:C)</f>
        <v>85499</v>
      </c>
      <c r="M311" t="s">
        <v>80</v>
      </c>
    </row>
    <row r="312" spans="1:13" x14ac:dyDescent="0.3">
      <c r="A312">
        <v>311</v>
      </c>
      <c r="B312" t="s">
        <v>977</v>
      </c>
      <c r="C312" s="3">
        <v>43469</v>
      </c>
      <c r="D312" t="s">
        <v>667</v>
      </c>
      <c r="E312">
        <v>48</v>
      </c>
      <c r="F312" s="1">
        <v>45336</v>
      </c>
      <c r="G312" s="1" t="str">
        <f>TEXT(Table1[[#This Row],[Enrollment date]], "mmm")</f>
        <v>Feb</v>
      </c>
      <c r="H312" t="s">
        <v>360</v>
      </c>
      <c r="I312" t="s">
        <v>660</v>
      </c>
      <c r="J312" t="str">
        <f>_xlfn.XLOOKUP(Table1[[#This Row],[Course ]], CCF!B:B, CCF!A:A)</f>
        <v>BA301</v>
      </c>
      <c r="K312" t="s">
        <v>364</v>
      </c>
      <c r="L312">
        <f>_xlfn.XLOOKUP(K312, CCF!B:B, CCF!C:C)</f>
        <v>59999</v>
      </c>
      <c r="M312" t="s">
        <v>48</v>
      </c>
    </row>
    <row r="313" spans="1:13" x14ac:dyDescent="0.3">
      <c r="A313">
        <v>312</v>
      </c>
      <c r="B313" t="s">
        <v>978</v>
      </c>
      <c r="C313" s="3">
        <v>84855</v>
      </c>
      <c r="D313" t="s">
        <v>666</v>
      </c>
      <c r="E313">
        <v>40</v>
      </c>
      <c r="F313" s="1">
        <v>45336</v>
      </c>
      <c r="G313" s="1" t="str">
        <f>TEXT(Table1[[#This Row],[Enrollment date]], "mmm")</f>
        <v>Feb</v>
      </c>
      <c r="H313" t="s">
        <v>360</v>
      </c>
      <c r="I313" t="s">
        <v>660</v>
      </c>
      <c r="J313" t="str">
        <f>_xlfn.XLOOKUP(Table1[[#This Row],[Course ]], CCF!B:B, CCF!A:A)</f>
        <v>DA202</v>
      </c>
      <c r="K313" t="s">
        <v>363</v>
      </c>
      <c r="L313">
        <f>_xlfn.XLOOKUP(K313, CCF!B:B, CCF!C:C)</f>
        <v>79999</v>
      </c>
      <c r="M313" t="s">
        <v>175</v>
      </c>
    </row>
    <row r="314" spans="1:13" x14ac:dyDescent="0.3">
      <c r="A314">
        <v>313</v>
      </c>
      <c r="B314" t="s">
        <v>979</v>
      </c>
      <c r="C314" s="3">
        <v>26894</v>
      </c>
      <c r="D314" t="s">
        <v>667</v>
      </c>
      <c r="E314">
        <v>30</v>
      </c>
      <c r="F314" s="1">
        <v>45336</v>
      </c>
      <c r="G314" s="1" t="str">
        <f>TEXT(Table1[[#This Row],[Enrollment date]], "mmm")</f>
        <v>Feb</v>
      </c>
      <c r="H314" t="s">
        <v>360</v>
      </c>
      <c r="I314" t="s">
        <v>660</v>
      </c>
      <c r="J314" t="str">
        <f>_xlfn.XLOOKUP(Table1[[#This Row],[Course ]], CCF!B:B, CCF!A:A)</f>
        <v>DA202</v>
      </c>
      <c r="K314" t="s">
        <v>363</v>
      </c>
      <c r="L314">
        <f>_xlfn.XLOOKUP(K314, CCF!B:B, CCF!C:C)</f>
        <v>79999</v>
      </c>
      <c r="M314" t="s">
        <v>30</v>
      </c>
    </row>
    <row r="315" spans="1:13" x14ac:dyDescent="0.3">
      <c r="A315">
        <v>314</v>
      </c>
      <c r="B315" t="s">
        <v>980</v>
      </c>
      <c r="C315" s="3">
        <v>13423</v>
      </c>
      <c r="D315" t="s">
        <v>667</v>
      </c>
      <c r="E315">
        <v>20</v>
      </c>
      <c r="F315" s="1">
        <v>45336</v>
      </c>
      <c r="G315" s="1" t="str">
        <f>TEXT(Table1[[#This Row],[Enrollment date]], "mmm")</f>
        <v>Feb</v>
      </c>
      <c r="H315" t="s">
        <v>360</v>
      </c>
      <c r="I315" t="s">
        <v>659</v>
      </c>
      <c r="J315" t="str">
        <f>_xlfn.XLOOKUP(Table1[[#This Row],[Course ]], CCF!B:B, CCF!A:A)</f>
        <v>BA301</v>
      </c>
      <c r="K315" t="s">
        <v>364</v>
      </c>
      <c r="L315">
        <f>_xlfn.XLOOKUP(K315, CCF!B:B, CCF!C:C)</f>
        <v>59999</v>
      </c>
      <c r="M315" t="s">
        <v>160</v>
      </c>
    </row>
    <row r="316" spans="1:13" x14ac:dyDescent="0.3">
      <c r="A316">
        <v>315</v>
      </c>
      <c r="B316" t="s">
        <v>981</v>
      </c>
      <c r="C316" s="3">
        <v>85124</v>
      </c>
      <c r="D316" t="s">
        <v>666</v>
      </c>
      <c r="E316">
        <v>29</v>
      </c>
      <c r="F316" s="1">
        <v>45336</v>
      </c>
      <c r="G316" s="1" t="str">
        <f>TEXT(Table1[[#This Row],[Enrollment date]], "mmm")</f>
        <v>Feb</v>
      </c>
      <c r="H316" t="s">
        <v>360</v>
      </c>
      <c r="I316" t="s">
        <v>660</v>
      </c>
      <c r="J316" t="str">
        <f>_xlfn.XLOOKUP(Table1[[#This Row],[Course ]], CCF!B:B, CCF!A:A)</f>
        <v>DM101</v>
      </c>
      <c r="K316" t="s">
        <v>365</v>
      </c>
      <c r="L316">
        <f>_xlfn.XLOOKUP(K316, CCF!B:B, CCF!C:C)</f>
        <v>85499</v>
      </c>
      <c r="M316" t="s">
        <v>16</v>
      </c>
    </row>
    <row r="317" spans="1:13" x14ac:dyDescent="0.3">
      <c r="A317">
        <v>316</v>
      </c>
      <c r="B317" t="s">
        <v>982</v>
      </c>
      <c r="C317" s="3">
        <v>82404</v>
      </c>
      <c r="D317" t="s">
        <v>667</v>
      </c>
      <c r="E317">
        <v>43</v>
      </c>
      <c r="F317" s="1">
        <v>45336</v>
      </c>
      <c r="G317" s="1" t="str">
        <f>TEXT(Table1[[#This Row],[Enrollment date]], "mmm")</f>
        <v>Feb</v>
      </c>
      <c r="H317" t="s">
        <v>360</v>
      </c>
      <c r="I317" t="s">
        <v>664</v>
      </c>
      <c r="J317" t="str">
        <f>_xlfn.XLOOKUP(Table1[[#This Row],[Course ]], CCF!B:B, CCF!A:A)</f>
        <v>DM101</v>
      </c>
      <c r="K317" t="s">
        <v>365</v>
      </c>
      <c r="L317">
        <f>_xlfn.XLOOKUP(K317, CCF!B:B, CCF!C:C)</f>
        <v>85499</v>
      </c>
      <c r="M317" t="s">
        <v>166</v>
      </c>
    </row>
    <row r="318" spans="1:13" x14ac:dyDescent="0.3">
      <c r="A318">
        <v>317</v>
      </c>
      <c r="B318" t="s">
        <v>983</v>
      </c>
      <c r="C318" s="3">
        <v>53396</v>
      </c>
      <c r="D318" t="s">
        <v>666</v>
      </c>
      <c r="E318">
        <v>45</v>
      </c>
      <c r="F318" s="1">
        <v>45336</v>
      </c>
      <c r="G318" s="1" t="str">
        <f>TEXT(Table1[[#This Row],[Enrollment date]], "mmm")</f>
        <v>Feb</v>
      </c>
      <c r="H318" t="s">
        <v>360</v>
      </c>
      <c r="I318" t="s">
        <v>659</v>
      </c>
      <c r="J318" t="str">
        <f>_xlfn.XLOOKUP(Table1[[#This Row],[Course ]], CCF!B:B, CCF!A:A)</f>
        <v>DA202</v>
      </c>
      <c r="K318" t="s">
        <v>363</v>
      </c>
      <c r="L318">
        <f>_xlfn.XLOOKUP(K318, CCF!B:B, CCF!C:C)</f>
        <v>79999</v>
      </c>
      <c r="M318" t="s">
        <v>253</v>
      </c>
    </row>
    <row r="319" spans="1:13" x14ac:dyDescent="0.3">
      <c r="A319">
        <v>318</v>
      </c>
      <c r="B319" t="s">
        <v>984</v>
      </c>
      <c r="C319" s="3">
        <v>50928</v>
      </c>
      <c r="D319" t="s">
        <v>667</v>
      </c>
      <c r="E319">
        <v>24</v>
      </c>
      <c r="F319" s="1">
        <v>45337</v>
      </c>
      <c r="G319" s="1" t="str">
        <f>TEXT(Table1[[#This Row],[Enrollment date]], "mmm")</f>
        <v>Feb</v>
      </c>
      <c r="H319" t="s">
        <v>360</v>
      </c>
      <c r="I319" t="s">
        <v>660</v>
      </c>
      <c r="J319" t="str">
        <f>_xlfn.XLOOKUP(Table1[[#This Row],[Course ]], CCF!B:B, CCF!A:A)</f>
        <v>DA202</v>
      </c>
      <c r="K319" t="s">
        <v>363</v>
      </c>
      <c r="L319">
        <f>_xlfn.XLOOKUP(K319, CCF!B:B, CCF!C:C)</f>
        <v>79999</v>
      </c>
      <c r="M319" t="s">
        <v>298</v>
      </c>
    </row>
    <row r="320" spans="1:13" x14ac:dyDescent="0.3">
      <c r="A320">
        <v>319</v>
      </c>
      <c r="B320" t="s">
        <v>985</v>
      </c>
      <c r="C320" s="3">
        <v>24187</v>
      </c>
      <c r="D320" t="s">
        <v>666</v>
      </c>
      <c r="E320">
        <v>32</v>
      </c>
      <c r="F320" s="1">
        <v>45337</v>
      </c>
      <c r="G320" s="1" t="str">
        <f>TEXT(Table1[[#This Row],[Enrollment date]], "mmm")</f>
        <v>Feb</v>
      </c>
      <c r="H320" t="s">
        <v>360</v>
      </c>
      <c r="I320" t="s">
        <v>660</v>
      </c>
      <c r="J320" t="str">
        <f>_xlfn.XLOOKUP(Table1[[#This Row],[Course ]], CCF!B:B, CCF!A:A)</f>
        <v>UX401</v>
      </c>
      <c r="K320" t="s">
        <v>367</v>
      </c>
      <c r="L320">
        <f>_xlfn.XLOOKUP(K320, CCF!B:B, CCF!C:C)</f>
        <v>67990</v>
      </c>
      <c r="M320" t="s">
        <v>147</v>
      </c>
    </row>
    <row r="321" spans="1:13" x14ac:dyDescent="0.3">
      <c r="A321">
        <v>320</v>
      </c>
      <c r="B321" t="s">
        <v>986</v>
      </c>
      <c r="C321" s="3">
        <v>71792</v>
      </c>
      <c r="D321" t="s">
        <v>667</v>
      </c>
      <c r="E321">
        <v>47</v>
      </c>
      <c r="F321" s="1">
        <v>45337</v>
      </c>
      <c r="G321" s="1" t="str">
        <f>TEXT(Table1[[#This Row],[Enrollment date]], "mmm")</f>
        <v>Feb</v>
      </c>
      <c r="H321" t="s">
        <v>360</v>
      </c>
      <c r="I321" t="s">
        <v>659</v>
      </c>
      <c r="J321" t="str">
        <f>_xlfn.XLOOKUP(Table1[[#This Row],[Course ]], CCF!B:B, CCF!A:A)</f>
        <v>DA202</v>
      </c>
      <c r="K321" t="s">
        <v>363</v>
      </c>
      <c r="L321">
        <f>_xlfn.XLOOKUP(K321, CCF!B:B, CCF!C:C)</f>
        <v>79999</v>
      </c>
      <c r="M321" t="s">
        <v>27</v>
      </c>
    </row>
    <row r="322" spans="1:13" x14ac:dyDescent="0.3">
      <c r="A322">
        <v>321</v>
      </c>
      <c r="B322" t="s">
        <v>987</v>
      </c>
      <c r="C322" s="3">
        <v>59605</v>
      </c>
      <c r="D322" t="s">
        <v>666</v>
      </c>
      <c r="E322">
        <v>21</v>
      </c>
      <c r="F322" s="1">
        <v>45337</v>
      </c>
      <c r="G322" s="1" t="str">
        <f>TEXT(Table1[[#This Row],[Enrollment date]], "mmm")</f>
        <v>Feb</v>
      </c>
      <c r="H322" t="s">
        <v>360</v>
      </c>
      <c r="I322" t="s">
        <v>661</v>
      </c>
      <c r="J322" t="str">
        <f>_xlfn.XLOOKUP(Table1[[#This Row],[Course ]], CCF!B:B, CCF!A:A)</f>
        <v>BA301</v>
      </c>
      <c r="K322" t="s">
        <v>364</v>
      </c>
      <c r="L322">
        <f>_xlfn.XLOOKUP(K322, CCF!B:B, CCF!C:C)</f>
        <v>59999</v>
      </c>
      <c r="M322" t="s">
        <v>15</v>
      </c>
    </row>
    <row r="323" spans="1:13" x14ac:dyDescent="0.3">
      <c r="A323">
        <v>322</v>
      </c>
      <c r="B323" t="s">
        <v>988</v>
      </c>
      <c r="C323" s="3">
        <v>88968</v>
      </c>
      <c r="D323" t="s">
        <v>666</v>
      </c>
      <c r="E323">
        <v>22</v>
      </c>
      <c r="F323" s="1">
        <v>45337</v>
      </c>
      <c r="G323" s="1" t="str">
        <f>TEXT(Table1[[#This Row],[Enrollment date]], "mmm")</f>
        <v>Feb</v>
      </c>
      <c r="H323" t="s">
        <v>360</v>
      </c>
      <c r="I323" t="s">
        <v>660</v>
      </c>
      <c r="J323" t="str">
        <f>_xlfn.XLOOKUP(Table1[[#This Row],[Course ]], CCF!B:B, CCF!A:A)</f>
        <v>DM101</v>
      </c>
      <c r="K323" t="s">
        <v>365</v>
      </c>
      <c r="L323">
        <f>_xlfn.XLOOKUP(K323, CCF!B:B, CCF!C:C)</f>
        <v>85499</v>
      </c>
      <c r="M323" t="s">
        <v>27</v>
      </c>
    </row>
    <row r="324" spans="1:13" x14ac:dyDescent="0.3">
      <c r="A324">
        <v>323</v>
      </c>
      <c r="B324" t="s">
        <v>989</v>
      </c>
      <c r="C324" s="3">
        <v>17724</v>
      </c>
      <c r="D324" t="s">
        <v>667</v>
      </c>
      <c r="E324">
        <v>62</v>
      </c>
      <c r="F324" s="1">
        <v>45337</v>
      </c>
      <c r="G324" s="1" t="str">
        <f>TEXT(Table1[[#This Row],[Enrollment date]], "mmm")</f>
        <v>Feb</v>
      </c>
      <c r="H324" t="s">
        <v>360</v>
      </c>
      <c r="I324" t="s">
        <v>661</v>
      </c>
      <c r="J324" t="str">
        <f>_xlfn.XLOOKUP(Table1[[#This Row],[Course ]], CCF!B:B, CCF!A:A)</f>
        <v>DA202</v>
      </c>
      <c r="K324" t="s">
        <v>363</v>
      </c>
      <c r="L324">
        <f>_xlfn.XLOOKUP(K324, CCF!B:B, CCF!C:C)</f>
        <v>79999</v>
      </c>
      <c r="M324" t="s">
        <v>406</v>
      </c>
    </row>
    <row r="325" spans="1:13" x14ac:dyDescent="0.3">
      <c r="A325">
        <v>324</v>
      </c>
      <c r="B325" t="s">
        <v>990</v>
      </c>
      <c r="C325" s="3">
        <v>23630</v>
      </c>
      <c r="D325" t="s">
        <v>666</v>
      </c>
      <c r="E325">
        <v>32</v>
      </c>
      <c r="F325" s="1">
        <v>45338</v>
      </c>
      <c r="G325" s="1" t="str">
        <f>TEXT(Table1[[#This Row],[Enrollment date]], "mmm")</f>
        <v>Feb</v>
      </c>
      <c r="H325" t="s">
        <v>360</v>
      </c>
      <c r="I325" t="s">
        <v>661</v>
      </c>
      <c r="J325" t="str">
        <f>_xlfn.XLOOKUP(Table1[[#This Row],[Course ]], CCF!B:B, CCF!A:A)</f>
        <v>DM101</v>
      </c>
      <c r="K325" t="s">
        <v>365</v>
      </c>
      <c r="L325">
        <f>_xlfn.XLOOKUP(K325, CCF!B:B, CCF!C:C)</f>
        <v>85499</v>
      </c>
      <c r="M325" t="s">
        <v>64</v>
      </c>
    </row>
    <row r="326" spans="1:13" x14ac:dyDescent="0.3">
      <c r="A326">
        <v>325</v>
      </c>
      <c r="B326" t="s">
        <v>991</v>
      </c>
      <c r="C326" s="3">
        <v>53837</v>
      </c>
      <c r="D326" t="s">
        <v>666</v>
      </c>
      <c r="E326">
        <v>72</v>
      </c>
      <c r="F326" s="1">
        <v>45338</v>
      </c>
      <c r="G326" s="1" t="str">
        <f>TEXT(Table1[[#This Row],[Enrollment date]], "mmm")</f>
        <v>Feb</v>
      </c>
      <c r="H326" t="s">
        <v>360</v>
      </c>
      <c r="I326" t="s">
        <v>659</v>
      </c>
      <c r="J326" t="str">
        <f>_xlfn.XLOOKUP(Table1[[#This Row],[Course ]], CCF!B:B, CCF!A:A)</f>
        <v>BA301</v>
      </c>
      <c r="K326" t="s">
        <v>364</v>
      </c>
      <c r="L326">
        <f>_xlfn.XLOOKUP(K326, CCF!B:B, CCF!C:C)</f>
        <v>59999</v>
      </c>
      <c r="M326" t="s">
        <v>16</v>
      </c>
    </row>
    <row r="327" spans="1:13" x14ac:dyDescent="0.3">
      <c r="A327">
        <v>326</v>
      </c>
      <c r="B327" t="s">
        <v>992</v>
      </c>
      <c r="C327" s="3">
        <v>89987</v>
      </c>
      <c r="D327" t="s">
        <v>666</v>
      </c>
      <c r="E327">
        <v>28</v>
      </c>
      <c r="F327" s="1">
        <v>45338</v>
      </c>
      <c r="G327" s="1" t="str">
        <f>TEXT(Table1[[#This Row],[Enrollment date]], "mmm")</f>
        <v>Feb</v>
      </c>
      <c r="H327" t="s">
        <v>360</v>
      </c>
      <c r="I327" t="s">
        <v>661</v>
      </c>
      <c r="J327" t="str">
        <f>_xlfn.XLOOKUP(Table1[[#This Row],[Course ]], CCF!B:B, CCF!A:A)</f>
        <v>DM101</v>
      </c>
      <c r="K327" t="s">
        <v>365</v>
      </c>
      <c r="L327">
        <f>_xlfn.XLOOKUP(K327, CCF!B:B, CCF!C:C)</f>
        <v>85499</v>
      </c>
      <c r="M327" t="s">
        <v>30</v>
      </c>
    </row>
    <row r="328" spans="1:13" x14ac:dyDescent="0.3">
      <c r="A328">
        <v>327</v>
      </c>
      <c r="B328" t="s">
        <v>993</v>
      </c>
      <c r="C328" s="3">
        <v>77427</v>
      </c>
      <c r="D328" t="s">
        <v>666</v>
      </c>
      <c r="E328">
        <v>45</v>
      </c>
      <c r="F328" s="1">
        <v>45338</v>
      </c>
      <c r="G328" s="1" t="str">
        <f>TEXT(Table1[[#This Row],[Enrollment date]], "mmm")</f>
        <v>Feb</v>
      </c>
      <c r="H328" t="s">
        <v>360</v>
      </c>
      <c r="I328" t="s">
        <v>659</v>
      </c>
      <c r="J328" t="str">
        <f>_xlfn.XLOOKUP(Table1[[#This Row],[Course ]], CCF!B:B, CCF!A:A)</f>
        <v>DM101</v>
      </c>
      <c r="K328" t="s">
        <v>365</v>
      </c>
      <c r="L328">
        <f>_xlfn.XLOOKUP(K328, CCF!B:B, CCF!C:C)</f>
        <v>85499</v>
      </c>
      <c r="M328" t="s">
        <v>407</v>
      </c>
    </row>
    <row r="329" spans="1:13" x14ac:dyDescent="0.3">
      <c r="A329">
        <v>328</v>
      </c>
      <c r="B329" t="s">
        <v>994</v>
      </c>
      <c r="C329" s="3">
        <v>17842</v>
      </c>
      <c r="D329" t="s">
        <v>667</v>
      </c>
      <c r="E329">
        <v>22</v>
      </c>
      <c r="F329" s="1">
        <v>45338</v>
      </c>
      <c r="G329" s="1" t="str">
        <f>TEXT(Table1[[#This Row],[Enrollment date]], "mmm")</f>
        <v>Feb</v>
      </c>
      <c r="H329" t="s">
        <v>360</v>
      </c>
      <c r="I329" t="s">
        <v>662</v>
      </c>
      <c r="J329" t="str">
        <f>_xlfn.XLOOKUP(Table1[[#This Row],[Course ]], CCF!B:B, CCF!A:A)</f>
        <v>DA202</v>
      </c>
      <c r="K329" t="s">
        <v>363</v>
      </c>
      <c r="L329">
        <f>_xlfn.XLOOKUP(K329, CCF!B:B, CCF!C:C)</f>
        <v>79999</v>
      </c>
      <c r="M329" t="s">
        <v>45</v>
      </c>
    </row>
    <row r="330" spans="1:13" x14ac:dyDescent="0.3">
      <c r="A330">
        <v>329</v>
      </c>
      <c r="B330" t="s">
        <v>995</v>
      </c>
      <c r="C330" s="3">
        <v>47275</v>
      </c>
      <c r="D330" t="s">
        <v>667</v>
      </c>
      <c r="E330">
        <v>39</v>
      </c>
      <c r="F330" s="1">
        <v>45338</v>
      </c>
      <c r="G330" s="1" t="str">
        <f>TEXT(Table1[[#This Row],[Enrollment date]], "mmm")</f>
        <v>Feb</v>
      </c>
      <c r="H330" t="s">
        <v>360</v>
      </c>
      <c r="I330" t="s">
        <v>659</v>
      </c>
      <c r="J330" t="str">
        <f>_xlfn.XLOOKUP(Table1[[#This Row],[Course ]], CCF!B:B, CCF!A:A)</f>
        <v>BA301</v>
      </c>
      <c r="K330" t="s">
        <v>364</v>
      </c>
      <c r="L330">
        <f>_xlfn.XLOOKUP(K330, CCF!B:B, CCF!C:C)</f>
        <v>59999</v>
      </c>
      <c r="M330" t="s">
        <v>180</v>
      </c>
    </row>
    <row r="331" spans="1:13" x14ac:dyDescent="0.3">
      <c r="A331">
        <v>330</v>
      </c>
      <c r="B331" t="s">
        <v>996</v>
      </c>
      <c r="C331" s="3">
        <v>79628</v>
      </c>
      <c r="D331" t="s">
        <v>666</v>
      </c>
      <c r="E331">
        <v>22</v>
      </c>
      <c r="F331" s="1">
        <v>45338</v>
      </c>
      <c r="G331" s="1" t="str">
        <f>TEXT(Table1[[#This Row],[Enrollment date]], "mmm")</f>
        <v>Feb</v>
      </c>
      <c r="H331" t="s">
        <v>360</v>
      </c>
      <c r="I331" t="s">
        <v>659</v>
      </c>
      <c r="J331" t="str">
        <f>_xlfn.XLOOKUP(Table1[[#This Row],[Course ]], CCF!B:B, CCF!A:A)</f>
        <v>DM101</v>
      </c>
      <c r="K331" t="s">
        <v>365</v>
      </c>
      <c r="L331">
        <f>_xlfn.XLOOKUP(K331, CCF!B:B, CCF!C:C)</f>
        <v>85499</v>
      </c>
      <c r="M331" t="s">
        <v>27</v>
      </c>
    </row>
    <row r="332" spans="1:13" x14ac:dyDescent="0.3">
      <c r="A332">
        <v>331</v>
      </c>
      <c r="B332" t="s">
        <v>997</v>
      </c>
      <c r="C332" s="3">
        <v>68943</v>
      </c>
      <c r="D332" t="s">
        <v>667</v>
      </c>
      <c r="E332">
        <v>33</v>
      </c>
      <c r="F332" s="1">
        <v>45338</v>
      </c>
      <c r="G332" s="1" t="str">
        <f>TEXT(Table1[[#This Row],[Enrollment date]], "mmm")</f>
        <v>Feb</v>
      </c>
      <c r="H332" t="s">
        <v>360</v>
      </c>
      <c r="I332" t="s">
        <v>659</v>
      </c>
      <c r="J332" t="str">
        <f>_xlfn.XLOOKUP(Table1[[#This Row],[Course ]], CCF!B:B, CCF!A:A)</f>
        <v>DM101</v>
      </c>
      <c r="K332" t="s">
        <v>365</v>
      </c>
      <c r="L332">
        <f>_xlfn.XLOOKUP(K332, CCF!B:B, CCF!C:C)</f>
        <v>85499</v>
      </c>
      <c r="M332" t="s">
        <v>61</v>
      </c>
    </row>
    <row r="333" spans="1:13" x14ac:dyDescent="0.3">
      <c r="A333">
        <v>332</v>
      </c>
      <c r="B333" t="s">
        <v>998</v>
      </c>
      <c r="C333" s="3">
        <v>62401</v>
      </c>
      <c r="D333" t="s">
        <v>666</v>
      </c>
      <c r="E333">
        <v>43</v>
      </c>
      <c r="F333" s="1">
        <v>45339</v>
      </c>
      <c r="G333" s="1" t="str">
        <f>TEXT(Table1[[#This Row],[Enrollment date]], "mmm")</f>
        <v>Feb</v>
      </c>
      <c r="H333" t="s">
        <v>360</v>
      </c>
      <c r="I333" t="s">
        <v>661</v>
      </c>
      <c r="J333" t="str">
        <f>_xlfn.XLOOKUP(Table1[[#This Row],[Course ]], CCF!B:B, CCF!A:A)</f>
        <v>DM101</v>
      </c>
      <c r="K333" t="s">
        <v>365</v>
      </c>
      <c r="L333">
        <f>_xlfn.XLOOKUP(K333, CCF!B:B, CCF!C:C)</f>
        <v>85499</v>
      </c>
      <c r="M333" t="s">
        <v>16</v>
      </c>
    </row>
    <row r="334" spans="1:13" x14ac:dyDescent="0.3">
      <c r="A334">
        <v>333</v>
      </c>
      <c r="B334" t="s">
        <v>999</v>
      </c>
      <c r="C334" s="3">
        <v>83259</v>
      </c>
      <c r="D334" t="s">
        <v>666</v>
      </c>
      <c r="E334">
        <v>54</v>
      </c>
      <c r="F334" s="1">
        <v>45339</v>
      </c>
      <c r="G334" s="1" t="str">
        <f>TEXT(Table1[[#This Row],[Enrollment date]], "mmm")</f>
        <v>Feb</v>
      </c>
      <c r="H334" t="s">
        <v>360</v>
      </c>
      <c r="I334" t="s">
        <v>661</v>
      </c>
      <c r="J334" t="str">
        <f>_xlfn.XLOOKUP(Table1[[#This Row],[Course ]], CCF!B:B, CCF!A:A)</f>
        <v>FSD103</v>
      </c>
      <c r="K334" t="s">
        <v>366</v>
      </c>
      <c r="L334">
        <f>_xlfn.XLOOKUP(K334, CCF!B:B, CCF!C:C)</f>
        <v>109990</v>
      </c>
      <c r="M334" t="s">
        <v>127</v>
      </c>
    </row>
    <row r="335" spans="1:13" x14ac:dyDescent="0.3">
      <c r="A335">
        <v>334</v>
      </c>
      <c r="B335" t="s">
        <v>1000</v>
      </c>
      <c r="C335" s="3">
        <v>42809</v>
      </c>
      <c r="D335" t="s">
        <v>666</v>
      </c>
      <c r="E335">
        <v>28</v>
      </c>
      <c r="F335" s="1">
        <v>45339</v>
      </c>
      <c r="G335" s="1" t="str">
        <f>TEXT(Table1[[#This Row],[Enrollment date]], "mmm")</f>
        <v>Feb</v>
      </c>
      <c r="H335" t="s">
        <v>360</v>
      </c>
      <c r="I335" t="s">
        <v>660</v>
      </c>
      <c r="J335" t="str">
        <f>_xlfn.XLOOKUP(Table1[[#This Row],[Course ]], CCF!B:B, CCF!A:A)</f>
        <v>DM101</v>
      </c>
      <c r="K335" t="s">
        <v>365</v>
      </c>
      <c r="L335">
        <f>_xlfn.XLOOKUP(K335, CCF!B:B, CCF!C:C)</f>
        <v>85499</v>
      </c>
      <c r="M335" t="s">
        <v>144</v>
      </c>
    </row>
    <row r="336" spans="1:13" x14ac:dyDescent="0.3">
      <c r="A336">
        <v>335</v>
      </c>
      <c r="B336" t="s">
        <v>1001</v>
      </c>
      <c r="C336" s="3">
        <v>59562</v>
      </c>
      <c r="D336" t="s">
        <v>666</v>
      </c>
      <c r="E336">
        <v>24</v>
      </c>
      <c r="F336" s="1">
        <v>45339</v>
      </c>
      <c r="G336" s="1" t="str">
        <f>TEXT(Table1[[#This Row],[Enrollment date]], "mmm")</f>
        <v>Feb</v>
      </c>
      <c r="H336" t="s">
        <v>360</v>
      </c>
      <c r="I336" t="s">
        <v>660</v>
      </c>
      <c r="J336" t="str">
        <f>_xlfn.XLOOKUP(Table1[[#This Row],[Course ]], CCF!B:B, CCF!A:A)</f>
        <v>DM101</v>
      </c>
      <c r="K336" t="s">
        <v>365</v>
      </c>
      <c r="L336">
        <f>_xlfn.XLOOKUP(K336, CCF!B:B, CCF!C:C)</f>
        <v>85499</v>
      </c>
      <c r="M336" t="s">
        <v>324</v>
      </c>
    </row>
    <row r="337" spans="1:13" x14ac:dyDescent="0.3">
      <c r="A337">
        <v>336</v>
      </c>
      <c r="B337" t="s">
        <v>1002</v>
      </c>
      <c r="C337" s="3">
        <v>12980</v>
      </c>
      <c r="D337" t="s">
        <v>666</v>
      </c>
      <c r="E337">
        <v>24</v>
      </c>
      <c r="F337" s="1">
        <v>45339</v>
      </c>
      <c r="G337" s="1" t="str">
        <f>TEXT(Table1[[#This Row],[Enrollment date]], "mmm")</f>
        <v>Feb</v>
      </c>
      <c r="H337" t="s">
        <v>360</v>
      </c>
      <c r="I337" t="s">
        <v>661</v>
      </c>
      <c r="J337" t="str">
        <f>_xlfn.XLOOKUP(Table1[[#This Row],[Course ]], CCF!B:B, CCF!A:A)</f>
        <v>FSD103</v>
      </c>
      <c r="K337" t="s">
        <v>366</v>
      </c>
      <c r="L337">
        <f>_xlfn.XLOOKUP(K337, CCF!B:B, CCF!C:C)</f>
        <v>109990</v>
      </c>
      <c r="M337" t="s">
        <v>9</v>
      </c>
    </row>
    <row r="338" spans="1:13" x14ac:dyDescent="0.3">
      <c r="A338">
        <v>337</v>
      </c>
      <c r="B338" t="s">
        <v>1003</v>
      </c>
      <c r="C338" s="3">
        <v>49295</v>
      </c>
      <c r="D338" t="s">
        <v>666</v>
      </c>
      <c r="E338">
        <v>62</v>
      </c>
      <c r="F338" s="1">
        <v>45339</v>
      </c>
      <c r="G338" s="1" t="str">
        <f>TEXT(Table1[[#This Row],[Enrollment date]], "mmm")</f>
        <v>Feb</v>
      </c>
      <c r="H338" t="s">
        <v>360</v>
      </c>
      <c r="I338" t="s">
        <v>662</v>
      </c>
      <c r="J338" t="str">
        <f>_xlfn.XLOOKUP(Table1[[#This Row],[Course ]], CCF!B:B, CCF!A:A)</f>
        <v>DA202</v>
      </c>
      <c r="K338" t="s">
        <v>363</v>
      </c>
      <c r="L338">
        <f>_xlfn.XLOOKUP(K338, CCF!B:B, CCF!C:C)</f>
        <v>79999</v>
      </c>
      <c r="M338" t="s">
        <v>16</v>
      </c>
    </row>
    <row r="339" spans="1:13" x14ac:dyDescent="0.3">
      <c r="A339">
        <v>338</v>
      </c>
      <c r="B339" t="s">
        <v>1004</v>
      </c>
      <c r="C339" s="3">
        <v>39996</v>
      </c>
      <c r="D339" t="s">
        <v>666</v>
      </c>
      <c r="E339">
        <v>68</v>
      </c>
      <c r="F339" s="1">
        <v>45339</v>
      </c>
      <c r="G339" s="1" t="str">
        <f>TEXT(Table1[[#This Row],[Enrollment date]], "mmm")</f>
        <v>Feb</v>
      </c>
      <c r="H339" t="s">
        <v>360</v>
      </c>
      <c r="I339" t="s">
        <v>661</v>
      </c>
      <c r="J339" t="str">
        <f>_xlfn.XLOOKUP(Table1[[#This Row],[Course ]], CCF!B:B, CCF!A:A)</f>
        <v>UX401</v>
      </c>
      <c r="K339" t="s">
        <v>367</v>
      </c>
      <c r="L339">
        <f>_xlfn.XLOOKUP(K339, CCF!B:B, CCF!C:C)</f>
        <v>67990</v>
      </c>
      <c r="M339" t="s">
        <v>408</v>
      </c>
    </row>
    <row r="340" spans="1:13" x14ac:dyDescent="0.3">
      <c r="A340">
        <v>339</v>
      </c>
      <c r="B340" t="s">
        <v>1005</v>
      </c>
      <c r="C340" s="3">
        <v>55245</v>
      </c>
      <c r="D340" t="s">
        <v>667</v>
      </c>
      <c r="E340">
        <v>27</v>
      </c>
      <c r="F340" s="1">
        <v>45339</v>
      </c>
      <c r="G340" s="1" t="str">
        <f>TEXT(Table1[[#This Row],[Enrollment date]], "mmm")</f>
        <v>Feb</v>
      </c>
      <c r="H340" t="s">
        <v>360</v>
      </c>
      <c r="I340" t="s">
        <v>659</v>
      </c>
      <c r="J340" t="str">
        <f>_xlfn.XLOOKUP(Table1[[#This Row],[Course ]], CCF!B:B, CCF!A:A)</f>
        <v>DM101</v>
      </c>
      <c r="K340" t="s">
        <v>365</v>
      </c>
      <c r="L340">
        <f>_xlfn.XLOOKUP(K340, CCF!B:B, CCF!C:C)</f>
        <v>85499</v>
      </c>
      <c r="M340" t="s">
        <v>25</v>
      </c>
    </row>
    <row r="341" spans="1:13" x14ac:dyDescent="0.3">
      <c r="A341">
        <v>340</v>
      </c>
      <c r="B341" t="s">
        <v>1006</v>
      </c>
      <c r="C341" s="3">
        <v>22949</v>
      </c>
      <c r="D341" t="s">
        <v>666</v>
      </c>
      <c r="E341">
        <v>65</v>
      </c>
      <c r="F341" s="1">
        <v>45340</v>
      </c>
      <c r="G341" s="1" t="str">
        <f>TEXT(Table1[[#This Row],[Enrollment date]], "mmm")</f>
        <v>Feb</v>
      </c>
      <c r="H341" t="s">
        <v>360</v>
      </c>
      <c r="I341" t="s">
        <v>660</v>
      </c>
      <c r="J341" t="str">
        <f>_xlfn.XLOOKUP(Table1[[#This Row],[Course ]], CCF!B:B, CCF!A:A)</f>
        <v>DM101</v>
      </c>
      <c r="K341" t="s">
        <v>365</v>
      </c>
      <c r="L341">
        <f>_xlfn.XLOOKUP(K341, CCF!B:B, CCF!C:C)</f>
        <v>85499</v>
      </c>
      <c r="M341" t="s">
        <v>17</v>
      </c>
    </row>
    <row r="342" spans="1:13" x14ac:dyDescent="0.3">
      <c r="A342">
        <v>341</v>
      </c>
      <c r="B342" t="s">
        <v>1007</v>
      </c>
      <c r="C342" s="3">
        <v>36199</v>
      </c>
      <c r="D342" t="s">
        <v>666</v>
      </c>
      <c r="E342">
        <v>49</v>
      </c>
      <c r="F342" s="1">
        <v>45340</v>
      </c>
      <c r="G342" s="1" t="str">
        <f>TEXT(Table1[[#This Row],[Enrollment date]], "mmm")</f>
        <v>Feb</v>
      </c>
      <c r="H342" t="s">
        <v>360</v>
      </c>
      <c r="I342" t="s">
        <v>659</v>
      </c>
      <c r="J342" t="str">
        <f>_xlfn.XLOOKUP(Table1[[#This Row],[Course ]], CCF!B:B, CCF!A:A)</f>
        <v>FSD103</v>
      </c>
      <c r="K342" t="s">
        <v>366</v>
      </c>
      <c r="L342">
        <f>_xlfn.XLOOKUP(K342, CCF!B:B, CCF!C:C)</f>
        <v>109990</v>
      </c>
      <c r="M342" t="s">
        <v>66</v>
      </c>
    </row>
    <row r="343" spans="1:13" x14ac:dyDescent="0.3">
      <c r="A343">
        <v>342</v>
      </c>
      <c r="B343" t="s">
        <v>1008</v>
      </c>
      <c r="C343" s="3">
        <v>93802</v>
      </c>
      <c r="D343" t="s">
        <v>666</v>
      </c>
      <c r="E343">
        <v>45</v>
      </c>
      <c r="F343" s="1">
        <v>45340</v>
      </c>
      <c r="G343" s="1" t="str">
        <f>TEXT(Table1[[#This Row],[Enrollment date]], "mmm")</f>
        <v>Feb</v>
      </c>
      <c r="H343" t="s">
        <v>360</v>
      </c>
      <c r="I343" t="s">
        <v>661</v>
      </c>
      <c r="J343" t="str">
        <f>_xlfn.XLOOKUP(Table1[[#This Row],[Course ]], CCF!B:B, CCF!A:A)</f>
        <v>DA202</v>
      </c>
      <c r="K343" t="s">
        <v>363</v>
      </c>
      <c r="L343">
        <f>_xlfn.XLOOKUP(K343, CCF!B:B, CCF!C:C)</f>
        <v>79999</v>
      </c>
      <c r="M343" t="s">
        <v>9</v>
      </c>
    </row>
    <row r="344" spans="1:13" x14ac:dyDescent="0.3">
      <c r="A344">
        <v>343</v>
      </c>
      <c r="B344" t="s">
        <v>1009</v>
      </c>
      <c r="C344" s="3">
        <v>98349</v>
      </c>
      <c r="D344" t="s">
        <v>667</v>
      </c>
      <c r="E344">
        <v>34</v>
      </c>
      <c r="F344" s="1">
        <v>45340</v>
      </c>
      <c r="G344" s="1" t="str">
        <f>TEXT(Table1[[#This Row],[Enrollment date]], "mmm")</f>
        <v>Feb</v>
      </c>
      <c r="H344" t="s">
        <v>360</v>
      </c>
      <c r="I344" t="s">
        <v>662</v>
      </c>
      <c r="J344" t="str">
        <f>_xlfn.XLOOKUP(Table1[[#This Row],[Course ]], CCF!B:B, CCF!A:A)</f>
        <v>DA202</v>
      </c>
      <c r="K344" t="s">
        <v>363</v>
      </c>
      <c r="L344">
        <f>_xlfn.XLOOKUP(K344, CCF!B:B, CCF!C:C)</f>
        <v>79999</v>
      </c>
      <c r="M344" t="s">
        <v>140</v>
      </c>
    </row>
    <row r="345" spans="1:13" x14ac:dyDescent="0.3">
      <c r="A345">
        <v>344</v>
      </c>
      <c r="B345" t="s">
        <v>1010</v>
      </c>
      <c r="C345" s="3">
        <v>35959</v>
      </c>
      <c r="D345" t="s">
        <v>666</v>
      </c>
      <c r="E345">
        <v>37</v>
      </c>
      <c r="F345" s="1">
        <v>45340</v>
      </c>
      <c r="G345" s="1" t="str">
        <f>TEXT(Table1[[#This Row],[Enrollment date]], "mmm")</f>
        <v>Feb</v>
      </c>
      <c r="H345" t="s">
        <v>360</v>
      </c>
      <c r="I345" t="s">
        <v>664</v>
      </c>
      <c r="J345" t="str">
        <f>_xlfn.XLOOKUP(Table1[[#This Row],[Course ]], CCF!B:B, CCF!A:A)</f>
        <v>DM101</v>
      </c>
      <c r="K345" t="s">
        <v>365</v>
      </c>
      <c r="L345">
        <f>_xlfn.XLOOKUP(K345, CCF!B:B, CCF!C:C)</f>
        <v>85499</v>
      </c>
      <c r="M345" t="s">
        <v>28</v>
      </c>
    </row>
    <row r="346" spans="1:13" x14ac:dyDescent="0.3">
      <c r="A346">
        <v>345</v>
      </c>
      <c r="B346" t="s">
        <v>1011</v>
      </c>
      <c r="C346" s="3">
        <v>17888</v>
      </c>
      <c r="D346" t="s">
        <v>666</v>
      </c>
      <c r="E346">
        <v>29</v>
      </c>
      <c r="F346" s="1">
        <v>45340</v>
      </c>
      <c r="G346" s="1" t="str">
        <f>TEXT(Table1[[#This Row],[Enrollment date]], "mmm")</f>
        <v>Feb</v>
      </c>
      <c r="H346" t="s">
        <v>360</v>
      </c>
      <c r="I346" t="s">
        <v>660</v>
      </c>
      <c r="J346" t="str">
        <f>_xlfn.XLOOKUP(Table1[[#This Row],[Course ]], CCF!B:B, CCF!A:A)</f>
        <v>DA202</v>
      </c>
      <c r="K346" t="s">
        <v>363</v>
      </c>
      <c r="L346">
        <f>_xlfn.XLOOKUP(K346, CCF!B:B, CCF!C:C)</f>
        <v>79999</v>
      </c>
      <c r="M346" t="s">
        <v>170</v>
      </c>
    </row>
    <row r="347" spans="1:13" x14ac:dyDescent="0.3">
      <c r="A347">
        <v>346</v>
      </c>
      <c r="B347" t="s">
        <v>1012</v>
      </c>
      <c r="C347" s="3">
        <v>47383</v>
      </c>
      <c r="D347" t="s">
        <v>666</v>
      </c>
      <c r="E347">
        <v>33</v>
      </c>
      <c r="F347" s="1">
        <v>45340</v>
      </c>
      <c r="G347" s="1" t="str">
        <f>TEXT(Table1[[#This Row],[Enrollment date]], "mmm")</f>
        <v>Feb</v>
      </c>
      <c r="H347" t="s">
        <v>360</v>
      </c>
      <c r="I347" t="s">
        <v>660</v>
      </c>
      <c r="J347" t="str">
        <f>_xlfn.XLOOKUP(Table1[[#This Row],[Course ]], CCF!B:B, CCF!A:A)</f>
        <v>DM101</v>
      </c>
      <c r="K347" t="s">
        <v>365</v>
      </c>
      <c r="L347">
        <f>_xlfn.XLOOKUP(K347, CCF!B:B, CCF!C:C)</f>
        <v>85499</v>
      </c>
      <c r="M347" t="s">
        <v>88</v>
      </c>
    </row>
    <row r="348" spans="1:13" x14ac:dyDescent="0.3">
      <c r="A348">
        <v>347</v>
      </c>
      <c r="B348" t="s">
        <v>1013</v>
      </c>
      <c r="C348" s="3">
        <v>97622</v>
      </c>
      <c r="D348" t="s">
        <v>666</v>
      </c>
      <c r="E348">
        <v>26</v>
      </c>
      <c r="F348" s="1">
        <v>45341</v>
      </c>
      <c r="G348" s="1" t="str">
        <f>TEXT(Table1[[#This Row],[Enrollment date]], "mmm")</f>
        <v>Feb</v>
      </c>
      <c r="H348" t="s">
        <v>360</v>
      </c>
      <c r="I348" t="s">
        <v>661</v>
      </c>
      <c r="J348" t="str">
        <f>_xlfn.XLOOKUP(Table1[[#This Row],[Course ]], CCF!B:B, CCF!A:A)</f>
        <v>DM101</v>
      </c>
      <c r="K348" t="s">
        <v>365</v>
      </c>
      <c r="L348">
        <f>_xlfn.XLOOKUP(K348, CCF!B:B, CCF!C:C)</f>
        <v>85499</v>
      </c>
      <c r="M348" t="s">
        <v>18</v>
      </c>
    </row>
    <row r="349" spans="1:13" x14ac:dyDescent="0.3">
      <c r="A349">
        <v>348</v>
      </c>
      <c r="B349" t="s">
        <v>1014</v>
      </c>
      <c r="C349" s="3">
        <v>27664</v>
      </c>
      <c r="D349" t="s">
        <v>666</v>
      </c>
      <c r="E349">
        <v>65</v>
      </c>
      <c r="F349" s="1">
        <v>45341</v>
      </c>
      <c r="G349" s="1" t="str">
        <f>TEXT(Table1[[#This Row],[Enrollment date]], "mmm")</f>
        <v>Feb</v>
      </c>
      <c r="H349" t="s">
        <v>360</v>
      </c>
      <c r="I349" t="s">
        <v>661</v>
      </c>
      <c r="J349" t="str">
        <f>_xlfn.XLOOKUP(Table1[[#This Row],[Course ]], CCF!B:B, CCF!A:A)</f>
        <v>DM101</v>
      </c>
      <c r="K349" t="s">
        <v>365</v>
      </c>
      <c r="L349">
        <f>_xlfn.XLOOKUP(K349, CCF!B:B, CCF!C:C)</f>
        <v>85499</v>
      </c>
      <c r="M349" t="s">
        <v>268</v>
      </c>
    </row>
    <row r="350" spans="1:13" x14ac:dyDescent="0.3">
      <c r="A350">
        <v>349</v>
      </c>
      <c r="B350" t="s">
        <v>1015</v>
      </c>
      <c r="C350" s="3">
        <v>32997</v>
      </c>
      <c r="D350" t="s">
        <v>667</v>
      </c>
      <c r="E350">
        <v>38</v>
      </c>
      <c r="F350" s="1">
        <v>45341</v>
      </c>
      <c r="G350" s="1" t="str">
        <f>TEXT(Table1[[#This Row],[Enrollment date]], "mmm")</f>
        <v>Feb</v>
      </c>
      <c r="H350" t="s">
        <v>360</v>
      </c>
      <c r="I350" t="s">
        <v>661</v>
      </c>
      <c r="J350" t="str">
        <f>_xlfn.XLOOKUP(Table1[[#This Row],[Course ]], CCF!B:B, CCF!A:A)</f>
        <v>DA202</v>
      </c>
      <c r="K350" t="s">
        <v>363</v>
      </c>
      <c r="L350">
        <f>_xlfn.XLOOKUP(K350, CCF!B:B, CCF!C:C)</f>
        <v>79999</v>
      </c>
      <c r="M350" t="s">
        <v>256</v>
      </c>
    </row>
    <row r="351" spans="1:13" x14ac:dyDescent="0.3">
      <c r="A351">
        <v>350</v>
      </c>
      <c r="B351" t="s">
        <v>1016</v>
      </c>
      <c r="C351" s="3">
        <v>31802</v>
      </c>
      <c r="D351" t="s">
        <v>667</v>
      </c>
      <c r="E351">
        <v>55</v>
      </c>
      <c r="F351" s="1">
        <v>45341</v>
      </c>
      <c r="G351" s="1" t="str">
        <f>TEXT(Table1[[#This Row],[Enrollment date]], "mmm")</f>
        <v>Feb</v>
      </c>
      <c r="H351" t="s">
        <v>360</v>
      </c>
      <c r="I351" t="s">
        <v>659</v>
      </c>
      <c r="J351" t="str">
        <f>_xlfn.XLOOKUP(Table1[[#This Row],[Course ]], CCF!B:B, CCF!A:A)</f>
        <v>DA202</v>
      </c>
      <c r="K351" t="s">
        <v>363</v>
      </c>
      <c r="L351">
        <f>_xlfn.XLOOKUP(K351, CCF!B:B, CCF!C:C)</f>
        <v>79999</v>
      </c>
      <c r="M351" t="s">
        <v>17</v>
      </c>
    </row>
    <row r="352" spans="1:13" x14ac:dyDescent="0.3">
      <c r="A352">
        <v>351</v>
      </c>
      <c r="B352" t="s">
        <v>1017</v>
      </c>
      <c r="C352" s="3">
        <v>60567</v>
      </c>
      <c r="D352" t="s">
        <v>667</v>
      </c>
      <c r="E352">
        <v>27</v>
      </c>
      <c r="F352" s="1">
        <v>45341</v>
      </c>
      <c r="G352" s="1" t="str">
        <f>TEXT(Table1[[#This Row],[Enrollment date]], "mmm")</f>
        <v>Feb</v>
      </c>
      <c r="H352" t="s">
        <v>360</v>
      </c>
      <c r="I352" t="s">
        <v>660</v>
      </c>
      <c r="J352" t="str">
        <f>_xlfn.XLOOKUP(Table1[[#This Row],[Course ]], CCF!B:B, CCF!A:A)</f>
        <v>DM101</v>
      </c>
      <c r="K352" t="s">
        <v>365</v>
      </c>
      <c r="L352">
        <f>_xlfn.XLOOKUP(K352, CCF!B:B, CCF!C:C)</f>
        <v>85499</v>
      </c>
      <c r="M352" t="s">
        <v>18</v>
      </c>
    </row>
    <row r="353" spans="1:13" x14ac:dyDescent="0.3">
      <c r="A353">
        <v>352</v>
      </c>
      <c r="B353" t="s">
        <v>1018</v>
      </c>
      <c r="C353" s="3">
        <v>50078</v>
      </c>
      <c r="D353" t="s">
        <v>666</v>
      </c>
      <c r="E353">
        <v>60</v>
      </c>
      <c r="F353" s="1">
        <v>45342</v>
      </c>
      <c r="G353" s="1" t="str">
        <f>TEXT(Table1[[#This Row],[Enrollment date]], "mmm")</f>
        <v>Feb</v>
      </c>
      <c r="H353" t="s">
        <v>360</v>
      </c>
      <c r="I353" t="s">
        <v>660</v>
      </c>
      <c r="J353" t="str">
        <f>_xlfn.XLOOKUP(Table1[[#This Row],[Course ]], CCF!B:B, CCF!A:A)</f>
        <v>DM101</v>
      </c>
      <c r="K353" t="s">
        <v>365</v>
      </c>
      <c r="L353">
        <f>_xlfn.XLOOKUP(K353, CCF!B:B, CCF!C:C)</f>
        <v>85499</v>
      </c>
      <c r="M353" t="s">
        <v>9</v>
      </c>
    </row>
    <row r="354" spans="1:13" x14ac:dyDescent="0.3">
      <c r="A354">
        <v>353</v>
      </c>
      <c r="B354" t="s">
        <v>1019</v>
      </c>
      <c r="C354" s="3">
        <v>86318</v>
      </c>
      <c r="D354" t="s">
        <v>666</v>
      </c>
      <c r="E354">
        <v>35</v>
      </c>
      <c r="F354" s="1">
        <v>45342</v>
      </c>
      <c r="G354" s="1" t="str">
        <f>TEXT(Table1[[#This Row],[Enrollment date]], "mmm")</f>
        <v>Feb</v>
      </c>
      <c r="H354" t="s">
        <v>360</v>
      </c>
      <c r="I354" t="s">
        <v>659</v>
      </c>
      <c r="J354" t="str">
        <f>_xlfn.XLOOKUP(Table1[[#This Row],[Course ]], CCF!B:B, CCF!A:A)</f>
        <v>DM101</v>
      </c>
      <c r="K354" t="s">
        <v>365</v>
      </c>
      <c r="L354">
        <f>_xlfn.XLOOKUP(K354, CCF!B:B, CCF!C:C)</f>
        <v>85499</v>
      </c>
      <c r="M354" t="s">
        <v>119</v>
      </c>
    </row>
    <row r="355" spans="1:13" x14ac:dyDescent="0.3">
      <c r="A355">
        <v>354</v>
      </c>
      <c r="B355" t="s">
        <v>1020</v>
      </c>
      <c r="C355" s="3">
        <v>26371</v>
      </c>
      <c r="D355" t="s">
        <v>667</v>
      </c>
      <c r="E355">
        <v>55</v>
      </c>
      <c r="F355" s="1">
        <v>45342</v>
      </c>
      <c r="G355" s="1" t="str">
        <f>TEXT(Table1[[#This Row],[Enrollment date]], "mmm")</f>
        <v>Feb</v>
      </c>
      <c r="H355" t="s">
        <v>360</v>
      </c>
      <c r="I355" t="s">
        <v>659</v>
      </c>
      <c r="J355" t="str">
        <f>_xlfn.XLOOKUP(Table1[[#This Row],[Course ]], CCF!B:B, CCF!A:A)</f>
        <v>DM101</v>
      </c>
      <c r="K355" t="s">
        <v>365</v>
      </c>
      <c r="L355">
        <f>_xlfn.XLOOKUP(K355, CCF!B:B, CCF!C:C)</f>
        <v>85499</v>
      </c>
      <c r="M355" t="s">
        <v>27</v>
      </c>
    </row>
    <row r="356" spans="1:13" x14ac:dyDescent="0.3">
      <c r="A356">
        <v>355</v>
      </c>
      <c r="B356" t="s">
        <v>1021</v>
      </c>
      <c r="C356" s="3">
        <v>80097</v>
      </c>
      <c r="D356" t="s">
        <v>666</v>
      </c>
      <c r="E356">
        <v>35</v>
      </c>
      <c r="F356" s="1">
        <v>45342</v>
      </c>
      <c r="G356" s="1" t="str">
        <f>TEXT(Table1[[#This Row],[Enrollment date]], "mmm")</f>
        <v>Feb</v>
      </c>
      <c r="H356" t="s">
        <v>360</v>
      </c>
      <c r="I356" t="s">
        <v>660</v>
      </c>
      <c r="J356" t="str">
        <f>_xlfn.XLOOKUP(Table1[[#This Row],[Course ]], CCF!B:B, CCF!A:A)</f>
        <v>DM101</v>
      </c>
      <c r="K356" t="s">
        <v>365</v>
      </c>
      <c r="L356">
        <f>_xlfn.XLOOKUP(K356, CCF!B:B, CCF!C:C)</f>
        <v>85499</v>
      </c>
      <c r="M356" t="s">
        <v>9</v>
      </c>
    </row>
    <row r="357" spans="1:13" x14ac:dyDescent="0.3">
      <c r="A357">
        <v>356</v>
      </c>
      <c r="B357" t="s">
        <v>1022</v>
      </c>
      <c r="C357" s="3">
        <v>40938</v>
      </c>
      <c r="D357" t="s">
        <v>666</v>
      </c>
      <c r="E357">
        <v>37</v>
      </c>
      <c r="F357" s="1">
        <v>45342</v>
      </c>
      <c r="G357" s="1" t="str">
        <f>TEXT(Table1[[#This Row],[Enrollment date]], "mmm")</f>
        <v>Feb</v>
      </c>
      <c r="H357" t="s">
        <v>360</v>
      </c>
      <c r="I357" t="s">
        <v>661</v>
      </c>
      <c r="J357" t="str">
        <f>_xlfn.XLOOKUP(Table1[[#This Row],[Course ]], CCF!B:B, CCF!A:A)</f>
        <v>BA301</v>
      </c>
      <c r="K357" t="s">
        <v>364</v>
      </c>
      <c r="L357">
        <f>_xlfn.XLOOKUP(K357, CCF!B:B, CCF!C:C)</f>
        <v>59999</v>
      </c>
      <c r="M357" t="s">
        <v>313</v>
      </c>
    </row>
    <row r="358" spans="1:13" x14ac:dyDescent="0.3">
      <c r="A358">
        <v>357</v>
      </c>
      <c r="B358" t="s">
        <v>1023</v>
      </c>
      <c r="C358" s="3">
        <v>35876</v>
      </c>
      <c r="D358" t="s">
        <v>666</v>
      </c>
      <c r="E358">
        <v>23</v>
      </c>
      <c r="F358" s="1">
        <v>45342</v>
      </c>
      <c r="G358" s="1" t="str">
        <f>TEXT(Table1[[#This Row],[Enrollment date]], "mmm")</f>
        <v>Feb</v>
      </c>
      <c r="H358" t="s">
        <v>360</v>
      </c>
      <c r="I358" t="s">
        <v>660</v>
      </c>
      <c r="J358" t="str">
        <f>_xlfn.XLOOKUP(Table1[[#This Row],[Course ]], CCF!B:B, CCF!A:A)</f>
        <v>DM101</v>
      </c>
      <c r="K358" t="s">
        <v>365</v>
      </c>
      <c r="L358">
        <f>_xlfn.XLOOKUP(K358, CCF!B:B, CCF!C:C)</f>
        <v>85499</v>
      </c>
      <c r="M358" t="s">
        <v>17</v>
      </c>
    </row>
    <row r="359" spans="1:13" x14ac:dyDescent="0.3">
      <c r="A359">
        <v>358</v>
      </c>
      <c r="B359" t="s">
        <v>1024</v>
      </c>
      <c r="C359" s="3">
        <v>77213</v>
      </c>
      <c r="D359" t="s">
        <v>667</v>
      </c>
      <c r="E359">
        <v>32</v>
      </c>
      <c r="F359" s="1">
        <v>45342</v>
      </c>
      <c r="G359" s="1" t="str">
        <f>TEXT(Table1[[#This Row],[Enrollment date]], "mmm")</f>
        <v>Feb</v>
      </c>
      <c r="H359" t="s">
        <v>360</v>
      </c>
      <c r="I359" t="s">
        <v>661</v>
      </c>
      <c r="J359" t="str">
        <f>_xlfn.XLOOKUP(Table1[[#This Row],[Course ]], CCF!B:B, CCF!A:A)</f>
        <v>DM101</v>
      </c>
      <c r="K359" t="s">
        <v>365</v>
      </c>
      <c r="L359">
        <f>_xlfn.XLOOKUP(K359, CCF!B:B, CCF!C:C)</f>
        <v>85499</v>
      </c>
      <c r="M359" t="s">
        <v>116</v>
      </c>
    </row>
    <row r="360" spans="1:13" x14ac:dyDescent="0.3">
      <c r="A360">
        <v>359</v>
      </c>
      <c r="B360" t="s">
        <v>1025</v>
      </c>
      <c r="C360" s="3">
        <v>52083</v>
      </c>
      <c r="D360" t="s">
        <v>666</v>
      </c>
      <c r="E360">
        <v>24</v>
      </c>
      <c r="F360" s="1">
        <v>45343</v>
      </c>
      <c r="G360" s="1" t="str">
        <f>TEXT(Table1[[#This Row],[Enrollment date]], "mmm")</f>
        <v>Feb</v>
      </c>
      <c r="H360" t="s">
        <v>361</v>
      </c>
      <c r="I360" t="s">
        <v>661</v>
      </c>
      <c r="J360" t="str">
        <f>_xlfn.XLOOKUP(Table1[[#This Row],[Course ]], CCF!B:B, CCF!A:A)</f>
        <v>DM101</v>
      </c>
      <c r="K360" t="s">
        <v>365</v>
      </c>
      <c r="L360">
        <f>_xlfn.XLOOKUP(K360, CCF!B:B, CCF!C:C)</f>
        <v>85499</v>
      </c>
      <c r="M360" t="s">
        <v>53</v>
      </c>
    </row>
    <row r="361" spans="1:13" x14ac:dyDescent="0.3">
      <c r="A361">
        <v>360</v>
      </c>
      <c r="B361" t="s">
        <v>1026</v>
      </c>
      <c r="C361" s="3">
        <v>29070</v>
      </c>
      <c r="D361" t="s">
        <v>666</v>
      </c>
      <c r="E361">
        <v>47</v>
      </c>
      <c r="F361" s="1">
        <v>45343</v>
      </c>
      <c r="G361" s="1" t="str">
        <f>TEXT(Table1[[#This Row],[Enrollment date]], "mmm")</f>
        <v>Feb</v>
      </c>
      <c r="H361" t="s">
        <v>360</v>
      </c>
      <c r="I361" t="s">
        <v>660</v>
      </c>
      <c r="J361" t="str">
        <f>_xlfn.XLOOKUP(Table1[[#This Row],[Course ]], CCF!B:B, CCF!A:A)</f>
        <v>DM101</v>
      </c>
      <c r="K361" t="s">
        <v>365</v>
      </c>
      <c r="L361">
        <f>_xlfn.XLOOKUP(K361, CCF!B:B, CCF!C:C)</f>
        <v>85499</v>
      </c>
      <c r="M361" t="s">
        <v>179</v>
      </c>
    </row>
    <row r="362" spans="1:13" x14ac:dyDescent="0.3">
      <c r="A362">
        <v>361</v>
      </c>
      <c r="B362" t="s">
        <v>1027</v>
      </c>
      <c r="C362" s="3">
        <v>79312</v>
      </c>
      <c r="D362" t="s">
        <v>666</v>
      </c>
      <c r="E362">
        <v>19</v>
      </c>
      <c r="F362" s="1">
        <v>45343</v>
      </c>
      <c r="G362" s="1" t="str">
        <f>TEXT(Table1[[#This Row],[Enrollment date]], "mmm")</f>
        <v>Feb</v>
      </c>
      <c r="H362" t="s">
        <v>360</v>
      </c>
      <c r="I362" t="s">
        <v>660</v>
      </c>
      <c r="J362" t="str">
        <f>_xlfn.XLOOKUP(Table1[[#This Row],[Course ]], CCF!B:B, CCF!A:A)</f>
        <v>FSD103</v>
      </c>
      <c r="K362" t="s">
        <v>366</v>
      </c>
      <c r="L362">
        <f>_xlfn.XLOOKUP(K362, CCF!B:B, CCF!C:C)</f>
        <v>109990</v>
      </c>
      <c r="M362" t="s">
        <v>16</v>
      </c>
    </row>
    <row r="363" spans="1:13" x14ac:dyDescent="0.3">
      <c r="A363">
        <v>362</v>
      </c>
      <c r="B363" t="s">
        <v>1028</v>
      </c>
      <c r="C363" s="3">
        <v>14008</v>
      </c>
      <c r="D363" t="s">
        <v>667</v>
      </c>
      <c r="E363">
        <v>39</v>
      </c>
      <c r="F363" s="1">
        <v>45343</v>
      </c>
      <c r="G363" s="1" t="str">
        <f>TEXT(Table1[[#This Row],[Enrollment date]], "mmm")</f>
        <v>Feb</v>
      </c>
      <c r="H363" t="s">
        <v>360</v>
      </c>
      <c r="I363" t="s">
        <v>661</v>
      </c>
      <c r="J363" t="str">
        <f>_xlfn.XLOOKUP(Table1[[#This Row],[Course ]], CCF!B:B, CCF!A:A)</f>
        <v>DM101</v>
      </c>
      <c r="K363" t="s">
        <v>365</v>
      </c>
      <c r="L363">
        <f>_xlfn.XLOOKUP(K363, CCF!B:B, CCF!C:C)</f>
        <v>85499</v>
      </c>
      <c r="M363" t="s">
        <v>9</v>
      </c>
    </row>
    <row r="364" spans="1:13" x14ac:dyDescent="0.3">
      <c r="A364">
        <v>363</v>
      </c>
      <c r="B364" t="s">
        <v>1029</v>
      </c>
      <c r="C364" s="3">
        <v>20518</v>
      </c>
      <c r="D364" t="s">
        <v>666</v>
      </c>
      <c r="E364">
        <v>46</v>
      </c>
      <c r="F364" s="1">
        <v>45343</v>
      </c>
      <c r="G364" s="1" t="str">
        <f>TEXT(Table1[[#This Row],[Enrollment date]], "mmm")</f>
        <v>Feb</v>
      </c>
      <c r="H364" t="s">
        <v>360</v>
      </c>
      <c r="I364" t="s">
        <v>659</v>
      </c>
      <c r="J364" t="str">
        <f>_xlfn.XLOOKUP(Table1[[#This Row],[Course ]], CCF!B:B, CCF!A:A)</f>
        <v>DA202</v>
      </c>
      <c r="K364" t="s">
        <v>363</v>
      </c>
      <c r="L364">
        <f>_xlfn.XLOOKUP(K364, CCF!B:B, CCF!C:C)</f>
        <v>79999</v>
      </c>
      <c r="M364" t="s">
        <v>409</v>
      </c>
    </row>
    <row r="365" spans="1:13" x14ac:dyDescent="0.3">
      <c r="A365">
        <v>364</v>
      </c>
      <c r="B365" t="s">
        <v>1030</v>
      </c>
      <c r="C365" s="3">
        <v>47565</v>
      </c>
      <c r="D365" t="s">
        <v>667</v>
      </c>
      <c r="E365">
        <v>30</v>
      </c>
      <c r="F365" s="1">
        <v>45343</v>
      </c>
      <c r="G365" s="1" t="str">
        <f>TEXT(Table1[[#This Row],[Enrollment date]], "mmm")</f>
        <v>Feb</v>
      </c>
      <c r="H365" t="s">
        <v>360</v>
      </c>
      <c r="I365" t="s">
        <v>659</v>
      </c>
      <c r="J365" t="str">
        <f>_xlfn.XLOOKUP(Table1[[#This Row],[Course ]], CCF!B:B, CCF!A:A)</f>
        <v>DA202</v>
      </c>
      <c r="K365" t="s">
        <v>363</v>
      </c>
      <c r="L365">
        <f>_xlfn.XLOOKUP(K365, CCF!B:B, CCF!C:C)</f>
        <v>79999</v>
      </c>
      <c r="M365" t="s">
        <v>134</v>
      </c>
    </row>
    <row r="366" spans="1:13" x14ac:dyDescent="0.3">
      <c r="A366">
        <v>365</v>
      </c>
      <c r="B366" t="s">
        <v>1031</v>
      </c>
      <c r="C366" s="3">
        <v>69078</v>
      </c>
      <c r="D366" t="s">
        <v>666</v>
      </c>
      <c r="E366">
        <v>18</v>
      </c>
      <c r="F366" s="1">
        <v>45344</v>
      </c>
      <c r="G366" s="1" t="str">
        <f>TEXT(Table1[[#This Row],[Enrollment date]], "mmm")</f>
        <v>Feb</v>
      </c>
      <c r="H366" t="s">
        <v>360</v>
      </c>
      <c r="I366" t="s">
        <v>660</v>
      </c>
      <c r="J366" t="str">
        <f>_xlfn.XLOOKUP(Table1[[#This Row],[Course ]], CCF!B:B, CCF!A:A)</f>
        <v>DM101</v>
      </c>
      <c r="K366" t="s">
        <v>365</v>
      </c>
      <c r="L366">
        <f>_xlfn.XLOOKUP(K366, CCF!B:B, CCF!C:C)</f>
        <v>85499</v>
      </c>
      <c r="M366" t="s">
        <v>410</v>
      </c>
    </row>
    <row r="367" spans="1:13" x14ac:dyDescent="0.3">
      <c r="A367">
        <v>366</v>
      </c>
      <c r="B367" t="s">
        <v>1032</v>
      </c>
      <c r="C367" s="3">
        <v>87860</v>
      </c>
      <c r="D367" t="s">
        <v>666</v>
      </c>
      <c r="E367">
        <v>48</v>
      </c>
      <c r="F367" s="1">
        <v>45344</v>
      </c>
      <c r="G367" s="1" t="str">
        <f>TEXT(Table1[[#This Row],[Enrollment date]], "mmm")</f>
        <v>Feb</v>
      </c>
      <c r="H367" t="s">
        <v>360</v>
      </c>
      <c r="I367" t="s">
        <v>660</v>
      </c>
      <c r="J367" t="str">
        <f>_xlfn.XLOOKUP(Table1[[#This Row],[Course ]], CCF!B:B, CCF!A:A)</f>
        <v>BA301</v>
      </c>
      <c r="K367" t="s">
        <v>364</v>
      </c>
      <c r="L367">
        <f>_xlfn.XLOOKUP(K367, CCF!B:B, CCF!C:C)</f>
        <v>59999</v>
      </c>
      <c r="M367" t="s">
        <v>25</v>
      </c>
    </row>
    <row r="368" spans="1:13" x14ac:dyDescent="0.3">
      <c r="A368">
        <v>367</v>
      </c>
      <c r="B368" t="s">
        <v>1033</v>
      </c>
      <c r="C368" s="3">
        <v>50284</v>
      </c>
      <c r="D368" t="s">
        <v>666</v>
      </c>
      <c r="E368">
        <v>23</v>
      </c>
      <c r="F368" s="1">
        <v>45344</v>
      </c>
      <c r="G368" s="1" t="str">
        <f>TEXT(Table1[[#This Row],[Enrollment date]], "mmm")</f>
        <v>Feb</v>
      </c>
      <c r="H368" t="s">
        <v>360</v>
      </c>
      <c r="I368" t="s">
        <v>662</v>
      </c>
      <c r="J368" t="str">
        <f>_xlfn.XLOOKUP(Table1[[#This Row],[Course ]], CCF!B:B, CCF!A:A)</f>
        <v>DM101</v>
      </c>
      <c r="K368" t="s">
        <v>365</v>
      </c>
      <c r="L368">
        <f>_xlfn.XLOOKUP(K368, CCF!B:B, CCF!C:C)</f>
        <v>85499</v>
      </c>
      <c r="M368" t="s">
        <v>228</v>
      </c>
    </row>
    <row r="369" spans="1:13" x14ac:dyDescent="0.3">
      <c r="A369">
        <v>368</v>
      </c>
      <c r="B369" t="s">
        <v>1034</v>
      </c>
      <c r="C369" s="3">
        <v>68406</v>
      </c>
      <c r="D369" t="s">
        <v>666</v>
      </c>
      <c r="E369">
        <v>34</v>
      </c>
      <c r="F369" s="1">
        <v>45344</v>
      </c>
      <c r="G369" s="1" t="str">
        <f>TEXT(Table1[[#This Row],[Enrollment date]], "mmm")</f>
        <v>Feb</v>
      </c>
      <c r="H369" t="s">
        <v>360</v>
      </c>
      <c r="I369" t="s">
        <v>659</v>
      </c>
      <c r="J369" t="str">
        <f>_xlfn.XLOOKUP(Table1[[#This Row],[Course ]], CCF!B:B, CCF!A:A)</f>
        <v>DM101</v>
      </c>
      <c r="K369" t="s">
        <v>365</v>
      </c>
      <c r="L369">
        <f>_xlfn.XLOOKUP(K369, CCF!B:B, CCF!C:C)</f>
        <v>85499</v>
      </c>
      <c r="M369" t="s">
        <v>28</v>
      </c>
    </row>
    <row r="370" spans="1:13" x14ac:dyDescent="0.3">
      <c r="A370">
        <v>369</v>
      </c>
      <c r="B370" t="s">
        <v>1035</v>
      </c>
      <c r="C370" s="3">
        <v>91470</v>
      </c>
      <c r="D370" t="s">
        <v>667</v>
      </c>
      <c r="E370">
        <v>21</v>
      </c>
      <c r="F370" s="1">
        <v>45344</v>
      </c>
      <c r="G370" s="1" t="str">
        <f>TEXT(Table1[[#This Row],[Enrollment date]], "mmm")</f>
        <v>Feb</v>
      </c>
      <c r="H370" t="s">
        <v>360</v>
      </c>
      <c r="I370" t="s">
        <v>660</v>
      </c>
      <c r="J370" t="str">
        <f>_xlfn.XLOOKUP(Table1[[#This Row],[Course ]], CCF!B:B, CCF!A:A)</f>
        <v>BA301</v>
      </c>
      <c r="K370" t="s">
        <v>364</v>
      </c>
      <c r="L370">
        <f>_xlfn.XLOOKUP(K370, CCF!B:B, CCF!C:C)</f>
        <v>59999</v>
      </c>
      <c r="M370" t="s">
        <v>411</v>
      </c>
    </row>
    <row r="371" spans="1:13" x14ac:dyDescent="0.3">
      <c r="A371">
        <v>370</v>
      </c>
      <c r="B371" t="s">
        <v>1036</v>
      </c>
      <c r="C371" s="3">
        <v>63428</v>
      </c>
      <c r="D371" t="s">
        <v>666</v>
      </c>
      <c r="E371">
        <v>39</v>
      </c>
      <c r="F371" s="1">
        <v>45344</v>
      </c>
      <c r="G371" s="1" t="str">
        <f>TEXT(Table1[[#This Row],[Enrollment date]], "mmm")</f>
        <v>Feb</v>
      </c>
      <c r="H371" t="s">
        <v>360</v>
      </c>
      <c r="I371" t="s">
        <v>662</v>
      </c>
      <c r="J371" t="str">
        <f>_xlfn.XLOOKUP(Table1[[#This Row],[Course ]], CCF!B:B, CCF!A:A)</f>
        <v>DA202</v>
      </c>
      <c r="K371" t="s">
        <v>363</v>
      </c>
      <c r="L371">
        <f>_xlfn.XLOOKUP(K371, CCF!B:B, CCF!C:C)</f>
        <v>79999</v>
      </c>
      <c r="M371" t="s">
        <v>53</v>
      </c>
    </row>
    <row r="372" spans="1:13" x14ac:dyDescent="0.3">
      <c r="A372">
        <v>371</v>
      </c>
      <c r="B372" t="s">
        <v>1037</v>
      </c>
      <c r="C372" s="3">
        <v>39511</v>
      </c>
      <c r="D372" t="s">
        <v>666</v>
      </c>
      <c r="E372">
        <v>49</v>
      </c>
      <c r="F372" s="1">
        <v>45344</v>
      </c>
      <c r="G372" s="1" t="str">
        <f>TEXT(Table1[[#This Row],[Enrollment date]], "mmm")</f>
        <v>Feb</v>
      </c>
      <c r="H372" t="s">
        <v>360</v>
      </c>
      <c r="I372" t="s">
        <v>661</v>
      </c>
      <c r="J372" t="str">
        <f>_xlfn.XLOOKUP(Table1[[#This Row],[Course ]], CCF!B:B, CCF!A:A)</f>
        <v>DA202</v>
      </c>
      <c r="K372" t="s">
        <v>363</v>
      </c>
      <c r="L372">
        <f>_xlfn.XLOOKUP(K372, CCF!B:B, CCF!C:C)</f>
        <v>79999</v>
      </c>
      <c r="M372" t="s">
        <v>18</v>
      </c>
    </row>
    <row r="373" spans="1:13" x14ac:dyDescent="0.3">
      <c r="A373">
        <v>372</v>
      </c>
      <c r="B373" t="s">
        <v>1038</v>
      </c>
      <c r="C373" s="3">
        <v>87302</v>
      </c>
      <c r="D373" t="s">
        <v>666</v>
      </c>
      <c r="E373">
        <v>35</v>
      </c>
      <c r="F373" s="1">
        <v>45345</v>
      </c>
      <c r="G373" s="1" t="str">
        <f>TEXT(Table1[[#This Row],[Enrollment date]], "mmm")</f>
        <v>Feb</v>
      </c>
      <c r="H373" t="s">
        <v>360</v>
      </c>
      <c r="I373" t="s">
        <v>665</v>
      </c>
      <c r="J373" t="str">
        <f>_xlfn.XLOOKUP(Table1[[#This Row],[Course ]], CCF!B:B, CCF!A:A)</f>
        <v>DM101</v>
      </c>
      <c r="K373" t="s">
        <v>365</v>
      </c>
      <c r="L373">
        <f>_xlfn.XLOOKUP(K373, CCF!B:B, CCF!C:C)</f>
        <v>85499</v>
      </c>
      <c r="M373" t="s">
        <v>20</v>
      </c>
    </row>
    <row r="374" spans="1:13" x14ac:dyDescent="0.3">
      <c r="A374">
        <v>373</v>
      </c>
      <c r="B374" t="s">
        <v>1039</v>
      </c>
      <c r="C374" s="3">
        <v>82779</v>
      </c>
      <c r="D374" t="s">
        <v>666</v>
      </c>
      <c r="E374">
        <v>25</v>
      </c>
      <c r="F374" s="1">
        <v>45345</v>
      </c>
      <c r="G374" s="1" t="str">
        <f>TEXT(Table1[[#This Row],[Enrollment date]], "mmm")</f>
        <v>Feb</v>
      </c>
      <c r="H374" t="s">
        <v>360</v>
      </c>
      <c r="I374" t="s">
        <v>661</v>
      </c>
      <c r="J374" t="str">
        <f>_xlfn.XLOOKUP(Table1[[#This Row],[Course ]], CCF!B:B, CCF!A:A)</f>
        <v>DM101</v>
      </c>
      <c r="K374" t="s">
        <v>365</v>
      </c>
      <c r="L374">
        <f>_xlfn.XLOOKUP(K374, CCF!B:B, CCF!C:C)</f>
        <v>85499</v>
      </c>
      <c r="M374" t="s">
        <v>209</v>
      </c>
    </row>
    <row r="375" spans="1:13" x14ac:dyDescent="0.3">
      <c r="A375">
        <v>374</v>
      </c>
      <c r="B375" t="s">
        <v>1040</v>
      </c>
      <c r="C375" s="3">
        <v>51335</v>
      </c>
      <c r="D375" t="s">
        <v>666</v>
      </c>
      <c r="E375">
        <v>49</v>
      </c>
      <c r="F375" s="1">
        <v>45346</v>
      </c>
      <c r="G375" s="1" t="str">
        <f>TEXT(Table1[[#This Row],[Enrollment date]], "mmm")</f>
        <v>Feb</v>
      </c>
      <c r="H375" t="s">
        <v>360</v>
      </c>
      <c r="I375" t="s">
        <v>661</v>
      </c>
      <c r="J375" t="str">
        <f>_xlfn.XLOOKUP(Table1[[#This Row],[Course ]], CCF!B:B, CCF!A:A)</f>
        <v>BA301</v>
      </c>
      <c r="K375" t="s">
        <v>364</v>
      </c>
      <c r="L375">
        <f>_xlfn.XLOOKUP(K375, CCF!B:B, CCF!C:C)</f>
        <v>59999</v>
      </c>
      <c r="M375" t="s">
        <v>412</v>
      </c>
    </row>
    <row r="376" spans="1:13" x14ac:dyDescent="0.3">
      <c r="A376">
        <v>375</v>
      </c>
      <c r="B376" t="s">
        <v>1041</v>
      </c>
      <c r="C376" s="3">
        <v>99834</v>
      </c>
      <c r="D376" t="s">
        <v>666</v>
      </c>
      <c r="E376">
        <v>33</v>
      </c>
      <c r="F376" s="1">
        <v>45346</v>
      </c>
      <c r="G376" s="1" t="str">
        <f>TEXT(Table1[[#This Row],[Enrollment date]], "mmm")</f>
        <v>Feb</v>
      </c>
      <c r="H376" t="s">
        <v>360</v>
      </c>
      <c r="I376" t="s">
        <v>660</v>
      </c>
      <c r="J376" t="str">
        <f>_xlfn.XLOOKUP(Table1[[#This Row],[Course ]], CCF!B:B, CCF!A:A)</f>
        <v>DA202</v>
      </c>
      <c r="K376" t="s">
        <v>363</v>
      </c>
      <c r="L376">
        <f>_xlfn.XLOOKUP(K376, CCF!B:B, CCF!C:C)</f>
        <v>79999</v>
      </c>
      <c r="M376" t="s">
        <v>238</v>
      </c>
    </row>
    <row r="377" spans="1:13" x14ac:dyDescent="0.3">
      <c r="A377">
        <v>376</v>
      </c>
      <c r="B377" t="s">
        <v>1042</v>
      </c>
      <c r="C377" s="3">
        <v>37817</v>
      </c>
      <c r="D377" t="s">
        <v>667</v>
      </c>
      <c r="E377">
        <v>32</v>
      </c>
      <c r="F377" s="1">
        <v>45346</v>
      </c>
      <c r="G377" s="1" t="str">
        <f>TEXT(Table1[[#This Row],[Enrollment date]], "mmm")</f>
        <v>Feb</v>
      </c>
      <c r="H377" t="s">
        <v>360</v>
      </c>
      <c r="I377" t="s">
        <v>659</v>
      </c>
      <c r="J377" t="str">
        <f>_xlfn.XLOOKUP(Table1[[#This Row],[Course ]], CCF!B:B, CCF!A:A)</f>
        <v>UX401</v>
      </c>
      <c r="K377" t="s">
        <v>367</v>
      </c>
      <c r="L377">
        <f>_xlfn.XLOOKUP(K377, CCF!B:B, CCF!C:C)</f>
        <v>67990</v>
      </c>
      <c r="M377" t="s">
        <v>23</v>
      </c>
    </row>
    <row r="378" spans="1:13" x14ac:dyDescent="0.3">
      <c r="A378">
        <v>377</v>
      </c>
      <c r="B378" t="s">
        <v>1043</v>
      </c>
      <c r="C378" s="3">
        <v>39403</v>
      </c>
      <c r="D378" t="s">
        <v>666</v>
      </c>
      <c r="E378">
        <v>73</v>
      </c>
      <c r="F378" s="1">
        <v>45346</v>
      </c>
      <c r="G378" s="1" t="str">
        <f>TEXT(Table1[[#This Row],[Enrollment date]], "mmm")</f>
        <v>Feb</v>
      </c>
      <c r="H378" t="s">
        <v>360</v>
      </c>
      <c r="I378" t="s">
        <v>661</v>
      </c>
      <c r="J378" t="str">
        <f>_xlfn.XLOOKUP(Table1[[#This Row],[Course ]], CCF!B:B, CCF!A:A)</f>
        <v>DA202</v>
      </c>
      <c r="K378" t="s">
        <v>363</v>
      </c>
      <c r="L378">
        <f>_xlfn.XLOOKUP(K378, CCF!B:B, CCF!C:C)</f>
        <v>79999</v>
      </c>
      <c r="M378" t="s">
        <v>62</v>
      </c>
    </row>
    <row r="379" spans="1:13" x14ac:dyDescent="0.3">
      <c r="A379">
        <v>378</v>
      </c>
      <c r="B379" t="s">
        <v>1044</v>
      </c>
      <c r="C379" s="3">
        <v>23649</v>
      </c>
      <c r="D379" t="s">
        <v>666</v>
      </c>
      <c r="E379">
        <v>37</v>
      </c>
      <c r="F379" s="1">
        <v>45346</v>
      </c>
      <c r="G379" s="1" t="str">
        <f>TEXT(Table1[[#This Row],[Enrollment date]], "mmm")</f>
        <v>Feb</v>
      </c>
      <c r="H379" t="s">
        <v>360</v>
      </c>
      <c r="I379" t="s">
        <v>659</v>
      </c>
      <c r="J379" t="str">
        <f>_xlfn.XLOOKUP(Table1[[#This Row],[Course ]], CCF!B:B, CCF!A:A)</f>
        <v>DM101</v>
      </c>
      <c r="K379" t="s">
        <v>365</v>
      </c>
      <c r="L379">
        <f>_xlfn.XLOOKUP(K379, CCF!B:B, CCF!C:C)</f>
        <v>85499</v>
      </c>
      <c r="M379" t="s">
        <v>413</v>
      </c>
    </row>
    <row r="380" spans="1:13" x14ac:dyDescent="0.3">
      <c r="A380">
        <v>379</v>
      </c>
      <c r="B380" t="s">
        <v>1045</v>
      </c>
      <c r="C380" s="3">
        <v>25657</v>
      </c>
      <c r="D380" t="s">
        <v>666</v>
      </c>
      <c r="E380">
        <v>32</v>
      </c>
      <c r="F380" s="1">
        <v>45346</v>
      </c>
      <c r="G380" s="1" t="str">
        <f>TEXT(Table1[[#This Row],[Enrollment date]], "mmm")</f>
        <v>Feb</v>
      </c>
      <c r="H380" t="s">
        <v>360</v>
      </c>
      <c r="I380" t="s">
        <v>659</v>
      </c>
      <c r="J380" t="str">
        <f>_xlfn.XLOOKUP(Table1[[#This Row],[Course ]], CCF!B:B, CCF!A:A)</f>
        <v>DM101</v>
      </c>
      <c r="K380" t="s">
        <v>365</v>
      </c>
      <c r="L380">
        <f>_xlfn.XLOOKUP(K380, CCF!B:B, CCF!C:C)</f>
        <v>85499</v>
      </c>
      <c r="M380" t="s">
        <v>48</v>
      </c>
    </row>
    <row r="381" spans="1:13" x14ac:dyDescent="0.3">
      <c r="A381">
        <v>380</v>
      </c>
      <c r="B381" t="s">
        <v>1046</v>
      </c>
      <c r="C381" s="3">
        <v>98219</v>
      </c>
      <c r="D381" t="s">
        <v>667</v>
      </c>
      <c r="E381">
        <v>36</v>
      </c>
      <c r="F381" s="1">
        <v>45346</v>
      </c>
      <c r="G381" s="1" t="str">
        <f>TEXT(Table1[[#This Row],[Enrollment date]], "mmm")</f>
        <v>Feb</v>
      </c>
      <c r="H381" t="s">
        <v>360</v>
      </c>
      <c r="I381" t="s">
        <v>663</v>
      </c>
      <c r="J381" t="str">
        <f>_xlfn.XLOOKUP(Table1[[#This Row],[Course ]], CCF!B:B, CCF!A:A)</f>
        <v>BA301</v>
      </c>
      <c r="K381" t="s">
        <v>364</v>
      </c>
      <c r="L381">
        <f>_xlfn.XLOOKUP(K381, CCF!B:B, CCF!C:C)</f>
        <v>59999</v>
      </c>
      <c r="M381" t="s">
        <v>16</v>
      </c>
    </row>
    <row r="382" spans="1:13" x14ac:dyDescent="0.3">
      <c r="A382">
        <v>381</v>
      </c>
      <c r="B382" t="s">
        <v>1047</v>
      </c>
      <c r="C382" s="3">
        <v>93460</v>
      </c>
      <c r="D382" t="s">
        <v>666</v>
      </c>
      <c r="E382">
        <v>38</v>
      </c>
      <c r="F382" s="1">
        <v>45346</v>
      </c>
      <c r="G382" s="1" t="str">
        <f>TEXT(Table1[[#This Row],[Enrollment date]], "mmm")</f>
        <v>Feb</v>
      </c>
      <c r="H382" t="s">
        <v>360</v>
      </c>
      <c r="I382" t="s">
        <v>660</v>
      </c>
      <c r="J382" t="str">
        <f>_xlfn.XLOOKUP(Table1[[#This Row],[Course ]], CCF!B:B, CCF!A:A)</f>
        <v>BA301</v>
      </c>
      <c r="K382" t="s">
        <v>364</v>
      </c>
      <c r="L382">
        <f>_xlfn.XLOOKUP(K382, CCF!B:B, CCF!C:C)</f>
        <v>59999</v>
      </c>
      <c r="M382" t="s">
        <v>27</v>
      </c>
    </row>
    <row r="383" spans="1:13" x14ac:dyDescent="0.3">
      <c r="A383">
        <v>382</v>
      </c>
      <c r="B383" t="s">
        <v>1048</v>
      </c>
      <c r="C383" s="3">
        <v>47447</v>
      </c>
      <c r="D383" t="s">
        <v>667</v>
      </c>
      <c r="E383">
        <v>38</v>
      </c>
      <c r="F383" s="1">
        <v>45346</v>
      </c>
      <c r="G383" s="1" t="str">
        <f>TEXT(Table1[[#This Row],[Enrollment date]], "mmm")</f>
        <v>Feb</v>
      </c>
      <c r="H383" t="s">
        <v>360</v>
      </c>
      <c r="I383" t="s">
        <v>660</v>
      </c>
      <c r="J383" t="str">
        <f>_xlfn.XLOOKUP(Table1[[#This Row],[Course ]], CCF!B:B, CCF!A:A)</f>
        <v>DM101</v>
      </c>
      <c r="K383" t="s">
        <v>365</v>
      </c>
      <c r="L383">
        <f>_xlfn.XLOOKUP(K383, CCF!B:B, CCF!C:C)</f>
        <v>85499</v>
      </c>
      <c r="M383" t="s">
        <v>116</v>
      </c>
    </row>
    <row r="384" spans="1:13" x14ac:dyDescent="0.3">
      <c r="A384">
        <v>383</v>
      </c>
      <c r="B384" t="s">
        <v>1049</v>
      </c>
      <c r="C384" s="3">
        <v>73069</v>
      </c>
      <c r="D384" t="s">
        <v>667</v>
      </c>
      <c r="E384">
        <v>28</v>
      </c>
      <c r="F384" s="1">
        <v>45347</v>
      </c>
      <c r="G384" s="1" t="str">
        <f>TEXT(Table1[[#This Row],[Enrollment date]], "mmm")</f>
        <v>Feb</v>
      </c>
      <c r="H384" t="s">
        <v>360</v>
      </c>
      <c r="I384" t="s">
        <v>659</v>
      </c>
      <c r="J384" t="str">
        <f>_xlfn.XLOOKUP(Table1[[#This Row],[Course ]], CCF!B:B, CCF!A:A)</f>
        <v>DA202</v>
      </c>
      <c r="K384" t="s">
        <v>363</v>
      </c>
      <c r="L384">
        <f>_xlfn.XLOOKUP(K384, CCF!B:B, CCF!C:C)</f>
        <v>79999</v>
      </c>
      <c r="M384" t="s">
        <v>133</v>
      </c>
    </row>
    <row r="385" spans="1:13" x14ac:dyDescent="0.3">
      <c r="A385">
        <v>384</v>
      </c>
      <c r="B385" t="s">
        <v>1050</v>
      </c>
      <c r="C385" s="3">
        <v>19892</v>
      </c>
      <c r="D385" t="s">
        <v>666</v>
      </c>
      <c r="E385">
        <v>22</v>
      </c>
      <c r="F385" s="1">
        <v>45347</v>
      </c>
      <c r="G385" s="1" t="str">
        <f>TEXT(Table1[[#This Row],[Enrollment date]], "mmm")</f>
        <v>Feb</v>
      </c>
      <c r="H385" t="s">
        <v>360</v>
      </c>
      <c r="I385" t="s">
        <v>660</v>
      </c>
      <c r="J385" t="str">
        <f>_xlfn.XLOOKUP(Table1[[#This Row],[Course ]], CCF!B:B, CCF!A:A)</f>
        <v>BA301</v>
      </c>
      <c r="K385" t="s">
        <v>364</v>
      </c>
      <c r="L385">
        <f>_xlfn.XLOOKUP(K385, CCF!B:B, CCF!C:C)</f>
        <v>59999</v>
      </c>
      <c r="M385" t="s">
        <v>139</v>
      </c>
    </row>
    <row r="386" spans="1:13" x14ac:dyDescent="0.3">
      <c r="A386">
        <v>385</v>
      </c>
      <c r="B386" t="s">
        <v>1051</v>
      </c>
      <c r="C386" s="3">
        <v>43099</v>
      </c>
      <c r="D386" t="s">
        <v>666</v>
      </c>
      <c r="E386">
        <v>72</v>
      </c>
      <c r="F386" s="1">
        <v>45347</v>
      </c>
      <c r="G386" s="1" t="str">
        <f>TEXT(Table1[[#This Row],[Enrollment date]], "mmm")</f>
        <v>Feb</v>
      </c>
      <c r="H386" t="s">
        <v>360</v>
      </c>
      <c r="I386" t="s">
        <v>663</v>
      </c>
      <c r="J386" t="str">
        <f>_xlfn.XLOOKUP(Table1[[#This Row],[Course ]], CCF!B:B, CCF!A:A)</f>
        <v>DM101</v>
      </c>
      <c r="K386" t="s">
        <v>365</v>
      </c>
      <c r="L386">
        <f>_xlfn.XLOOKUP(K386, CCF!B:B, CCF!C:C)</f>
        <v>85499</v>
      </c>
      <c r="M386" t="s">
        <v>414</v>
      </c>
    </row>
    <row r="387" spans="1:13" x14ac:dyDescent="0.3">
      <c r="A387">
        <v>386</v>
      </c>
      <c r="B387" t="s">
        <v>1052</v>
      </c>
      <c r="C387" s="3">
        <v>31223</v>
      </c>
      <c r="D387" t="s">
        <v>666</v>
      </c>
      <c r="E387">
        <v>37</v>
      </c>
      <c r="F387" s="1">
        <v>45347</v>
      </c>
      <c r="G387" s="1" t="str">
        <f>TEXT(Table1[[#This Row],[Enrollment date]], "mmm")</f>
        <v>Feb</v>
      </c>
      <c r="H387" t="s">
        <v>360</v>
      </c>
      <c r="I387" t="s">
        <v>665</v>
      </c>
      <c r="J387" t="str">
        <f>_xlfn.XLOOKUP(Table1[[#This Row],[Course ]], CCF!B:B, CCF!A:A)</f>
        <v>DA202</v>
      </c>
      <c r="K387" t="s">
        <v>363</v>
      </c>
      <c r="L387">
        <f>_xlfn.XLOOKUP(K387, CCF!B:B, CCF!C:C)</f>
        <v>79999</v>
      </c>
      <c r="M387" t="s">
        <v>17</v>
      </c>
    </row>
    <row r="388" spans="1:13" x14ac:dyDescent="0.3">
      <c r="A388">
        <v>387</v>
      </c>
      <c r="B388" t="s">
        <v>1053</v>
      </c>
      <c r="C388" s="3">
        <v>41855</v>
      </c>
      <c r="D388" t="s">
        <v>666</v>
      </c>
      <c r="E388">
        <v>33</v>
      </c>
      <c r="F388" s="1">
        <v>45348</v>
      </c>
      <c r="G388" s="1" t="str">
        <f>TEXT(Table1[[#This Row],[Enrollment date]], "mmm")</f>
        <v>Feb</v>
      </c>
      <c r="H388" t="s">
        <v>360</v>
      </c>
      <c r="I388" t="s">
        <v>660</v>
      </c>
      <c r="J388" t="str">
        <f>_xlfn.XLOOKUP(Table1[[#This Row],[Course ]], CCF!B:B, CCF!A:A)</f>
        <v>DM101</v>
      </c>
      <c r="K388" t="s">
        <v>365</v>
      </c>
      <c r="L388">
        <f>_xlfn.XLOOKUP(K388, CCF!B:B, CCF!C:C)</f>
        <v>85499</v>
      </c>
      <c r="M388" t="s">
        <v>18</v>
      </c>
    </row>
    <row r="389" spans="1:13" x14ac:dyDescent="0.3">
      <c r="A389">
        <v>388</v>
      </c>
      <c r="B389" t="s">
        <v>1054</v>
      </c>
      <c r="C389" s="3">
        <v>69601</v>
      </c>
      <c r="D389" t="s">
        <v>666</v>
      </c>
      <c r="E389">
        <v>30</v>
      </c>
      <c r="F389" s="1">
        <v>45348</v>
      </c>
      <c r="G389" s="1" t="str">
        <f>TEXT(Table1[[#This Row],[Enrollment date]], "mmm")</f>
        <v>Feb</v>
      </c>
      <c r="H389" t="s">
        <v>3</v>
      </c>
      <c r="I389" t="s">
        <v>659</v>
      </c>
      <c r="J389" t="str">
        <f>_xlfn.XLOOKUP(Table1[[#This Row],[Course ]], CCF!B:B, CCF!A:A)</f>
        <v>DA202</v>
      </c>
      <c r="K389" t="s">
        <v>363</v>
      </c>
      <c r="L389">
        <f>_xlfn.XLOOKUP(K389, CCF!B:B, CCF!C:C)</f>
        <v>79999</v>
      </c>
      <c r="M389" t="s">
        <v>225</v>
      </c>
    </row>
    <row r="390" spans="1:13" x14ac:dyDescent="0.3">
      <c r="A390">
        <v>389</v>
      </c>
      <c r="B390" t="s">
        <v>1055</v>
      </c>
      <c r="C390" s="3">
        <v>44711</v>
      </c>
      <c r="D390" t="s">
        <v>667</v>
      </c>
      <c r="E390">
        <v>41</v>
      </c>
      <c r="F390" s="1">
        <v>45348</v>
      </c>
      <c r="G390" s="1" t="str">
        <f>TEXT(Table1[[#This Row],[Enrollment date]], "mmm")</f>
        <v>Feb</v>
      </c>
      <c r="H390" t="s">
        <v>360</v>
      </c>
      <c r="I390" t="s">
        <v>660</v>
      </c>
      <c r="J390" t="str">
        <f>_xlfn.XLOOKUP(Table1[[#This Row],[Course ]], CCF!B:B, CCF!A:A)</f>
        <v>DA202</v>
      </c>
      <c r="K390" t="s">
        <v>363</v>
      </c>
      <c r="L390">
        <f>_xlfn.XLOOKUP(K390, CCF!B:B, CCF!C:C)</f>
        <v>79999</v>
      </c>
      <c r="M390" t="s">
        <v>307</v>
      </c>
    </row>
    <row r="391" spans="1:13" x14ac:dyDescent="0.3">
      <c r="A391">
        <v>390</v>
      </c>
      <c r="B391" t="s">
        <v>1056</v>
      </c>
      <c r="C391" s="3">
        <v>61223</v>
      </c>
      <c r="D391" t="s">
        <v>666</v>
      </c>
      <c r="E391">
        <v>29</v>
      </c>
      <c r="F391" s="1">
        <v>45349</v>
      </c>
      <c r="G391" s="1" t="str">
        <f>TEXT(Table1[[#This Row],[Enrollment date]], "mmm")</f>
        <v>Feb</v>
      </c>
      <c r="H391" t="s">
        <v>360</v>
      </c>
      <c r="I391" t="s">
        <v>659</v>
      </c>
      <c r="J391" t="str">
        <f>_xlfn.XLOOKUP(Table1[[#This Row],[Course ]], CCF!B:B, CCF!A:A)</f>
        <v>DA202</v>
      </c>
      <c r="K391" t="s">
        <v>363</v>
      </c>
      <c r="L391">
        <f>_xlfn.XLOOKUP(K391, CCF!B:B, CCF!C:C)</f>
        <v>79999</v>
      </c>
      <c r="M391" t="s">
        <v>174</v>
      </c>
    </row>
    <row r="392" spans="1:13" x14ac:dyDescent="0.3">
      <c r="A392">
        <v>391</v>
      </c>
      <c r="B392" t="s">
        <v>1057</v>
      </c>
      <c r="C392" s="3">
        <v>17850</v>
      </c>
      <c r="D392" t="s">
        <v>666</v>
      </c>
      <c r="E392">
        <v>18</v>
      </c>
      <c r="F392" s="1">
        <v>45349</v>
      </c>
      <c r="G392" s="1" t="str">
        <f>TEXT(Table1[[#This Row],[Enrollment date]], "mmm")</f>
        <v>Feb</v>
      </c>
      <c r="H392" t="s">
        <v>360</v>
      </c>
      <c r="I392" t="s">
        <v>660</v>
      </c>
      <c r="J392" t="str">
        <f>_xlfn.XLOOKUP(Table1[[#This Row],[Course ]], CCF!B:B, CCF!A:A)</f>
        <v>BA301</v>
      </c>
      <c r="K392" t="s">
        <v>364</v>
      </c>
      <c r="L392">
        <f>_xlfn.XLOOKUP(K392, CCF!B:B, CCF!C:C)</f>
        <v>59999</v>
      </c>
      <c r="M392" t="s">
        <v>415</v>
      </c>
    </row>
    <row r="393" spans="1:13" x14ac:dyDescent="0.3">
      <c r="A393">
        <v>392</v>
      </c>
      <c r="B393" t="s">
        <v>1058</v>
      </c>
      <c r="C393" s="3">
        <v>43855</v>
      </c>
      <c r="D393" t="s">
        <v>667</v>
      </c>
      <c r="E393">
        <v>49</v>
      </c>
      <c r="F393" s="1">
        <v>45349</v>
      </c>
      <c r="G393" s="1" t="str">
        <f>TEXT(Table1[[#This Row],[Enrollment date]], "mmm")</f>
        <v>Feb</v>
      </c>
      <c r="H393" t="s">
        <v>360</v>
      </c>
      <c r="I393" t="s">
        <v>660</v>
      </c>
      <c r="J393" t="str">
        <f>_xlfn.XLOOKUP(Table1[[#This Row],[Course ]], CCF!B:B, CCF!A:A)</f>
        <v>DM101</v>
      </c>
      <c r="K393" t="s">
        <v>365</v>
      </c>
      <c r="L393">
        <f>_xlfn.XLOOKUP(K393, CCF!B:B, CCF!C:C)</f>
        <v>85499</v>
      </c>
      <c r="M393" t="s">
        <v>197</v>
      </c>
    </row>
    <row r="394" spans="1:13" x14ac:dyDescent="0.3">
      <c r="A394">
        <v>393</v>
      </c>
      <c r="B394" t="s">
        <v>1059</v>
      </c>
      <c r="C394" s="3">
        <v>10746</v>
      </c>
      <c r="D394" t="s">
        <v>666</v>
      </c>
      <c r="E394">
        <v>48</v>
      </c>
      <c r="F394" s="1">
        <v>45349</v>
      </c>
      <c r="G394" s="1" t="str">
        <f>TEXT(Table1[[#This Row],[Enrollment date]], "mmm")</f>
        <v>Feb</v>
      </c>
      <c r="H394" t="s">
        <v>360</v>
      </c>
      <c r="I394" t="s">
        <v>659</v>
      </c>
      <c r="J394" t="str">
        <f>_xlfn.XLOOKUP(Table1[[#This Row],[Course ]], CCF!B:B, CCF!A:A)</f>
        <v>BA301</v>
      </c>
      <c r="K394" t="s">
        <v>364</v>
      </c>
      <c r="L394">
        <f>_xlfn.XLOOKUP(K394, CCF!B:B, CCF!C:C)</f>
        <v>59999</v>
      </c>
      <c r="M394" t="s">
        <v>48</v>
      </c>
    </row>
    <row r="395" spans="1:13" x14ac:dyDescent="0.3">
      <c r="A395">
        <v>394</v>
      </c>
      <c r="B395" t="s">
        <v>1060</v>
      </c>
      <c r="C395" s="3">
        <v>30178</v>
      </c>
      <c r="D395" t="s">
        <v>666</v>
      </c>
      <c r="E395">
        <v>28</v>
      </c>
      <c r="F395" s="1">
        <v>45349</v>
      </c>
      <c r="G395" s="1" t="str">
        <f>TEXT(Table1[[#This Row],[Enrollment date]], "mmm")</f>
        <v>Feb</v>
      </c>
      <c r="H395" t="s">
        <v>360</v>
      </c>
      <c r="I395" t="s">
        <v>660</v>
      </c>
      <c r="J395" t="str">
        <f>_xlfn.XLOOKUP(Table1[[#This Row],[Course ]], CCF!B:B, CCF!A:A)</f>
        <v>DM101</v>
      </c>
      <c r="K395" t="s">
        <v>365</v>
      </c>
      <c r="L395">
        <f>_xlfn.XLOOKUP(K395, CCF!B:B, CCF!C:C)</f>
        <v>85499</v>
      </c>
      <c r="M395" t="s">
        <v>380</v>
      </c>
    </row>
    <row r="396" spans="1:13" x14ac:dyDescent="0.3">
      <c r="A396">
        <v>395</v>
      </c>
      <c r="B396" t="s">
        <v>1061</v>
      </c>
      <c r="C396" s="3">
        <v>43634</v>
      </c>
      <c r="D396" t="s">
        <v>666</v>
      </c>
      <c r="E396">
        <v>27</v>
      </c>
      <c r="F396" s="1">
        <v>45349</v>
      </c>
      <c r="G396" s="1" t="str">
        <f>TEXT(Table1[[#This Row],[Enrollment date]], "mmm")</f>
        <v>Feb</v>
      </c>
      <c r="H396" t="s">
        <v>360</v>
      </c>
      <c r="I396" t="s">
        <v>660</v>
      </c>
      <c r="J396" t="str">
        <f>_xlfn.XLOOKUP(Table1[[#This Row],[Course ]], CCF!B:B, CCF!A:A)</f>
        <v>DM101</v>
      </c>
      <c r="K396" t="s">
        <v>365</v>
      </c>
      <c r="L396">
        <f>_xlfn.XLOOKUP(K396, CCF!B:B, CCF!C:C)</f>
        <v>85499</v>
      </c>
      <c r="M396" t="s">
        <v>260</v>
      </c>
    </row>
    <row r="397" spans="1:13" x14ac:dyDescent="0.3">
      <c r="A397">
        <v>396</v>
      </c>
      <c r="B397" t="s">
        <v>1062</v>
      </c>
      <c r="C397" s="3">
        <v>14378</v>
      </c>
      <c r="D397" t="s">
        <v>666</v>
      </c>
      <c r="E397">
        <v>72</v>
      </c>
      <c r="F397" s="1">
        <v>45349</v>
      </c>
      <c r="G397" s="1" t="str">
        <f>TEXT(Table1[[#This Row],[Enrollment date]], "mmm")</f>
        <v>Feb</v>
      </c>
      <c r="H397" t="s">
        <v>360</v>
      </c>
      <c r="I397" t="s">
        <v>661</v>
      </c>
      <c r="J397" t="str">
        <f>_xlfn.XLOOKUP(Table1[[#This Row],[Course ]], CCF!B:B, CCF!A:A)</f>
        <v>DM101</v>
      </c>
      <c r="K397" t="s">
        <v>365</v>
      </c>
      <c r="L397">
        <f>_xlfn.XLOOKUP(K397, CCF!B:B, CCF!C:C)</f>
        <v>85499</v>
      </c>
      <c r="M397" t="s">
        <v>18</v>
      </c>
    </row>
    <row r="398" spans="1:13" x14ac:dyDescent="0.3">
      <c r="A398">
        <v>397</v>
      </c>
      <c r="B398" t="s">
        <v>1063</v>
      </c>
      <c r="C398" s="3">
        <v>65604</v>
      </c>
      <c r="D398" t="s">
        <v>667</v>
      </c>
      <c r="E398">
        <v>32</v>
      </c>
      <c r="F398" s="1">
        <v>45350</v>
      </c>
      <c r="G398" s="1" t="str">
        <f>TEXT(Table1[[#This Row],[Enrollment date]], "mmm")</f>
        <v>Feb</v>
      </c>
      <c r="H398" t="s">
        <v>360</v>
      </c>
      <c r="I398" t="s">
        <v>661</v>
      </c>
      <c r="J398" t="str">
        <f>_xlfn.XLOOKUP(Table1[[#This Row],[Course ]], CCF!B:B, CCF!A:A)</f>
        <v>DM101</v>
      </c>
      <c r="K398" t="s">
        <v>365</v>
      </c>
      <c r="L398">
        <f>_xlfn.XLOOKUP(K398, CCF!B:B, CCF!C:C)</f>
        <v>85499</v>
      </c>
      <c r="M398" t="s">
        <v>144</v>
      </c>
    </row>
    <row r="399" spans="1:13" x14ac:dyDescent="0.3">
      <c r="A399">
        <v>398</v>
      </c>
      <c r="B399" t="s">
        <v>1064</v>
      </c>
      <c r="C399" s="3">
        <v>98821</v>
      </c>
      <c r="D399" t="s">
        <v>666</v>
      </c>
      <c r="E399">
        <v>40</v>
      </c>
      <c r="F399" s="1">
        <v>45350</v>
      </c>
      <c r="G399" s="1" t="str">
        <f>TEXT(Table1[[#This Row],[Enrollment date]], "mmm")</f>
        <v>Feb</v>
      </c>
      <c r="H399" t="s">
        <v>360</v>
      </c>
      <c r="I399" t="s">
        <v>661</v>
      </c>
      <c r="J399" t="str">
        <f>_xlfn.XLOOKUP(Table1[[#This Row],[Course ]], CCF!B:B, CCF!A:A)</f>
        <v>BA301</v>
      </c>
      <c r="K399" t="s">
        <v>364</v>
      </c>
      <c r="L399">
        <f>_xlfn.XLOOKUP(K399, CCF!B:B, CCF!C:C)</f>
        <v>59999</v>
      </c>
      <c r="M399" t="s">
        <v>65</v>
      </c>
    </row>
    <row r="400" spans="1:13" x14ac:dyDescent="0.3">
      <c r="A400">
        <v>399</v>
      </c>
      <c r="B400" t="s">
        <v>1065</v>
      </c>
      <c r="C400" s="3">
        <v>98572</v>
      </c>
      <c r="D400" t="s">
        <v>666</v>
      </c>
      <c r="E400">
        <v>48</v>
      </c>
      <c r="F400" s="1">
        <v>45350</v>
      </c>
      <c r="G400" s="1" t="str">
        <f>TEXT(Table1[[#This Row],[Enrollment date]], "mmm")</f>
        <v>Feb</v>
      </c>
      <c r="H400" t="s">
        <v>360</v>
      </c>
      <c r="I400" t="s">
        <v>659</v>
      </c>
      <c r="J400" t="str">
        <f>_xlfn.XLOOKUP(Table1[[#This Row],[Course ]], CCF!B:B, CCF!A:A)</f>
        <v>DM101</v>
      </c>
      <c r="K400" t="s">
        <v>365</v>
      </c>
      <c r="L400">
        <f>_xlfn.XLOOKUP(K400, CCF!B:B, CCF!C:C)</f>
        <v>85499</v>
      </c>
      <c r="M400" t="s">
        <v>17</v>
      </c>
    </row>
    <row r="401" spans="1:13" x14ac:dyDescent="0.3">
      <c r="A401">
        <v>400</v>
      </c>
      <c r="B401" t="s">
        <v>1066</v>
      </c>
      <c r="C401" s="3">
        <v>15601</v>
      </c>
      <c r="D401" t="s">
        <v>667</v>
      </c>
      <c r="E401">
        <v>60</v>
      </c>
      <c r="F401" s="1">
        <v>45350</v>
      </c>
      <c r="G401" s="1" t="str">
        <f>TEXT(Table1[[#This Row],[Enrollment date]], "mmm")</f>
        <v>Feb</v>
      </c>
      <c r="H401" t="s">
        <v>360</v>
      </c>
      <c r="I401" t="s">
        <v>662</v>
      </c>
      <c r="J401" t="str">
        <f>_xlfn.XLOOKUP(Table1[[#This Row],[Course ]], CCF!B:B, CCF!A:A)</f>
        <v>BA301</v>
      </c>
      <c r="K401" t="s">
        <v>364</v>
      </c>
      <c r="L401">
        <f>_xlfn.XLOOKUP(K401, CCF!B:B, CCF!C:C)</f>
        <v>59999</v>
      </c>
      <c r="M401" t="s">
        <v>27</v>
      </c>
    </row>
    <row r="402" spans="1:13" x14ac:dyDescent="0.3">
      <c r="A402">
        <v>401</v>
      </c>
      <c r="B402" t="s">
        <v>1067</v>
      </c>
      <c r="C402" s="3">
        <v>55964</v>
      </c>
      <c r="D402" t="s">
        <v>667</v>
      </c>
      <c r="E402">
        <v>34</v>
      </c>
      <c r="F402" s="1">
        <v>45351</v>
      </c>
      <c r="G402" s="1" t="str">
        <f>TEXT(Table1[[#This Row],[Enrollment date]], "mmm")</f>
        <v>Feb</v>
      </c>
      <c r="H402" t="s">
        <v>360</v>
      </c>
      <c r="I402" t="s">
        <v>661</v>
      </c>
      <c r="J402" t="str">
        <f>_xlfn.XLOOKUP(Table1[[#This Row],[Course ]], CCF!B:B, CCF!A:A)</f>
        <v>DA202</v>
      </c>
      <c r="K402" t="s">
        <v>363</v>
      </c>
      <c r="L402">
        <f>_xlfn.XLOOKUP(K402, CCF!B:B, CCF!C:C)</f>
        <v>79999</v>
      </c>
      <c r="M402" t="s">
        <v>226</v>
      </c>
    </row>
    <row r="403" spans="1:13" x14ac:dyDescent="0.3">
      <c r="A403">
        <v>402</v>
      </c>
      <c r="B403" t="s">
        <v>1068</v>
      </c>
      <c r="C403" s="3">
        <v>52076</v>
      </c>
      <c r="D403" t="s">
        <v>667</v>
      </c>
      <c r="E403">
        <v>38</v>
      </c>
      <c r="F403" s="1">
        <v>45351</v>
      </c>
      <c r="G403" s="1" t="str">
        <f>TEXT(Table1[[#This Row],[Enrollment date]], "mmm")</f>
        <v>Feb</v>
      </c>
      <c r="H403" t="s">
        <v>360</v>
      </c>
      <c r="I403" t="s">
        <v>660</v>
      </c>
      <c r="J403" t="str">
        <f>_xlfn.XLOOKUP(Table1[[#This Row],[Course ]], CCF!B:B, CCF!A:A)</f>
        <v>FSD103</v>
      </c>
      <c r="K403" t="s">
        <v>366</v>
      </c>
      <c r="L403">
        <f>_xlfn.XLOOKUP(K403, CCF!B:B, CCF!C:C)</f>
        <v>109990</v>
      </c>
      <c r="M403" t="s">
        <v>7</v>
      </c>
    </row>
    <row r="404" spans="1:13" x14ac:dyDescent="0.3">
      <c r="A404">
        <v>403</v>
      </c>
      <c r="B404" t="s">
        <v>1069</v>
      </c>
      <c r="C404" s="3">
        <v>35336</v>
      </c>
      <c r="D404" t="s">
        <v>666</v>
      </c>
      <c r="E404">
        <v>27</v>
      </c>
      <c r="F404" s="1">
        <v>45351</v>
      </c>
      <c r="G404" s="1" t="str">
        <f>TEXT(Table1[[#This Row],[Enrollment date]], "mmm")</f>
        <v>Feb</v>
      </c>
      <c r="H404" t="s">
        <v>360</v>
      </c>
      <c r="I404" t="s">
        <v>659</v>
      </c>
      <c r="J404" t="str">
        <f>_xlfn.XLOOKUP(Table1[[#This Row],[Course ]], CCF!B:B, CCF!A:A)</f>
        <v>BA301</v>
      </c>
      <c r="K404" t="s">
        <v>364</v>
      </c>
      <c r="L404">
        <f>_xlfn.XLOOKUP(K404, CCF!B:B, CCF!C:C)</f>
        <v>59999</v>
      </c>
      <c r="M404" t="s">
        <v>43</v>
      </c>
    </row>
    <row r="405" spans="1:13" x14ac:dyDescent="0.3">
      <c r="A405">
        <v>404</v>
      </c>
      <c r="B405" t="s">
        <v>1070</v>
      </c>
      <c r="C405" s="3">
        <v>75003</v>
      </c>
      <c r="D405" t="s">
        <v>667</v>
      </c>
      <c r="E405">
        <v>49</v>
      </c>
      <c r="F405" s="1">
        <v>45351</v>
      </c>
      <c r="G405" s="1" t="str">
        <f>TEXT(Table1[[#This Row],[Enrollment date]], "mmm")</f>
        <v>Feb</v>
      </c>
      <c r="H405" t="s">
        <v>360</v>
      </c>
      <c r="I405" t="s">
        <v>660</v>
      </c>
      <c r="J405" t="str">
        <f>_xlfn.XLOOKUP(Table1[[#This Row],[Course ]], CCF!B:B, CCF!A:A)</f>
        <v>FSD103</v>
      </c>
      <c r="K405" t="s">
        <v>366</v>
      </c>
      <c r="L405">
        <f>_xlfn.XLOOKUP(K405, CCF!B:B, CCF!C:C)</f>
        <v>109990</v>
      </c>
      <c r="M405" t="s">
        <v>18</v>
      </c>
    </row>
    <row r="406" spans="1:13" x14ac:dyDescent="0.3">
      <c r="A406">
        <v>405</v>
      </c>
      <c r="B406" t="s">
        <v>1071</v>
      </c>
      <c r="C406" s="3">
        <v>80453</v>
      </c>
      <c r="D406" t="s">
        <v>666</v>
      </c>
      <c r="E406">
        <v>44</v>
      </c>
      <c r="F406" s="1">
        <v>45351</v>
      </c>
      <c r="G406" s="1" t="str">
        <f>TEXT(Table1[[#This Row],[Enrollment date]], "mmm")</f>
        <v>Feb</v>
      </c>
      <c r="H406" t="s">
        <v>360</v>
      </c>
      <c r="I406" t="s">
        <v>659</v>
      </c>
      <c r="J406" t="str">
        <f>_xlfn.XLOOKUP(Table1[[#This Row],[Course ]], CCF!B:B, CCF!A:A)</f>
        <v>DM101</v>
      </c>
      <c r="K406" t="s">
        <v>365</v>
      </c>
      <c r="L406">
        <f>_xlfn.XLOOKUP(K406, CCF!B:B, CCF!C:C)</f>
        <v>85499</v>
      </c>
      <c r="M406" t="s">
        <v>84</v>
      </c>
    </row>
    <row r="407" spans="1:13" x14ac:dyDescent="0.3">
      <c r="A407">
        <v>406</v>
      </c>
      <c r="B407" t="s">
        <v>1072</v>
      </c>
      <c r="C407" s="3">
        <v>62050</v>
      </c>
      <c r="D407" t="s">
        <v>666</v>
      </c>
      <c r="E407">
        <v>32</v>
      </c>
      <c r="F407" s="1">
        <v>45351</v>
      </c>
      <c r="G407" s="1" t="str">
        <f>TEXT(Table1[[#This Row],[Enrollment date]], "mmm")</f>
        <v>Feb</v>
      </c>
      <c r="H407" t="s">
        <v>360</v>
      </c>
      <c r="I407" t="s">
        <v>659</v>
      </c>
      <c r="J407" t="str">
        <f>_xlfn.XLOOKUP(Table1[[#This Row],[Course ]], CCF!B:B, CCF!A:A)</f>
        <v>DA202</v>
      </c>
      <c r="K407" t="s">
        <v>363</v>
      </c>
      <c r="L407">
        <f>_xlfn.XLOOKUP(K407, CCF!B:B, CCF!C:C)</f>
        <v>79999</v>
      </c>
      <c r="M407" t="s">
        <v>9</v>
      </c>
    </row>
    <row r="408" spans="1:13" x14ac:dyDescent="0.3">
      <c r="A408">
        <v>407</v>
      </c>
      <c r="B408" t="s">
        <v>1073</v>
      </c>
      <c r="C408" s="3">
        <v>18484</v>
      </c>
      <c r="D408" t="s">
        <v>666</v>
      </c>
      <c r="E408">
        <v>23</v>
      </c>
      <c r="F408" s="1">
        <v>45351</v>
      </c>
      <c r="G408" s="1" t="str">
        <f>TEXT(Table1[[#This Row],[Enrollment date]], "mmm")</f>
        <v>Feb</v>
      </c>
      <c r="H408" t="s">
        <v>360</v>
      </c>
      <c r="I408" t="s">
        <v>659</v>
      </c>
      <c r="J408" t="str">
        <f>_xlfn.XLOOKUP(Table1[[#This Row],[Course ]], CCF!B:B, CCF!A:A)</f>
        <v>DM101</v>
      </c>
      <c r="K408" t="s">
        <v>365</v>
      </c>
      <c r="L408">
        <f>_xlfn.XLOOKUP(K408, CCF!B:B, CCF!C:C)</f>
        <v>85499</v>
      </c>
      <c r="M408" t="s">
        <v>18</v>
      </c>
    </row>
    <row r="409" spans="1:13" x14ac:dyDescent="0.3">
      <c r="A409">
        <v>408</v>
      </c>
      <c r="B409" t="s">
        <v>1074</v>
      </c>
      <c r="C409" s="3">
        <v>27983</v>
      </c>
      <c r="D409" t="s">
        <v>666</v>
      </c>
      <c r="E409">
        <v>22</v>
      </c>
      <c r="F409" s="1">
        <v>45351</v>
      </c>
      <c r="G409" s="1" t="str">
        <f>TEXT(Table1[[#This Row],[Enrollment date]], "mmm")</f>
        <v>Feb</v>
      </c>
      <c r="H409" t="s">
        <v>360</v>
      </c>
      <c r="I409" t="s">
        <v>660</v>
      </c>
      <c r="J409" t="str">
        <f>_xlfn.XLOOKUP(Table1[[#This Row],[Course ]], CCF!B:B, CCF!A:A)</f>
        <v>BA301</v>
      </c>
      <c r="K409" t="s">
        <v>364</v>
      </c>
      <c r="L409">
        <f>_xlfn.XLOOKUP(K409, CCF!B:B, CCF!C:C)</f>
        <v>59999</v>
      </c>
      <c r="M409" t="s">
        <v>48</v>
      </c>
    </row>
    <row r="410" spans="1:13" x14ac:dyDescent="0.3">
      <c r="A410">
        <v>409</v>
      </c>
      <c r="B410" t="s">
        <v>1075</v>
      </c>
      <c r="C410" s="3">
        <v>30784</v>
      </c>
      <c r="D410" t="s">
        <v>666</v>
      </c>
      <c r="E410">
        <v>43</v>
      </c>
      <c r="F410" s="1">
        <v>45351</v>
      </c>
      <c r="G410" s="1" t="str">
        <f>TEXT(Table1[[#This Row],[Enrollment date]], "mmm")</f>
        <v>Feb</v>
      </c>
      <c r="H410" t="s">
        <v>360</v>
      </c>
      <c r="I410" t="s">
        <v>659</v>
      </c>
      <c r="J410" t="str">
        <f>_xlfn.XLOOKUP(Table1[[#This Row],[Course ]], CCF!B:B, CCF!A:A)</f>
        <v>UX401</v>
      </c>
      <c r="K410" t="s">
        <v>367</v>
      </c>
      <c r="L410">
        <f>_xlfn.XLOOKUP(K410, CCF!B:B, CCF!C:C)</f>
        <v>67990</v>
      </c>
      <c r="M410" t="s">
        <v>17</v>
      </c>
    </row>
    <row r="411" spans="1:13" x14ac:dyDescent="0.3">
      <c r="A411">
        <v>410</v>
      </c>
      <c r="B411" t="s">
        <v>1076</v>
      </c>
      <c r="C411" s="3">
        <v>26012</v>
      </c>
      <c r="D411" t="s">
        <v>666</v>
      </c>
      <c r="E411">
        <v>36</v>
      </c>
      <c r="F411" s="1">
        <v>45351</v>
      </c>
      <c r="G411" s="1" t="str">
        <f>TEXT(Table1[[#This Row],[Enrollment date]], "mmm")</f>
        <v>Feb</v>
      </c>
      <c r="H411" t="s">
        <v>360</v>
      </c>
      <c r="I411" t="s">
        <v>660</v>
      </c>
      <c r="J411" t="str">
        <f>_xlfn.XLOOKUP(Table1[[#This Row],[Course ]], CCF!B:B, CCF!A:A)</f>
        <v>DM101</v>
      </c>
      <c r="K411" t="s">
        <v>365</v>
      </c>
      <c r="L411">
        <f>_xlfn.XLOOKUP(K411, CCF!B:B, CCF!C:C)</f>
        <v>85499</v>
      </c>
      <c r="M411" t="s">
        <v>318</v>
      </c>
    </row>
    <row r="412" spans="1:13" x14ac:dyDescent="0.3">
      <c r="A412">
        <v>411</v>
      </c>
      <c r="B412" t="s">
        <v>1077</v>
      </c>
      <c r="C412" s="3">
        <v>37096</v>
      </c>
      <c r="D412" t="s">
        <v>667</v>
      </c>
      <c r="E412">
        <v>76</v>
      </c>
      <c r="F412" s="1">
        <v>45352</v>
      </c>
      <c r="G412" s="1" t="str">
        <f>TEXT(Table1[[#This Row],[Enrollment date]], "mmm")</f>
        <v>Mar</v>
      </c>
      <c r="H412" t="s">
        <v>360</v>
      </c>
      <c r="I412" t="s">
        <v>665</v>
      </c>
      <c r="J412" t="str">
        <f>_xlfn.XLOOKUP(Table1[[#This Row],[Course ]], CCF!B:B, CCF!A:A)</f>
        <v>DA202</v>
      </c>
      <c r="K412" t="s">
        <v>363</v>
      </c>
      <c r="L412">
        <f>_xlfn.XLOOKUP(K412, CCF!B:B, CCF!C:C)</f>
        <v>79999</v>
      </c>
      <c r="M412" t="s">
        <v>416</v>
      </c>
    </row>
    <row r="413" spans="1:13" x14ac:dyDescent="0.3">
      <c r="A413">
        <v>412</v>
      </c>
      <c r="B413" t="s">
        <v>1078</v>
      </c>
      <c r="C413" s="3">
        <v>99938</v>
      </c>
      <c r="D413" t="s">
        <v>666</v>
      </c>
      <c r="E413">
        <v>42</v>
      </c>
      <c r="F413" s="1">
        <v>45352</v>
      </c>
      <c r="G413" s="1" t="str">
        <f>TEXT(Table1[[#This Row],[Enrollment date]], "mmm")</f>
        <v>Mar</v>
      </c>
      <c r="H413" t="s">
        <v>3</v>
      </c>
      <c r="I413" t="s">
        <v>659</v>
      </c>
      <c r="J413" t="str">
        <f>_xlfn.XLOOKUP(Table1[[#This Row],[Course ]], CCF!B:B, CCF!A:A)</f>
        <v>DA202</v>
      </c>
      <c r="K413" t="s">
        <v>363</v>
      </c>
      <c r="L413">
        <f>_xlfn.XLOOKUP(K413, CCF!B:B, CCF!C:C)</f>
        <v>79999</v>
      </c>
      <c r="M413" t="s">
        <v>104</v>
      </c>
    </row>
    <row r="414" spans="1:13" x14ac:dyDescent="0.3">
      <c r="A414">
        <v>413</v>
      </c>
      <c r="B414" t="s">
        <v>1079</v>
      </c>
      <c r="C414" s="3">
        <v>66504</v>
      </c>
      <c r="D414" t="s">
        <v>666</v>
      </c>
      <c r="E414">
        <v>25</v>
      </c>
      <c r="F414" s="1">
        <v>45352</v>
      </c>
      <c r="G414" s="1" t="str">
        <f>TEXT(Table1[[#This Row],[Enrollment date]], "mmm")</f>
        <v>Mar</v>
      </c>
      <c r="H414" t="s">
        <v>360</v>
      </c>
      <c r="I414" t="s">
        <v>660</v>
      </c>
      <c r="J414" t="str">
        <f>_xlfn.XLOOKUP(Table1[[#This Row],[Course ]], CCF!B:B, CCF!A:A)</f>
        <v>DM101</v>
      </c>
      <c r="K414" t="s">
        <v>365</v>
      </c>
      <c r="L414">
        <f>_xlfn.XLOOKUP(K414, CCF!B:B, CCF!C:C)</f>
        <v>85499</v>
      </c>
      <c r="M414" t="s">
        <v>20</v>
      </c>
    </row>
    <row r="415" spans="1:13" x14ac:dyDescent="0.3">
      <c r="A415">
        <v>414</v>
      </c>
      <c r="B415" t="s">
        <v>1080</v>
      </c>
      <c r="C415" s="3">
        <v>16010</v>
      </c>
      <c r="D415" t="s">
        <v>667</v>
      </c>
      <c r="E415">
        <v>42</v>
      </c>
      <c r="F415" s="1">
        <v>45352</v>
      </c>
      <c r="G415" s="1" t="str">
        <f>TEXT(Table1[[#This Row],[Enrollment date]], "mmm")</f>
        <v>Mar</v>
      </c>
      <c r="H415" t="s">
        <v>3</v>
      </c>
      <c r="I415" t="s">
        <v>661</v>
      </c>
      <c r="J415" t="str">
        <f>_xlfn.XLOOKUP(Table1[[#This Row],[Course ]], CCF!B:B, CCF!A:A)</f>
        <v>DA202</v>
      </c>
      <c r="K415" t="s">
        <v>363</v>
      </c>
      <c r="L415">
        <f>_xlfn.XLOOKUP(K415, CCF!B:B, CCF!C:C)</f>
        <v>79999</v>
      </c>
      <c r="M415" t="s">
        <v>175</v>
      </c>
    </row>
    <row r="416" spans="1:13" x14ac:dyDescent="0.3">
      <c r="A416">
        <v>415</v>
      </c>
      <c r="B416" t="s">
        <v>1081</v>
      </c>
      <c r="C416" s="3">
        <v>78077</v>
      </c>
      <c r="D416" t="s">
        <v>666</v>
      </c>
      <c r="E416">
        <v>27</v>
      </c>
      <c r="F416" s="1">
        <v>45352</v>
      </c>
      <c r="G416" s="1" t="str">
        <f>TEXT(Table1[[#This Row],[Enrollment date]], "mmm")</f>
        <v>Mar</v>
      </c>
      <c r="H416" t="s">
        <v>360</v>
      </c>
      <c r="I416" t="s">
        <v>660</v>
      </c>
      <c r="J416" t="str">
        <f>_xlfn.XLOOKUP(Table1[[#This Row],[Course ]], CCF!B:B, CCF!A:A)</f>
        <v>BA301</v>
      </c>
      <c r="K416" t="s">
        <v>364</v>
      </c>
      <c r="L416">
        <f>_xlfn.XLOOKUP(K416, CCF!B:B, CCF!C:C)</f>
        <v>59999</v>
      </c>
      <c r="M416" t="s">
        <v>9</v>
      </c>
    </row>
    <row r="417" spans="1:13" x14ac:dyDescent="0.3">
      <c r="A417">
        <v>416</v>
      </c>
      <c r="B417" t="s">
        <v>1082</v>
      </c>
      <c r="C417" s="3">
        <v>72323</v>
      </c>
      <c r="D417" t="s">
        <v>666</v>
      </c>
      <c r="E417">
        <v>75</v>
      </c>
      <c r="F417" s="1">
        <v>45353</v>
      </c>
      <c r="G417" s="1" t="str">
        <f>TEXT(Table1[[#This Row],[Enrollment date]], "mmm")</f>
        <v>Mar</v>
      </c>
      <c r="H417" t="s">
        <v>360</v>
      </c>
      <c r="I417" t="s">
        <v>661</v>
      </c>
      <c r="J417" t="str">
        <f>_xlfn.XLOOKUP(Table1[[#This Row],[Course ]], CCF!B:B, CCF!A:A)</f>
        <v>DM101</v>
      </c>
      <c r="K417" t="s">
        <v>365</v>
      </c>
      <c r="L417">
        <f>_xlfn.XLOOKUP(K417, CCF!B:B, CCF!C:C)</f>
        <v>85499</v>
      </c>
      <c r="M417" t="s">
        <v>148</v>
      </c>
    </row>
    <row r="418" spans="1:13" x14ac:dyDescent="0.3">
      <c r="A418">
        <v>417</v>
      </c>
      <c r="B418" t="s">
        <v>1083</v>
      </c>
      <c r="C418" s="3">
        <v>95981</v>
      </c>
      <c r="D418" t="s">
        <v>667</v>
      </c>
      <c r="E418">
        <v>31</v>
      </c>
      <c r="F418" s="1">
        <v>45353</v>
      </c>
      <c r="G418" s="1" t="str">
        <f>TEXT(Table1[[#This Row],[Enrollment date]], "mmm")</f>
        <v>Mar</v>
      </c>
      <c r="H418" t="s">
        <v>360</v>
      </c>
      <c r="I418" t="s">
        <v>663</v>
      </c>
      <c r="J418" t="str">
        <f>_xlfn.XLOOKUP(Table1[[#This Row],[Course ]], CCF!B:B, CCF!A:A)</f>
        <v>DA202</v>
      </c>
      <c r="K418" t="s">
        <v>363</v>
      </c>
      <c r="L418">
        <f>_xlfn.XLOOKUP(K418, CCF!B:B, CCF!C:C)</f>
        <v>79999</v>
      </c>
      <c r="M418" t="s">
        <v>16</v>
      </c>
    </row>
    <row r="419" spans="1:13" x14ac:dyDescent="0.3">
      <c r="A419">
        <v>418</v>
      </c>
      <c r="B419" t="s">
        <v>1084</v>
      </c>
      <c r="C419" s="3">
        <v>43662</v>
      </c>
      <c r="D419" t="s">
        <v>666</v>
      </c>
      <c r="E419">
        <v>23</v>
      </c>
      <c r="F419" s="1">
        <v>45353</v>
      </c>
      <c r="G419" s="1" t="str">
        <f>TEXT(Table1[[#This Row],[Enrollment date]], "mmm")</f>
        <v>Mar</v>
      </c>
      <c r="H419" t="s">
        <v>360</v>
      </c>
      <c r="I419" t="s">
        <v>661</v>
      </c>
      <c r="J419" t="str">
        <f>_xlfn.XLOOKUP(Table1[[#This Row],[Course ]], CCF!B:B, CCF!A:A)</f>
        <v>FSD103</v>
      </c>
      <c r="K419" t="s">
        <v>366</v>
      </c>
      <c r="L419">
        <f>_xlfn.XLOOKUP(K419, CCF!B:B, CCF!C:C)</f>
        <v>109990</v>
      </c>
      <c r="M419" t="s">
        <v>30</v>
      </c>
    </row>
    <row r="420" spans="1:13" x14ac:dyDescent="0.3">
      <c r="A420">
        <v>419</v>
      </c>
      <c r="B420" t="s">
        <v>1085</v>
      </c>
      <c r="C420" s="3">
        <v>45975</v>
      </c>
      <c r="D420" t="s">
        <v>666</v>
      </c>
      <c r="E420">
        <v>27</v>
      </c>
      <c r="F420" s="1">
        <v>45353</v>
      </c>
      <c r="G420" s="1" t="str">
        <f>TEXT(Table1[[#This Row],[Enrollment date]], "mmm")</f>
        <v>Mar</v>
      </c>
      <c r="H420" t="s">
        <v>3</v>
      </c>
      <c r="I420" t="s">
        <v>664</v>
      </c>
      <c r="J420" t="str">
        <f>_xlfn.XLOOKUP(Table1[[#This Row],[Course ]], CCF!B:B, CCF!A:A)</f>
        <v>DA202</v>
      </c>
      <c r="K420" t="s">
        <v>363</v>
      </c>
      <c r="L420">
        <f>_xlfn.XLOOKUP(K420, CCF!B:B, CCF!C:C)</f>
        <v>79999</v>
      </c>
      <c r="M420" t="s">
        <v>417</v>
      </c>
    </row>
    <row r="421" spans="1:13" x14ac:dyDescent="0.3">
      <c r="A421">
        <v>420</v>
      </c>
      <c r="B421" t="s">
        <v>1086</v>
      </c>
      <c r="C421" s="3">
        <v>60055</v>
      </c>
      <c r="D421" t="s">
        <v>666</v>
      </c>
      <c r="E421">
        <v>22</v>
      </c>
      <c r="F421" s="1">
        <v>45353</v>
      </c>
      <c r="G421" s="1" t="str">
        <f>TEXT(Table1[[#This Row],[Enrollment date]], "mmm")</f>
        <v>Mar</v>
      </c>
      <c r="H421" t="s">
        <v>360</v>
      </c>
      <c r="I421" t="s">
        <v>662</v>
      </c>
      <c r="J421" t="str">
        <f>_xlfn.XLOOKUP(Table1[[#This Row],[Course ]], CCF!B:B, CCF!A:A)</f>
        <v>DM101</v>
      </c>
      <c r="K421" t="s">
        <v>365</v>
      </c>
      <c r="L421">
        <f>_xlfn.XLOOKUP(K421, CCF!B:B, CCF!C:C)</f>
        <v>85499</v>
      </c>
      <c r="M421" t="s">
        <v>80</v>
      </c>
    </row>
    <row r="422" spans="1:13" x14ac:dyDescent="0.3">
      <c r="A422">
        <v>421</v>
      </c>
      <c r="B422" t="s">
        <v>1087</v>
      </c>
      <c r="C422" s="3">
        <v>79679</v>
      </c>
      <c r="D422" t="s">
        <v>666</v>
      </c>
      <c r="E422">
        <v>55</v>
      </c>
      <c r="F422" s="1">
        <v>45353</v>
      </c>
      <c r="G422" s="1" t="str">
        <f>TEXT(Table1[[#This Row],[Enrollment date]], "mmm")</f>
        <v>Mar</v>
      </c>
      <c r="H422" t="s">
        <v>360</v>
      </c>
      <c r="I422" t="s">
        <v>663</v>
      </c>
      <c r="J422" t="str">
        <f>_xlfn.XLOOKUP(Table1[[#This Row],[Course ]], CCF!B:B, CCF!A:A)</f>
        <v>BA301</v>
      </c>
      <c r="K422" t="s">
        <v>364</v>
      </c>
      <c r="L422">
        <f>_xlfn.XLOOKUP(K422, CCF!B:B, CCF!C:C)</f>
        <v>59999</v>
      </c>
      <c r="M422" t="s">
        <v>51</v>
      </c>
    </row>
    <row r="423" spans="1:13" x14ac:dyDescent="0.3">
      <c r="A423">
        <v>422</v>
      </c>
      <c r="B423" t="s">
        <v>1088</v>
      </c>
      <c r="C423" s="3">
        <v>10721</v>
      </c>
      <c r="D423" t="s">
        <v>667</v>
      </c>
      <c r="E423">
        <v>32</v>
      </c>
      <c r="F423" s="1">
        <v>45353</v>
      </c>
      <c r="G423" s="1" t="str">
        <f>TEXT(Table1[[#This Row],[Enrollment date]], "mmm")</f>
        <v>Mar</v>
      </c>
      <c r="H423" t="s">
        <v>360</v>
      </c>
      <c r="I423" t="s">
        <v>659</v>
      </c>
      <c r="J423" t="str">
        <f>_xlfn.XLOOKUP(Table1[[#This Row],[Course ]], CCF!B:B, CCF!A:A)</f>
        <v>DM101</v>
      </c>
      <c r="K423" t="s">
        <v>365</v>
      </c>
      <c r="L423">
        <f>_xlfn.XLOOKUP(K423, CCF!B:B, CCF!C:C)</f>
        <v>85499</v>
      </c>
      <c r="M423" t="s">
        <v>418</v>
      </c>
    </row>
    <row r="424" spans="1:13" x14ac:dyDescent="0.3">
      <c r="A424">
        <v>423</v>
      </c>
      <c r="B424" t="s">
        <v>1089</v>
      </c>
      <c r="C424" s="3">
        <v>94452</v>
      </c>
      <c r="D424" t="s">
        <v>666</v>
      </c>
      <c r="E424">
        <v>31</v>
      </c>
      <c r="F424" s="1">
        <v>45353</v>
      </c>
      <c r="G424" s="1" t="str">
        <f>TEXT(Table1[[#This Row],[Enrollment date]], "mmm")</f>
        <v>Mar</v>
      </c>
      <c r="H424" t="s">
        <v>360</v>
      </c>
      <c r="I424" t="s">
        <v>663</v>
      </c>
      <c r="J424" t="str">
        <f>_xlfn.XLOOKUP(Table1[[#This Row],[Course ]], CCF!B:B, CCF!A:A)</f>
        <v>BA301</v>
      </c>
      <c r="K424" t="s">
        <v>364</v>
      </c>
      <c r="L424">
        <f>_xlfn.XLOOKUP(K424, CCF!B:B, CCF!C:C)</f>
        <v>59999</v>
      </c>
      <c r="M424" t="s">
        <v>205</v>
      </c>
    </row>
    <row r="425" spans="1:13" x14ac:dyDescent="0.3">
      <c r="A425">
        <v>424</v>
      </c>
      <c r="B425" t="s">
        <v>1090</v>
      </c>
      <c r="C425" s="3">
        <v>99655</v>
      </c>
      <c r="D425" t="s">
        <v>667</v>
      </c>
      <c r="E425">
        <v>49</v>
      </c>
      <c r="F425" s="1">
        <v>45354</v>
      </c>
      <c r="G425" s="1" t="str">
        <f>TEXT(Table1[[#This Row],[Enrollment date]], "mmm")</f>
        <v>Mar</v>
      </c>
      <c r="H425" t="s">
        <v>360</v>
      </c>
      <c r="I425" t="s">
        <v>659</v>
      </c>
      <c r="J425" t="str">
        <f>_xlfn.XLOOKUP(Table1[[#This Row],[Course ]], CCF!B:B, CCF!A:A)</f>
        <v>BA301</v>
      </c>
      <c r="K425" t="s">
        <v>364</v>
      </c>
      <c r="L425">
        <f>_xlfn.XLOOKUP(K425, CCF!B:B, CCF!C:C)</f>
        <v>59999</v>
      </c>
      <c r="M425" t="s">
        <v>419</v>
      </c>
    </row>
    <row r="426" spans="1:13" x14ac:dyDescent="0.3">
      <c r="A426">
        <v>425</v>
      </c>
      <c r="B426" t="s">
        <v>1091</v>
      </c>
      <c r="C426" s="3">
        <v>31501</v>
      </c>
      <c r="D426" t="s">
        <v>666</v>
      </c>
      <c r="E426">
        <v>31</v>
      </c>
      <c r="F426" s="1">
        <v>45354</v>
      </c>
      <c r="G426" s="1" t="str">
        <f>TEXT(Table1[[#This Row],[Enrollment date]], "mmm")</f>
        <v>Mar</v>
      </c>
      <c r="H426" t="s">
        <v>360</v>
      </c>
      <c r="I426" t="s">
        <v>660</v>
      </c>
      <c r="J426" t="str">
        <f>_xlfn.XLOOKUP(Table1[[#This Row],[Course ]], CCF!B:B, CCF!A:A)</f>
        <v>DA202</v>
      </c>
      <c r="K426" t="s">
        <v>363</v>
      </c>
      <c r="L426">
        <f>_xlfn.XLOOKUP(K426, CCF!B:B, CCF!C:C)</f>
        <v>79999</v>
      </c>
      <c r="M426" t="s">
        <v>80</v>
      </c>
    </row>
    <row r="427" spans="1:13" x14ac:dyDescent="0.3">
      <c r="A427">
        <v>426</v>
      </c>
      <c r="B427" t="s">
        <v>1092</v>
      </c>
      <c r="C427" s="3">
        <v>30355</v>
      </c>
      <c r="D427" t="s">
        <v>666</v>
      </c>
      <c r="E427">
        <v>42</v>
      </c>
      <c r="F427" s="1">
        <v>45354</v>
      </c>
      <c r="G427" s="1" t="str">
        <f>TEXT(Table1[[#This Row],[Enrollment date]], "mmm")</f>
        <v>Mar</v>
      </c>
      <c r="H427" t="s">
        <v>360</v>
      </c>
      <c r="I427" t="s">
        <v>660</v>
      </c>
      <c r="J427" t="str">
        <f>_xlfn.XLOOKUP(Table1[[#This Row],[Course ]], CCF!B:B, CCF!A:A)</f>
        <v>DA202</v>
      </c>
      <c r="K427" t="s">
        <v>363</v>
      </c>
      <c r="L427">
        <f>_xlfn.XLOOKUP(K427, CCF!B:B, CCF!C:C)</f>
        <v>79999</v>
      </c>
      <c r="M427" t="s">
        <v>16</v>
      </c>
    </row>
    <row r="428" spans="1:13" x14ac:dyDescent="0.3">
      <c r="A428">
        <v>427</v>
      </c>
      <c r="B428" t="s">
        <v>1093</v>
      </c>
      <c r="C428" s="3">
        <v>55479</v>
      </c>
      <c r="D428" t="s">
        <v>667</v>
      </c>
      <c r="E428">
        <v>26</v>
      </c>
      <c r="F428" s="1">
        <v>45354</v>
      </c>
      <c r="G428" s="1" t="str">
        <f>TEXT(Table1[[#This Row],[Enrollment date]], "mmm")</f>
        <v>Mar</v>
      </c>
      <c r="H428" t="s">
        <v>360</v>
      </c>
      <c r="I428" t="s">
        <v>660</v>
      </c>
      <c r="J428" t="str">
        <f>_xlfn.XLOOKUP(Table1[[#This Row],[Course ]], CCF!B:B, CCF!A:A)</f>
        <v>DA202</v>
      </c>
      <c r="K428" t="s">
        <v>363</v>
      </c>
      <c r="L428">
        <f>_xlfn.XLOOKUP(K428, CCF!B:B, CCF!C:C)</f>
        <v>79999</v>
      </c>
      <c r="M428" t="s">
        <v>148</v>
      </c>
    </row>
    <row r="429" spans="1:13" x14ac:dyDescent="0.3">
      <c r="A429">
        <v>428</v>
      </c>
      <c r="B429" t="s">
        <v>1094</v>
      </c>
      <c r="C429" s="3">
        <v>49287</v>
      </c>
      <c r="D429" t="s">
        <v>667</v>
      </c>
      <c r="E429">
        <v>20</v>
      </c>
      <c r="F429" s="1">
        <v>45354</v>
      </c>
      <c r="G429" s="1" t="str">
        <f>TEXT(Table1[[#This Row],[Enrollment date]], "mmm")</f>
        <v>Mar</v>
      </c>
      <c r="H429" t="s">
        <v>360</v>
      </c>
      <c r="I429" t="s">
        <v>660</v>
      </c>
      <c r="J429" t="str">
        <f>_xlfn.XLOOKUP(Table1[[#This Row],[Course ]], CCF!B:B, CCF!A:A)</f>
        <v>DM101</v>
      </c>
      <c r="K429" t="s">
        <v>365</v>
      </c>
      <c r="L429">
        <f>_xlfn.XLOOKUP(K429, CCF!B:B, CCF!C:C)</f>
        <v>85499</v>
      </c>
      <c r="M429" t="s">
        <v>172</v>
      </c>
    </row>
    <row r="430" spans="1:13" x14ac:dyDescent="0.3">
      <c r="A430">
        <v>429</v>
      </c>
      <c r="B430" t="s">
        <v>1095</v>
      </c>
      <c r="C430" s="3">
        <v>79190</v>
      </c>
      <c r="D430" t="s">
        <v>666</v>
      </c>
      <c r="E430">
        <v>40</v>
      </c>
      <c r="F430" s="1">
        <v>45354</v>
      </c>
      <c r="G430" s="1" t="str">
        <f>TEXT(Table1[[#This Row],[Enrollment date]], "mmm")</f>
        <v>Mar</v>
      </c>
      <c r="H430" t="s">
        <v>360</v>
      </c>
      <c r="I430" t="s">
        <v>661</v>
      </c>
      <c r="J430" t="str">
        <f>_xlfn.XLOOKUP(Table1[[#This Row],[Course ]], CCF!B:B, CCF!A:A)</f>
        <v>BA301</v>
      </c>
      <c r="K430" t="s">
        <v>364</v>
      </c>
      <c r="L430">
        <f>_xlfn.XLOOKUP(K430, CCF!B:B, CCF!C:C)</f>
        <v>59999</v>
      </c>
      <c r="M430" t="s">
        <v>9</v>
      </c>
    </row>
    <row r="431" spans="1:13" x14ac:dyDescent="0.3">
      <c r="A431">
        <v>430</v>
      </c>
      <c r="B431" t="s">
        <v>1096</v>
      </c>
      <c r="C431" s="3">
        <v>62405</v>
      </c>
      <c r="D431" t="s">
        <v>666</v>
      </c>
      <c r="E431">
        <v>68</v>
      </c>
      <c r="F431" s="1">
        <v>45354</v>
      </c>
      <c r="G431" s="1" t="str">
        <f>TEXT(Table1[[#This Row],[Enrollment date]], "mmm")</f>
        <v>Mar</v>
      </c>
      <c r="H431" t="s">
        <v>360</v>
      </c>
      <c r="I431" t="s">
        <v>660</v>
      </c>
      <c r="J431" t="str">
        <f>_xlfn.XLOOKUP(Table1[[#This Row],[Course ]], CCF!B:B, CCF!A:A)</f>
        <v>DM101</v>
      </c>
      <c r="K431" t="s">
        <v>365</v>
      </c>
      <c r="L431">
        <f>_xlfn.XLOOKUP(K431, CCF!B:B, CCF!C:C)</f>
        <v>85499</v>
      </c>
      <c r="M431" t="s">
        <v>20</v>
      </c>
    </row>
    <row r="432" spans="1:13" x14ac:dyDescent="0.3">
      <c r="A432">
        <v>431</v>
      </c>
      <c r="B432" t="s">
        <v>1097</v>
      </c>
      <c r="C432" s="3">
        <v>46157</v>
      </c>
      <c r="D432" t="s">
        <v>666</v>
      </c>
      <c r="E432">
        <v>48</v>
      </c>
      <c r="F432" s="1">
        <v>45354</v>
      </c>
      <c r="G432" s="1" t="str">
        <f>TEXT(Table1[[#This Row],[Enrollment date]], "mmm")</f>
        <v>Mar</v>
      </c>
      <c r="H432" t="s">
        <v>360</v>
      </c>
      <c r="I432" t="s">
        <v>660</v>
      </c>
      <c r="J432" t="str">
        <f>_xlfn.XLOOKUP(Table1[[#This Row],[Course ]], CCF!B:B, CCF!A:A)</f>
        <v>DA202</v>
      </c>
      <c r="K432" t="s">
        <v>363</v>
      </c>
      <c r="L432">
        <f>_xlfn.XLOOKUP(K432, CCF!B:B, CCF!C:C)</f>
        <v>79999</v>
      </c>
      <c r="M432" t="s">
        <v>420</v>
      </c>
    </row>
    <row r="433" spans="1:13" x14ac:dyDescent="0.3">
      <c r="A433">
        <v>432</v>
      </c>
      <c r="B433" t="s">
        <v>1098</v>
      </c>
      <c r="C433" s="3">
        <v>80246</v>
      </c>
      <c r="D433" t="s">
        <v>666</v>
      </c>
      <c r="E433">
        <v>58</v>
      </c>
      <c r="F433" s="1">
        <v>45355</v>
      </c>
      <c r="G433" s="1" t="str">
        <f>TEXT(Table1[[#This Row],[Enrollment date]], "mmm")</f>
        <v>Mar</v>
      </c>
      <c r="H433" t="s">
        <v>360</v>
      </c>
      <c r="I433" t="s">
        <v>660</v>
      </c>
      <c r="J433" t="str">
        <f>_xlfn.XLOOKUP(Table1[[#This Row],[Course ]], CCF!B:B, CCF!A:A)</f>
        <v>DM101</v>
      </c>
      <c r="K433" t="s">
        <v>365</v>
      </c>
      <c r="L433">
        <f>_xlfn.XLOOKUP(K433, CCF!B:B, CCF!C:C)</f>
        <v>85499</v>
      </c>
      <c r="M433" t="s">
        <v>214</v>
      </c>
    </row>
    <row r="434" spans="1:13" x14ac:dyDescent="0.3">
      <c r="A434">
        <v>433</v>
      </c>
      <c r="B434" t="s">
        <v>1099</v>
      </c>
      <c r="C434" s="3">
        <v>57656</v>
      </c>
      <c r="D434" t="s">
        <v>667</v>
      </c>
      <c r="E434">
        <v>45</v>
      </c>
      <c r="F434" s="1">
        <v>45355</v>
      </c>
      <c r="G434" s="1" t="str">
        <f>TEXT(Table1[[#This Row],[Enrollment date]], "mmm")</f>
        <v>Mar</v>
      </c>
      <c r="H434" t="s">
        <v>360</v>
      </c>
      <c r="I434" t="s">
        <v>659</v>
      </c>
      <c r="J434" t="str">
        <f>_xlfn.XLOOKUP(Table1[[#This Row],[Course ]], CCF!B:B, CCF!A:A)</f>
        <v>DM101</v>
      </c>
      <c r="K434" t="s">
        <v>365</v>
      </c>
      <c r="L434">
        <f>_xlfn.XLOOKUP(K434, CCF!B:B, CCF!C:C)</f>
        <v>85499</v>
      </c>
      <c r="M434" t="s">
        <v>9</v>
      </c>
    </row>
    <row r="435" spans="1:13" x14ac:dyDescent="0.3">
      <c r="A435">
        <v>434</v>
      </c>
      <c r="B435" t="s">
        <v>1100</v>
      </c>
      <c r="C435" s="3">
        <v>85493</v>
      </c>
      <c r="D435" t="s">
        <v>667</v>
      </c>
      <c r="E435">
        <v>20</v>
      </c>
      <c r="F435" s="1">
        <v>45355</v>
      </c>
      <c r="G435" s="1" t="str">
        <f>TEXT(Table1[[#This Row],[Enrollment date]], "mmm")</f>
        <v>Mar</v>
      </c>
      <c r="H435" t="s">
        <v>360</v>
      </c>
      <c r="I435" t="s">
        <v>660</v>
      </c>
      <c r="J435" t="str">
        <f>_xlfn.XLOOKUP(Table1[[#This Row],[Course ]], CCF!B:B, CCF!A:A)</f>
        <v>DM101</v>
      </c>
      <c r="K435" t="s">
        <v>365</v>
      </c>
      <c r="L435">
        <f>_xlfn.XLOOKUP(K435, CCF!B:B, CCF!C:C)</f>
        <v>85499</v>
      </c>
      <c r="M435" t="s">
        <v>9</v>
      </c>
    </row>
    <row r="436" spans="1:13" x14ac:dyDescent="0.3">
      <c r="A436">
        <v>435</v>
      </c>
      <c r="B436" t="s">
        <v>1101</v>
      </c>
      <c r="C436" s="3">
        <v>17855</v>
      </c>
      <c r="D436" t="s">
        <v>667</v>
      </c>
      <c r="E436">
        <v>48</v>
      </c>
      <c r="F436" s="1">
        <v>45355</v>
      </c>
      <c r="G436" s="1" t="str">
        <f>TEXT(Table1[[#This Row],[Enrollment date]], "mmm")</f>
        <v>Mar</v>
      </c>
      <c r="H436" t="s">
        <v>360</v>
      </c>
      <c r="I436" t="s">
        <v>661</v>
      </c>
      <c r="J436" t="str">
        <f>_xlfn.XLOOKUP(Table1[[#This Row],[Course ]], CCF!B:B, CCF!A:A)</f>
        <v>UX401</v>
      </c>
      <c r="K436" t="s">
        <v>367</v>
      </c>
      <c r="L436">
        <f>_xlfn.XLOOKUP(K436, CCF!B:B, CCF!C:C)</f>
        <v>67990</v>
      </c>
      <c r="M436" t="s">
        <v>16</v>
      </c>
    </row>
    <row r="437" spans="1:13" x14ac:dyDescent="0.3">
      <c r="A437">
        <v>436</v>
      </c>
      <c r="B437" t="s">
        <v>1102</v>
      </c>
      <c r="C437" s="3">
        <v>43683</v>
      </c>
      <c r="D437" t="s">
        <v>666</v>
      </c>
      <c r="E437">
        <v>20</v>
      </c>
      <c r="F437" s="1">
        <v>45355</v>
      </c>
      <c r="G437" s="1" t="str">
        <f>TEXT(Table1[[#This Row],[Enrollment date]], "mmm")</f>
        <v>Mar</v>
      </c>
      <c r="H437" t="s">
        <v>360</v>
      </c>
      <c r="I437" t="s">
        <v>659</v>
      </c>
      <c r="J437" t="str">
        <f>_xlfn.XLOOKUP(Table1[[#This Row],[Course ]], CCF!B:B, CCF!A:A)</f>
        <v>DM101</v>
      </c>
      <c r="K437" t="s">
        <v>365</v>
      </c>
      <c r="L437">
        <f>_xlfn.XLOOKUP(K437, CCF!B:B, CCF!C:C)</f>
        <v>85499</v>
      </c>
      <c r="M437" t="s">
        <v>30</v>
      </c>
    </row>
    <row r="438" spans="1:13" x14ac:dyDescent="0.3">
      <c r="A438">
        <v>437</v>
      </c>
      <c r="B438" t="s">
        <v>1103</v>
      </c>
      <c r="C438" s="3">
        <v>94957</v>
      </c>
      <c r="D438" t="s">
        <v>666</v>
      </c>
      <c r="E438">
        <v>49</v>
      </c>
      <c r="F438" s="1">
        <v>45355</v>
      </c>
      <c r="G438" s="1" t="str">
        <f>TEXT(Table1[[#This Row],[Enrollment date]], "mmm")</f>
        <v>Mar</v>
      </c>
      <c r="H438" t="s">
        <v>360</v>
      </c>
      <c r="I438" t="s">
        <v>659</v>
      </c>
      <c r="J438" t="str">
        <f>_xlfn.XLOOKUP(Table1[[#This Row],[Course ]], CCF!B:B, CCF!A:A)</f>
        <v>DM101</v>
      </c>
      <c r="K438" t="s">
        <v>365</v>
      </c>
      <c r="L438">
        <f>_xlfn.XLOOKUP(K438, CCF!B:B, CCF!C:C)</f>
        <v>85499</v>
      </c>
      <c r="M438" t="s">
        <v>7</v>
      </c>
    </row>
    <row r="439" spans="1:13" x14ac:dyDescent="0.3">
      <c r="A439">
        <v>438</v>
      </c>
      <c r="B439" t="s">
        <v>1104</v>
      </c>
      <c r="C439" s="3">
        <v>10102</v>
      </c>
      <c r="D439" t="s">
        <v>666</v>
      </c>
      <c r="E439">
        <v>30</v>
      </c>
      <c r="F439" s="1">
        <v>45355</v>
      </c>
      <c r="G439" s="1" t="str">
        <f>TEXT(Table1[[#This Row],[Enrollment date]], "mmm")</f>
        <v>Mar</v>
      </c>
      <c r="H439" t="s">
        <v>360</v>
      </c>
      <c r="I439" t="s">
        <v>660</v>
      </c>
      <c r="J439" t="str">
        <f>_xlfn.XLOOKUP(Table1[[#This Row],[Course ]], CCF!B:B, CCF!A:A)</f>
        <v>FSD103</v>
      </c>
      <c r="K439" t="s">
        <v>366</v>
      </c>
      <c r="L439">
        <f>_xlfn.XLOOKUP(K439, CCF!B:B, CCF!C:C)</f>
        <v>109990</v>
      </c>
      <c r="M439" t="s">
        <v>421</v>
      </c>
    </row>
    <row r="440" spans="1:13" x14ac:dyDescent="0.3">
      <c r="A440">
        <v>439</v>
      </c>
      <c r="B440" t="s">
        <v>1105</v>
      </c>
      <c r="C440" s="3">
        <v>36857</v>
      </c>
      <c r="D440" t="s">
        <v>666</v>
      </c>
      <c r="E440">
        <v>22</v>
      </c>
      <c r="F440" s="1">
        <v>45355</v>
      </c>
      <c r="G440" s="1" t="str">
        <f>TEXT(Table1[[#This Row],[Enrollment date]], "mmm")</f>
        <v>Mar</v>
      </c>
      <c r="H440" t="s">
        <v>360</v>
      </c>
      <c r="I440" t="s">
        <v>660</v>
      </c>
      <c r="J440" t="str">
        <f>_xlfn.XLOOKUP(Table1[[#This Row],[Course ]], CCF!B:B, CCF!A:A)</f>
        <v>DM101</v>
      </c>
      <c r="K440" t="s">
        <v>365</v>
      </c>
      <c r="L440">
        <f>_xlfn.XLOOKUP(K440, CCF!B:B, CCF!C:C)</f>
        <v>85499</v>
      </c>
      <c r="M440" t="s">
        <v>16</v>
      </c>
    </row>
    <row r="441" spans="1:13" x14ac:dyDescent="0.3">
      <c r="A441">
        <v>440</v>
      </c>
      <c r="B441" t="s">
        <v>1106</v>
      </c>
      <c r="C441" s="3">
        <v>44361</v>
      </c>
      <c r="D441" t="s">
        <v>666</v>
      </c>
      <c r="E441">
        <v>73</v>
      </c>
      <c r="F441" s="1">
        <v>45356</v>
      </c>
      <c r="G441" s="1" t="str">
        <f>TEXT(Table1[[#This Row],[Enrollment date]], "mmm")</f>
        <v>Mar</v>
      </c>
      <c r="H441" t="s">
        <v>360</v>
      </c>
      <c r="I441" t="s">
        <v>659</v>
      </c>
      <c r="J441" t="str">
        <f>_xlfn.XLOOKUP(Table1[[#This Row],[Course ]], CCF!B:B, CCF!A:A)</f>
        <v>BA301</v>
      </c>
      <c r="K441" t="s">
        <v>364</v>
      </c>
      <c r="L441">
        <f>_xlfn.XLOOKUP(K441, CCF!B:B, CCF!C:C)</f>
        <v>59999</v>
      </c>
      <c r="M441" t="s">
        <v>422</v>
      </c>
    </row>
    <row r="442" spans="1:13" x14ac:dyDescent="0.3">
      <c r="A442">
        <v>441</v>
      </c>
      <c r="B442" t="s">
        <v>1107</v>
      </c>
      <c r="C442" s="3">
        <v>59289</v>
      </c>
      <c r="D442" t="s">
        <v>666</v>
      </c>
      <c r="E442">
        <v>34</v>
      </c>
      <c r="F442" s="1">
        <v>45356</v>
      </c>
      <c r="G442" s="1" t="str">
        <f>TEXT(Table1[[#This Row],[Enrollment date]], "mmm")</f>
        <v>Mar</v>
      </c>
      <c r="H442" t="s">
        <v>360</v>
      </c>
      <c r="I442" t="s">
        <v>660</v>
      </c>
      <c r="J442" t="str">
        <f>_xlfn.XLOOKUP(Table1[[#This Row],[Course ]], CCF!B:B, CCF!A:A)</f>
        <v>DM101</v>
      </c>
      <c r="K442" t="s">
        <v>365</v>
      </c>
      <c r="L442">
        <f>_xlfn.XLOOKUP(K442, CCF!B:B, CCF!C:C)</f>
        <v>85499</v>
      </c>
      <c r="M442" t="s">
        <v>30</v>
      </c>
    </row>
    <row r="443" spans="1:13" x14ac:dyDescent="0.3">
      <c r="A443">
        <v>442</v>
      </c>
      <c r="B443" t="s">
        <v>1108</v>
      </c>
      <c r="C443" s="3">
        <v>41091</v>
      </c>
      <c r="D443" t="s">
        <v>666</v>
      </c>
      <c r="E443">
        <v>27</v>
      </c>
      <c r="F443" s="1">
        <v>45356</v>
      </c>
      <c r="G443" s="1" t="str">
        <f>TEXT(Table1[[#This Row],[Enrollment date]], "mmm")</f>
        <v>Mar</v>
      </c>
      <c r="H443" t="s">
        <v>360</v>
      </c>
      <c r="I443" t="s">
        <v>660</v>
      </c>
      <c r="J443" t="str">
        <f>_xlfn.XLOOKUP(Table1[[#This Row],[Course ]], CCF!B:B, CCF!A:A)</f>
        <v>DA202</v>
      </c>
      <c r="K443" t="s">
        <v>363</v>
      </c>
      <c r="L443">
        <f>_xlfn.XLOOKUP(K443, CCF!B:B, CCF!C:C)</f>
        <v>79999</v>
      </c>
      <c r="M443" t="s">
        <v>9</v>
      </c>
    </row>
    <row r="444" spans="1:13" x14ac:dyDescent="0.3">
      <c r="A444">
        <v>443</v>
      </c>
      <c r="B444" t="s">
        <v>1109</v>
      </c>
      <c r="C444" s="3">
        <v>74563</v>
      </c>
      <c r="D444" t="s">
        <v>666</v>
      </c>
      <c r="E444">
        <v>39</v>
      </c>
      <c r="F444" s="1">
        <v>45356</v>
      </c>
      <c r="G444" s="1" t="str">
        <f>TEXT(Table1[[#This Row],[Enrollment date]], "mmm")</f>
        <v>Mar</v>
      </c>
      <c r="H444" t="s">
        <v>360</v>
      </c>
      <c r="I444" t="s">
        <v>659</v>
      </c>
      <c r="J444" t="str">
        <f>_xlfn.XLOOKUP(Table1[[#This Row],[Course ]], CCF!B:B, CCF!A:A)</f>
        <v>BA301</v>
      </c>
      <c r="K444" t="s">
        <v>364</v>
      </c>
      <c r="L444">
        <f>_xlfn.XLOOKUP(K444, CCF!B:B, CCF!C:C)</f>
        <v>59999</v>
      </c>
      <c r="M444" t="s">
        <v>28</v>
      </c>
    </row>
    <row r="445" spans="1:13" x14ac:dyDescent="0.3">
      <c r="A445">
        <v>444</v>
      </c>
      <c r="B445" t="s">
        <v>1110</v>
      </c>
      <c r="C445" s="3">
        <v>36679</v>
      </c>
      <c r="D445" t="s">
        <v>666</v>
      </c>
      <c r="E445">
        <v>34</v>
      </c>
      <c r="F445" s="1">
        <v>45356</v>
      </c>
      <c r="G445" s="1" t="str">
        <f>TEXT(Table1[[#This Row],[Enrollment date]], "mmm")</f>
        <v>Mar</v>
      </c>
      <c r="H445" t="s">
        <v>360</v>
      </c>
      <c r="I445" t="s">
        <v>661</v>
      </c>
      <c r="J445" t="str">
        <f>_xlfn.XLOOKUP(Table1[[#This Row],[Course ]], CCF!B:B, CCF!A:A)</f>
        <v>DA202</v>
      </c>
      <c r="K445" t="s">
        <v>363</v>
      </c>
      <c r="L445">
        <f>_xlfn.XLOOKUP(K445, CCF!B:B, CCF!C:C)</f>
        <v>79999</v>
      </c>
      <c r="M445" t="s">
        <v>280</v>
      </c>
    </row>
    <row r="446" spans="1:13" x14ac:dyDescent="0.3">
      <c r="A446">
        <v>445</v>
      </c>
      <c r="B446" t="s">
        <v>1111</v>
      </c>
      <c r="C446" s="3">
        <v>35060</v>
      </c>
      <c r="D446" t="s">
        <v>667</v>
      </c>
      <c r="E446">
        <v>21</v>
      </c>
      <c r="F446" s="1">
        <v>45356</v>
      </c>
      <c r="G446" s="1" t="str">
        <f>TEXT(Table1[[#This Row],[Enrollment date]], "mmm")</f>
        <v>Mar</v>
      </c>
      <c r="H446" t="s">
        <v>360</v>
      </c>
      <c r="I446" t="s">
        <v>661</v>
      </c>
      <c r="J446" t="str">
        <f>_xlfn.XLOOKUP(Table1[[#This Row],[Course ]], CCF!B:B, CCF!A:A)</f>
        <v>DA202</v>
      </c>
      <c r="K446" t="s">
        <v>363</v>
      </c>
      <c r="L446">
        <f>_xlfn.XLOOKUP(K446, CCF!B:B, CCF!C:C)</f>
        <v>79999</v>
      </c>
      <c r="M446" t="s">
        <v>280</v>
      </c>
    </row>
    <row r="447" spans="1:13" x14ac:dyDescent="0.3">
      <c r="A447">
        <v>446</v>
      </c>
      <c r="B447" t="s">
        <v>1112</v>
      </c>
      <c r="C447" s="3">
        <v>91423</v>
      </c>
      <c r="D447" t="s">
        <v>666</v>
      </c>
      <c r="E447">
        <v>34</v>
      </c>
      <c r="F447" s="1">
        <v>45356</v>
      </c>
      <c r="G447" s="1" t="str">
        <f>TEXT(Table1[[#This Row],[Enrollment date]], "mmm")</f>
        <v>Mar</v>
      </c>
      <c r="H447" t="s">
        <v>360</v>
      </c>
      <c r="I447" t="s">
        <v>659</v>
      </c>
      <c r="J447" t="str">
        <f>_xlfn.XLOOKUP(Table1[[#This Row],[Course ]], CCF!B:B, CCF!A:A)</f>
        <v>UX401</v>
      </c>
      <c r="K447" t="s">
        <v>367</v>
      </c>
      <c r="L447">
        <f>_xlfn.XLOOKUP(K447, CCF!B:B, CCF!C:C)</f>
        <v>67990</v>
      </c>
      <c r="M447" t="s">
        <v>25</v>
      </c>
    </row>
    <row r="448" spans="1:13" x14ac:dyDescent="0.3">
      <c r="A448">
        <v>447</v>
      </c>
      <c r="B448" t="s">
        <v>1113</v>
      </c>
      <c r="C448" s="3">
        <v>54635</v>
      </c>
      <c r="D448" t="s">
        <v>666</v>
      </c>
      <c r="E448">
        <v>18</v>
      </c>
      <c r="F448" s="1">
        <v>45356</v>
      </c>
      <c r="G448" s="1" t="str">
        <f>TEXT(Table1[[#This Row],[Enrollment date]], "mmm")</f>
        <v>Mar</v>
      </c>
      <c r="H448" t="s">
        <v>360</v>
      </c>
      <c r="I448" t="s">
        <v>662</v>
      </c>
      <c r="J448" t="str">
        <f>_xlfn.XLOOKUP(Table1[[#This Row],[Course ]], CCF!B:B, CCF!A:A)</f>
        <v>DM101</v>
      </c>
      <c r="K448" t="s">
        <v>365</v>
      </c>
      <c r="L448">
        <f>_xlfn.XLOOKUP(K448, CCF!B:B, CCF!C:C)</f>
        <v>85499</v>
      </c>
      <c r="M448" t="s">
        <v>20</v>
      </c>
    </row>
    <row r="449" spans="1:13" x14ac:dyDescent="0.3">
      <c r="A449">
        <v>448</v>
      </c>
      <c r="B449" t="s">
        <v>1114</v>
      </c>
      <c r="C449" s="3">
        <v>58527</v>
      </c>
      <c r="D449" t="s">
        <v>667</v>
      </c>
      <c r="E449">
        <v>46</v>
      </c>
      <c r="F449" s="1">
        <v>45357</v>
      </c>
      <c r="G449" s="1" t="str">
        <f>TEXT(Table1[[#This Row],[Enrollment date]], "mmm")</f>
        <v>Mar</v>
      </c>
      <c r="H449" t="s">
        <v>360</v>
      </c>
      <c r="I449" t="s">
        <v>660</v>
      </c>
      <c r="J449" t="str">
        <f>_xlfn.XLOOKUP(Table1[[#This Row],[Course ]], CCF!B:B, CCF!A:A)</f>
        <v>DA202</v>
      </c>
      <c r="K449" t="s">
        <v>363</v>
      </c>
      <c r="L449">
        <f>_xlfn.XLOOKUP(K449, CCF!B:B, CCF!C:C)</f>
        <v>79999</v>
      </c>
      <c r="M449" t="s">
        <v>126</v>
      </c>
    </row>
    <row r="450" spans="1:13" x14ac:dyDescent="0.3">
      <c r="A450">
        <v>449</v>
      </c>
      <c r="B450" t="s">
        <v>1115</v>
      </c>
      <c r="C450" s="3">
        <v>82919</v>
      </c>
      <c r="D450" t="s">
        <v>667</v>
      </c>
      <c r="E450">
        <v>42</v>
      </c>
      <c r="F450" s="1">
        <v>45357</v>
      </c>
      <c r="G450" s="1" t="str">
        <f>TEXT(Table1[[#This Row],[Enrollment date]], "mmm")</f>
        <v>Mar</v>
      </c>
      <c r="H450" t="s">
        <v>360</v>
      </c>
      <c r="I450" t="s">
        <v>660</v>
      </c>
      <c r="J450" t="str">
        <f>_xlfn.XLOOKUP(Table1[[#This Row],[Course ]], CCF!B:B, CCF!A:A)</f>
        <v>DA202</v>
      </c>
      <c r="K450" t="s">
        <v>363</v>
      </c>
      <c r="L450">
        <f>_xlfn.XLOOKUP(K450, CCF!B:B, CCF!C:C)</f>
        <v>79999</v>
      </c>
      <c r="M450" t="s">
        <v>423</v>
      </c>
    </row>
    <row r="451" spans="1:13" x14ac:dyDescent="0.3">
      <c r="A451">
        <v>450</v>
      </c>
      <c r="B451" t="s">
        <v>1116</v>
      </c>
      <c r="C451" s="3">
        <v>93559</v>
      </c>
      <c r="D451" t="s">
        <v>666</v>
      </c>
      <c r="E451">
        <v>29</v>
      </c>
      <c r="F451" s="1">
        <v>45357</v>
      </c>
      <c r="G451" s="1" t="str">
        <f>TEXT(Table1[[#This Row],[Enrollment date]], "mmm")</f>
        <v>Mar</v>
      </c>
      <c r="H451" t="s">
        <v>360</v>
      </c>
      <c r="I451" t="s">
        <v>661</v>
      </c>
      <c r="J451" t="str">
        <f>_xlfn.XLOOKUP(Table1[[#This Row],[Course ]], CCF!B:B, CCF!A:A)</f>
        <v>BA301</v>
      </c>
      <c r="K451" t="s">
        <v>364</v>
      </c>
      <c r="L451">
        <f>_xlfn.XLOOKUP(K451, CCF!B:B, CCF!C:C)</f>
        <v>59999</v>
      </c>
      <c r="M451" t="s">
        <v>168</v>
      </c>
    </row>
    <row r="452" spans="1:13" x14ac:dyDescent="0.3">
      <c r="A452">
        <v>451</v>
      </c>
      <c r="B452" t="s">
        <v>1117</v>
      </c>
      <c r="C452" s="3">
        <v>29543</v>
      </c>
      <c r="D452" t="s">
        <v>666</v>
      </c>
      <c r="E452">
        <v>24</v>
      </c>
      <c r="F452" s="1">
        <v>45357</v>
      </c>
      <c r="G452" s="1" t="str">
        <f>TEXT(Table1[[#This Row],[Enrollment date]], "mmm")</f>
        <v>Mar</v>
      </c>
      <c r="H452" t="s">
        <v>360</v>
      </c>
      <c r="I452" t="s">
        <v>661</v>
      </c>
      <c r="J452" t="str">
        <f>_xlfn.XLOOKUP(Table1[[#This Row],[Course ]], CCF!B:B, CCF!A:A)</f>
        <v>DM101</v>
      </c>
      <c r="K452" t="s">
        <v>365</v>
      </c>
      <c r="L452">
        <f>_xlfn.XLOOKUP(K452, CCF!B:B, CCF!C:C)</f>
        <v>85499</v>
      </c>
      <c r="M452" t="s">
        <v>424</v>
      </c>
    </row>
    <row r="453" spans="1:13" x14ac:dyDescent="0.3">
      <c r="A453">
        <v>452</v>
      </c>
      <c r="B453" t="s">
        <v>1118</v>
      </c>
      <c r="C453" s="3">
        <v>40397</v>
      </c>
      <c r="D453" t="s">
        <v>666</v>
      </c>
      <c r="E453">
        <v>46</v>
      </c>
      <c r="F453" s="1">
        <v>45357</v>
      </c>
      <c r="G453" s="1" t="str">
        <f>TEXT(Table1[[#This Row],[Enrollment date]], "mmm")</f>
        <v>Mar</v>
      </c>
      <c r="H453" t="s">
        <v>360</v>
      </c>
      <c r="I453" t="s">
        <v>660</v>
      </c>
      <c r="J453" t="str">
        <f>_xlfn.XLOOKUP(Table1[[#This Row],[Course ]], CCF!B:B, CCF!A:A)</f>
        <v>DA202</v>
      </c>
      <c r="K453" t="s">
        <v>363</v>
      </c>
      <c r="L453">
        <f>_xlfn.XLOOKUP(K453, CCF!B:B, CCF!C:C)</f>
        <v>79999</v>
      </c>
      <c r="M453" t="s">
        <v>425</v>
      </c>
    </row>
    <row r="454" spans="1:13" x14ac:dyDescent="0.3">
      <c r="A454">
        <v>453</v>
      </c>
      <c r="B454" t="s">
        <v>1119</v>
      </c>
      <c r="C454" s="3">
        <v>49525</v>
      </c>
      <c r="D454" t="s">
        <v>666</v>
      </c>
      <c r="E454">
        <v>43</v>
      </c>
      <c r="F454" s="1">
        <v>45357</v>
      </c>
      <c r="G454" s="1" t="str">
        <f>TEXT(Table1[[#This Row],[Enrollment date]], "mmm")</f>
        <v>Mar</v>
      </c>
      <c r="H454" t="s">
        <v>360</v>
      </c>
      <c r="I454" t="s">
        <v>660</v>
      </c>
      <c r="J454" t="str">
        <f>_xlfn.XLOOKUP(Table1[[#This Row],[Course ]], CCF!B:B, CCF!A:A)</f>
        <v>DM101</v>
      </c>
      <c r="K454" t="s">
        <v>365</v>
      </c>
      <c r="L454">
        <f>_xlfn.XLOOKUP(K454, CCF!B:B, CCF!C:C)</f>
        <v>85499</v>
      </c>
      <c r="M454" t="s">
        <v>426</v>
      </c>
    </row>
    <row r="455" spans="1:13" x14ac:dyDescent="0.3">
      <c r="A455">
        <v>454</v>
      </c>
      <c r="B455" t="s">
        <v>1120</v>
      </c>
      <c r="C455" s="3">
        <v>31877</v>
      </c>
      <c r="D455" t="s">
        <v>666</v>
      </c>
      <c r="E455">
        <v>49</v>
      </c>
      <c r="F455" s="1">
        <v>45357</v>
      </c>
      <c r="G455" s="1" t="str">
        <f>TEXT(Table1[[#This Row],[Enrollment date]], "mmm")</f>
        <v>Mar</v>
      </c>
      <c r="H455" t="s">
        <v>360</v>
      </c>
      <c r="I455" t="s">
        <v>661</v>
      </c>
      <c r="J455" t="str">
        <f>_xlfn.XLOOKUP(Table1[[#This Row],[Course ]], CCF!B:B, CCF!A:A)</f>
        <v>DM101</v>
      </c>
      <c r="K455" t="s">
        <v>365</v>
      </c>
      <c r="L455">
        <f>_xlfn.XLOOKUP(K455, CCF!B:B, CCF!C:C)</f>
        <v>85499</v>
      </c>
      <c r="M455" t="s">
        <v>17</v>
      </c>
    </row>
    <row r="456" spans="1:13" x14ac:dyDescent="0.3">
      <c r="A456">
        <v>455</v>
      </c>
      <c r="B456" t="s">
        <v>1121</v>
      </c>
      <c r="C456" s="3">
        <v>75935</v>
      </c>
      <c r="D456" t="s">
        <v>666</v>
      </c>
      <c r="E456">
        <v>40</v>
      </c>
      <c r="F456" s="1">
        <v>45357</v>
      </c>
      <c r="G456" s="1" t="str">
        <f>TEXT(Table1[[#This Row],[Enrollment date]], "mmm")</f>
        <v>Mar</v>
      </c>
      <c r="H456" t="s">
        <v>360</v>
      </c>
      <c r="I456" t="s">
        <v>662</v>
      </c>
      <c r="J456" t="str">
        <f>_xlfn.XLOOKUP(Table1[[#This Row],[Course ]], CCF!B:B, CCF!A:A)</f>
        <v>DM101</v>
      </c>
      <c r="K456" t="s">
        <v>365</v>
      </c>
      <c r="L456">
        <f>_xlfn.XLOOKUP(K456, CCF!B:B, CCF!C:C)</f>
        <v>85499</v>
      </c>
      <c r="M456" t="s">
        <v>20</v>
      </c>
    </row>
    <row r="457" spans="1:13" x14ac:dyDescent="0.3">
      <c r="A457">
        <v>456</v>
      </c>
      <c r="B457" t="s">
        <v>1122</v>
      </c>
      <c r="C457" s="3">
        <v>32219</v>
      </c>
      <c r="D457" t="s">
        <v>666</v>
      </c>
      <c r="E457">
        <v>29</v>
      </c>
      <c r="F457" s="1">
        <v>45357</v>
      </c>
      <c r="G457" s="1" t="str">
        <f>TEXT(Table1[[#This Row],[Enrollment date]], "mmm")</f>
        <v>Mar</v>
      </c>
      <c r="H457" t="s">
        <v>360</v>
      </c>
      <c r="I457" t="s">
        <v>660</v>
      </c>
      <c r="J457" t="str">
        <f>_xlfn.XLOOKUP(Table1[[#This Row],[Course ]], CCF!B:B, CCF!A:A)</f>
        <v>BA301</v>
      </c>
      <c r="K457" t="s">
        <v>364</v>
      </c>
      <c r="L457">
        <f>_xlfn.XLOOKUP(K457, CCF!B:B, CCF!C:C)</f>
        <v>59999</v>
      </c>
      <c r="M457" t="s">
        <v>281</v>
      </c>
    </row>
    <row r="458" spans="1:13" x14ac:dyDescent="0.3">
      <c r="A458">
        <v>457</v>
      </c>
      <c r="B458" t="s">
        <v>1123</v>
      </c>
      <c r="C458" s="3">
        <v>96339</v>
      </c>
      <c r="D458" t="s">
        <v>666</v>
      </c>
      <c r="E458">
        <v>41</v>
      </c>
      <c r="F458" s="1">
        <v>45357</v>
      </c>
      <c r="G458" s="1" t="str">
        <f>TEXT(Table1[[#This Row],[Enrollment date]], "mmm")</f>
        <v>Mar</v>
      </c>
      <c r="H458" t="s">
        <v>360</v>
      </c>
      <c r="I458" t="s">
        <v>661</v>
      </c>
      <c r="J458" t="str">
        <f>_xlfn.XLOOKUP(Table1[[#This Row],[Course ]], CCF!B:B, CCF!A:A)</f>
        <v>BA301</v>
      </c>
      <c r="K458" t="s">
        <v>364</v>
      </c>
      <c r="L458">
        <f>_xlfn.XLOOKUP(K458, CCF!B:B, CCF!C:C)</f>
        <v>59999</v>
      </c>
      <c r="M458" t="s">
        <v>7</v>
      </c>
    </row>
    <row r="459" spans="1:13" x14ac:dyDescent="0.3">
      <c r="A459">
        <v>458</v>
      </c>
      <c r="B459" t="s">
        <v>1124</v>
      </c>
      <c r="C459" s="3">
        <v>68478</v>
      </c>
      <c r="D459" t="s">
        <v>666</v>
      </c>
      <c r="E459">
        <v>48</v>
      </c>
      <c r="F459" s="1">
        <v>45357</v>
      </c>
      <c r="G459" s="1" t="str">
        <f>TEXT(Table1[[#This Row],[Enrollment date]], "mmm")</f>
        <v>Mar</v>
      </c>
      <c r="H459" t="s">
        <v>360</v>
      </c>
      <c r="I459" t="s">
        <v>660</v>
      </c>
      <c r="J459" t="str">
        <f>_xlfn.XLOOKUP(Table1[[#This Row],[Course ]], CCF!B:B, CCF!A:A)</f>
        <v>DA202</v>
      </c>
      <c r="K459" t="s">
        <v>363</v>
      </c>
      <c r="L459">
        <f>_xlfn.XLOOKUP(K459, CCF!B:B, CCF!C:C)</f>
        <v>79999</v>
      </c>
      <c r="M459" t="s">
        <v>220</v>
      </c>
    </row>
    <row r="460" spans="1:13" x14ac:dyDescent="0.3">
      <c r="A460">
        <v>459</v>
      </c>
      <c r="B460" t="s">
        <v>1125</v>
      </c>
      <c r="C460" s="3">
        <v>15541</v>
      </c>
      <c r="D460" t="s">
        <v>666</v>
      </c>
      <c r="E460">
        <v>46</v>
      </c>
      <c r="F460" s="1">
        <v>45358</v>
      </c>
      <c r="G460" s="1" t="str">
        <f>TEXT(Table1[[#This Row],[Enrollment date]], "mmm")</f>
        <v>Mar</v>
      </c>
      <c r="H460" t="s">
        <v>360</v>
      </c>
      <c r="I460" t="s">
        <v>660</v>
      </c>
      <c r="J460" t="str">
        <f>_xlfn.XLOOKUP(Table1[[#This Row],[Course ]], CCF!B:B, CCF!A:A)</f>
        <v>DM101</v>
      </c>
      <c r="K460" t="s">
        <v>365</v>
      </c>
      <c r="L460">
        <f>_xlfn.XLOOKUP(K460, CCF!B:B, CCF!C:C)</f>
        <v>85499</v>
      </c>
      <c r="M460" t="s">
        <v>427</v>
      </c>
    </row>
    <row r="461" spans="1:13" x14ac:dyDescent="0.3">
      <c r="A461">
        <v>460</v>
      </c>
      <c r="B461" t="s">
        <v>1126</v>
      </c>
      <c r="C461" s="3">
        <v>53619</v>
      </c>
      <c r="D461" t="s">
        <v>667</v>
      </c>
      <c r="E461">
        <v>33</v>
      </c>
      <c r="F461" s="1">
        <v>45358</v>
      </c>
      <c r="G461" s="1" t="str">
        <f>TEXT(Table1[[#This Row],[Enrollment date]], "mmm")</f>
        <v>Mar</v>
      </c>
      <c r="H461" t="s">
        <v>360</v>
      </c>
      <c r="I461" t="s">
        <v>660</v>
      </c>
      <c r="J461" t="str">
        <f>_xlfn.XLOOKUP(Table1[[#This Row],[Course ]], CCF!B:B, CCF!A:A)</f>
        <v>FSD103</v>
      </c>
      <c r="K461" t="s">
        <v>366</v>
      </c>
      <c r="L461">
        <f>_xlfn.XLOOKUP(K461, CCF!B:B, CCF!C:C)</f>
        <v>109990</v>
      </c>
      <c r="M461" t="s">
        <v>43</v>
      </c>
    </row>
    <row r="462" spans="1:13" x14ac:dyDescent="0.3">
      <c r="A462">
        <v>461</v>
      </c>
      <c r="B462" t="s">
        <v>1127</v>
      </c>
      <c r="C462" s="3">
        <v>79750</v>
      </c>
      <c r="D462" t="s">
        <v>667</v>
      </c>
      <c r="E462">
        <v>45</v>
      </c>
      <c r="F462" s="1">
        <v>45358</v>
      </c>
      <c r="G462" s="1" t="str">
        <f>TEXT(Table1[[#This Row],[Enrollment date]], "mmm")</f>
        <v>Mar</v>
      </c>
      <c r="H462" t="s">
        <v>360</v>
      </c>
      <c r="I462" t="s">
        <v>665</v>
      </c>
      <c r="J462" t="str">
        <f>_xlfn.XLOOKUP(Table1[[#This Row],[Course ]], CCF!B:B, CCF!A:A)</f>
        <v>DM101</v>
      </c>
      <c r="K462" t="s">
        <v>365</v>
      </c>
      <c r="L462">
        <f>_xlfn.XLOOKUP(K462, CCF!B:B, CCF!C:C)</f>
        <v>85499</v>
      </c>
      <c r="M462" t="s">
        <v>33</v>
      </c>
    </row>
    <row r="463" spans="1:13" x14ac:dyDescent="0.3">
      <c r="A463">
        <v>462</v>
      </c>
      <c r="B463" t="s">
        <v>1128</v>
      </c>
      <c r="C463" s="3">
        <v>19292</v>
      </c>
      <c r="D463" t="s">
        <v>666</v>
      </c>
      <c r="E463">
        <v>24</v>
      </c>
      <c r="F463" s="1">
        <v>45358</v>
      </c>
      <c r="G463" s="1" t="str">
        <f>TEXT(Table1[[#This Row],[Enrollment date]], "mmm")</f>
        <v>Mar</v>
      </c>
      <c r="H463" t="s">
        <v>360</v>
      </c>
      <c r="I463" t="s">
        <v>661</v>
      </c>
      <c r="J463" t="str">
        <f>_xlfn.XLOOKUP(Table1[[#This Row],[Course ]], CCF!B:B, CCF!A:A)</f>
        <v>UX401</v>
      </c>
      <c r="K463" t="s">
        <v>367</v>
      </c>
      <c r="L463">
        <f>_xlfn.XLOOKUP(K463, CCF!B:B, CCF!C:C)</f>
        <v>67990</v>
      </c>
      <c r="M463" t="s">
        <v>27</v>
      </c>
    </row>
    <row r="464" spans="1:13" x14ac:dyDescent="0.3">
      <c r="A464">
        <v>463</v>
      </c>
      <c r="B464" t="s">
        <v>1129</v>
      </c>
      <c r="C464" s="3">
        <v>17089</v>
      </c>
      <c r="D464" t="s">
        <v>666</v>
      </c>
      <c r="E464">
        <v>77</v>
      </c>
      <c r="F464" s="1">
        <v>45358</v>
      </c>
      <c r="G464" s="1" t="str">
        <f>TEXT(Table1[[#This Row],[Enrollment date]], "mmm")</f>
        <v>Mar</v>
      </c>
      <c r="H464" t="s">
        <v>360</v>
      </c>
      <c r="I464" t="s">
        <v>659</v>
      </c>
      <c r="J464" t="str">
        <f>_xlfn.XLOOKUP(Table1[[#This Row],[Course ]], CCF!B:B, CCF!A:A)</f>
        <v>DM101</v>
      </c>
      <c r="K464" t="s">
        <v>365</v>
      </c>
      <c r="L464">
        <f>_xlfn.XLOOKUP(K464, CCF!B:B, CCF!C:C)</f>
        <v>85499</v>
      </c>
      <c r="M464" t="s">
        <v>20</v>
      </c>
    </row>
    <row r="465" spans="1:13" x14ac:dyDescent="0.3">
      <c r="A465">
        <v>464</v>
      </c>
      <c r="B465" t="s">
        <v>1130</v>
      </c>
      <c r="C465" s="3">
        <v>97286</v>
      </c>
      <c r="D465" t="s">
        <v>666</v>
      </c>
      <c r="E465">
        <v>69</v>
      </c>
      <c r="F465" s="1">
        <v>45358</v>
      </c>
      <c r="G465" s="1" t="str">
        <f>TEXT(Table1[[#This Row],[Enrollment date]], "mmm")</f>
        <v>Mar</v>
      </c>
      <c r="H465" t="s">
        <v>360</v>
      </c>
      <c r="I465" t="s">
        <v>661</v>
      </c>
      <c r="J465" t="str">
        <f>_xlfn.XLOOKUP(Table1[[#This Row],[Course ]], CCF!B:B, CCF!A:A)</f>
        <v>DM101</v>
      </c>
      <c r="K465" t="s">
        <v>365</v>
      </c>
      <c r="L465">
        <f>_xlfn.XLOOKUP(K465, CCF!B:B, CCF!C:C)</f>
        <v>85499</v>
      </c>
      <c r="M465" t="s">
        <v>48</v>
      </c>
    </row>
    <row r="466" spans="1:13" x14ac:dyDescent="0.3">
      <c r="A466">
        <v>465</v>
      </c>
      <c r="B466" t="s">
        <v>1131</v>
      </c>
      <c r="C466" s="3">
        <v>58450</v>
      </c>
      <c r="D466" t="s">
        <v>667</v>
      </c>
      <c r="E466">
        <v>53</v>
      </c>
      <c r="F466" s="1">
        <v>45359</v>
      </c>
      <c r="G466" s="1" t="str">
        <f>TEXT(Table1[[#This Row],[Enrollment date]], "mmm")</f>
        <v>Mar</v>
      </c>
      <c r="H466" t="s">
        <v>361</v>
      </c>
      <c r="I466" t="s">
        <v>659</v>
      </c>
      <c r="J466" t="str">
        <f>_xlfn.XLOOKUP(Table1[[#This Row],[Course ]], CCF!B:B, CCF!A:A)</f>
        <v>DM101</v>
      </c>
      <c r="K466" t="s">
        <v>365</v>
      </c>
      <c r="L466">
        <f>_xlfn.XLOOKUP(K466, CCF!B:B, CCF!C:C)</f>
        <v>85499</v>
      </c>
      <c r="M466" t="s">
        <v>9</v>
      </c>
    </row>
    <row r="467" spans="1:13" x14ac:dyDescent="0.3">
      <c r="A467">
        <v>466</v>
      </c>
      <c r="B467" t="s">
        <v>1132</v>
      </c>
      <c r="C467" s="3">
        <v>69114</v>
      </c>
      <c r="D467" t="s">
        <v>667</v>
      </c>
      <c r="E467">
        <v>24</v>
      </c>
      <c r="F467" s="1">
        <v>45359</v>
      </c>
      <c r="G467" s="1" t="str">
        <f>TEXT(Table1[[#This Row],[Enrollment date]], "mmm")</f>
        <v>Mar</v>
      </c>
      <c r="H467" t="s">
        <v>360</v>
      </c>
      <c r="I467" t="s">
        <v>661</v>
      </c>
      <c r="J467" t="str">
        <f>_xlfn.XLOOKUP(Table1[[#This Row],[Course ]], CCF!B:B, CCF!A:A)</f>
        <v>UX401</v>
      </c>
      <c r="K467" t="s">
        <v>367</v>
      </c>
      <c r="L467">
        <f>_xlfn.XLOOKUP(K467, CCF!B:B, CCF!C:C)</f>
        <v>67990</v>
      </c>
      <c r="M467" t="s">
        <v>27</v>
      </c>
    </row>
    <row r="468" spans="1:13" x14ac:dyDescent="0.3">
      <c r="A468">
        <v>467</v>
      </c>
      <c r="B468" t="s">
        <v>1133</v>
      </c>
      <c r="C468" s="3">
        <v>98923</v>
      </c>
      <c r="D468" t="s">
        <v>666</v>
      </c>
      <c r="E468">
        <v>28</v>
      </c>
      <c r="F468" s="1">
        <v>45359</v>
      </c>
      <c r="G468" s="1" t="str">
        <f>TEXT(Table1[[#This Row],[Enrollment date]], "mmm")</f>
        <v>Mar</v>
      </c>
      <c r="H468" t="s">
        <v>360</v>
      </c>
      <c r="I468" t="s">
        <v>659</v>
      </c>
      <c r="J468" t="str">
        <f>_xlfn.XLOOKUP(Table1[[#This Row],[Course ]], CCF!B:B, CCF!A:A)</f>
        <v>DM101</v>
      </c>
      <c r="K468" t="s">
        <v>365</v>
      </c>
      <c r="L468">
        <f>_xlfn.XLOOKUP(K468, CCF!B:B, CCF!C:C)</f>
        <v>85499</v>
      </c>
      <c r="M468" t="s">
        <v>16</v>
      </c>
    </row>
    <row r="469" spans="1:13" x14ac:dyDescent="0.3">
      <c r="A469">
        <v>468</v>
      </c>
      <c r="B469" t="s">
        <v>1134</v>
      </c>
      <c r="C469" s="3">
        <v>33223</v>
      </c>
      <c r="D469" t="s">
        <v>666</v>
      </c>
      <c r="E469">
        <v>74</v>
      </c>
      <c r="F469" s="1">
        <v>45359</v>
      </c>
      <c r="G469" s="1" t="str">
        <f>TEXT(Table1[[#This Row],[Enrollment date]], "mmm")</f>
        <v>Mar</v>
      </c>
      <c r="H469" t="s">
        <v>360</v>
      </c>
      <c r="I469" t="s">
        <v>661</v>
      </c>
      <c r="J469" t="str">
        <f>_xlfn.XLOOKUP(Table1[[#This Row],[Course ]], CCF!B:B, CCF!A:A)</f>
        <v>DM101</v>
      </c>
      <c r="K469" t="s">
        <v>365</v>
      </c>
      <c r="L469">
        <f>_xlfn.XLOOKUP(K469, CCF!B:B, CCF!C:C)</f>
        <v>85499</v>
      </c>
      <c r="M469" t="s">
        <v>17</v>
      </c>
    </row>
    <row r="470" spans="1:13" x14ac:dyDescent="0.3">
      <c r="A470">
        <v>469</v>
      </c>
      <c r="B470" t="s">
        <v>1135</v>
      </c>
      <c r="C470" s="3">
        <v>63559</v>
      </c>
      <c r="D470" t="s">
        <v>666</v>
      </c>
      <c r="E470">
        <v>47</v>
      </c>
      <c r="F470" s="1">
        <v>45360</v>
      </c>
      <c r="G470" s="1" t="str">
        <f>TEXT(Table1[[#This Row],[Enrollment date]], "mmm")</f>
        <v>Mar</v>
      </c>
      <c r="H470" t="s">
        <v>360</v>
      </c>
      <c r="I470" t="s">
        <v>659</v>
      </c>
      <c r="J470" t="str">
        <f>_xlfn.XLOOKUP(Table1[[#This Row],[Course ]], CCF!B:B, CCF!A:A)</f>
        <v>DM101</v>
      </c>
      <c r="K470" t="s">
        <v>365</v>
      </c>
      <c r="L470">
        <f>_xlfn.XLOOKUP(K470, CCF!B:B, CCF!C:C)</f>
        <v>85499</v>
      </c>
      <c r="M470" t="s">
        <v>53</v>
      </c>
    </row>
    <row r="471" spans="1:13" x14ac:dyDescent="0.3">
      <c r="A471">
        <v>470</v>
      </c>
      <c r="B471" t="s">
        <v>1136</v>
      </c>
      <c r="C471" s="3">
        <v>54502</v>
      </c>
      <c r="D471" t="s">
        <v>666</v>
      </c>
      <c r="E471">
        <v>18</v>
      </c>
      <c r="F471" s="1">
        <v>45360</v>
      </c>
      <c r="G471" s="1" t="str">
        <f>TEXT(Table1[[#This Row],[Enrollment date]], "mmm")</f>
        <v>Mar</v>
      </c>
      <c r="H471" t="s">
        <v>360</v>
      </c>
      <c r="I471" t="s">
        <v>660</v>
      </c>
      <c r="J471" t="str">
        <f>_xlfn.XLOOKUP(Table1[[#This Row],[Course ]], CCF!B:B, CCF!A:A)</f>
        <v>DM101</v>
      </c>
      <c r="K471" t="s">
        <v>365</v>
      </c>
      <c r="L471">
        <f>_xlfn.XLOOKUP(K471, CCF!B:B, CCF!C:C)</f>
        <v>85499</v>
      </c>
      <c r="M471" t="s">
        <v>41</v>
      </c>
    </row>
    <row r="472" spans="1:13" x14ac:dyDescent="0.3">
      <c r="A472">
        <v>471</v>
      </c>
      <c r="B472" t="s">
        <v>1137</v>
      </c>
      <c r="C472" s="3">
        <v>47883</v>
      </c>
      <c r="D472" t="s">
        <v>666</v>
      </c>
      <c r="E472">
        <v>46</v>
      </c>
      <c r="F472" s="1">
        <v>45360</v>
      </c>
      <c r="G472" s="1" t="str">
        <f>TEXT(Table1[[#This Row],[Enrollment date]], "mmm")</f>
        <v>Mar</v>
      </c>
      <c r="H472" t="s">
        <v>360</v>
      </c>
      <c r="I472" t="s">
        <v>660</v>
      </c>
      <c r="J472" t="str">
        <f>_xlfn.XLOOKUP(Table1[[#This Row],[Course ]], CCF!B:B, CCF!A:A)</f>
        <v>DA202</v>
      </c>
      <c r="K472" t="s">
        <v>363</v>
      </c>
      <c r="L472">
        <f>_xlfn.XLOOKUP(K472, CCF!B:B, CCF!C:C)</f>
        <v>79999</v>
      </c>
      <c r="M472" t="s">
        <v>9</v>
      </c>
    </row>
    <row r="473" spans="1:13" x14ac:dyDescent="0.3">
      <c r="A473">
        <v>472</v>
      </c>
      <c r="B473" t="s">
        <v>1138</v>
      </c>
      <c r="C473" s="3">
        <v>13776</v>
      </c>
      <c r="D473" t="s">
        <v>666</v>
      </c>
      <c r="E473">
        <v>28</v>
      </c>
      <c r="F473" s="1">
        <v>45360</v>
      </c>
      <c r="G473" s="1" t="str">
        <f>TEXT(Table1[[#This Row],[Enrollment date]], "mmm")</f>
        <v>Mar</v>
      </c>
      <c r="H473" t="s">
        <v>360</v>
      </c>
      <c r="I473" t="s">
        <v>660</v>
      </c>
      <c r="J473" t="str">
        <f>_xlfn.XLOOKUP(Table1[[#This Row],[Course ]], CCF!B:B, CCF!A:A)</f>
        <v>DM101</v>
      </c>
      <c r="K473" t="s">
        <v>365</v>
      </c>
      <c r="L473">
        <f>_xlfn.XLOOKUP(K473, CCF!B:B, CCF!C:C)</f>
        <v>85499</v>
      </c>
      <c r="M473" t="s">
        <v>428</v>
      </c>
    </row>
    <row r="474" spans="1:13" x14ac:dyDescent="0.3">
      <c r="A474">
        <v>473</v>
      </c>
      <c r="B474" t="s">
        <v>1139</v>
      </c>
      <c r="C474" s="3">
        <v>70890</v>
      </c>
      <c r="D474" t="s">
        <v>666</v>
      </c>
      <c r="E474">
        <v>35</v>
      </c>
      <c r="F474" s="1">
        <v>45361</v>
      </c>
      <c r="G474" s="1" t="str">
        <f>TEXT(Table1[[#This Row],[Enrollment date]], "mmm")</f>
        <v>Mar</v>
      </c>
      <c r="H474" t="s">
        <v>360</v>
      </c>
      <c r="I474" t="s">
        <v>660</v>
      </c>
      <c r="J474" t="str">
        <f>_xlfn.XLOOKUP(Table1[[#This Row],[Course ]], CCF!B:B, CCF!A:A)</f>
        <v>BA301</v>
      </c>
      <c r="K474" t="s">
        <v>364</v>
      </c>
      <c r="L474">
        <f>_xlfn.XLOOKUP(K474, CCF!B:B, CCF!C:C)</f>
        <v>59999</v>
      </c>
      <c r="M474" t="s">
        <v>64</v>
      </c>
    </row>
    <row r="475" spans="1:13" x14ac:dyDescent="0.3">
      <c r="A475">
        <v>474</v>
      </c>
      <c r="B475" t="s">
        <v>1140</v>
      </c>
      <c r="C475" s="3">
        <v>33773</v>
      </c>
      <c r="D475" t="s">
        <v>666</v>
      </c>
      <c r="E475">
        <v>29</v>
      </c>
      <c r="F475" s="1">
        <v>45361</v>
      </c>
      <c r="G475" s="1" t="str">
        <f>TEXT(Table1[[#This Row],[Enrollment date]], "mmm")</f>
        <v>Mar</v>
      </c>
      <c r="H475" t="s">
        <v>360</v>
      </c>
      <c r="I475" t="s">
        <v>660</v>
      </c>
      <c r="J475" t="str">
        <f>_xlfn.XLOOKUP(Table1[[#This Row],[Course ]], CCF!B:B, CCF!A:A)</f>
        <v>DM101</v>
      </c>
      <c r="K475" t="s">
        <v>365</v>
      </c>
      <c r="L475">
        <f>_xlfn.XLOOKUP(K475, CCF!B:B, CCF!C:C)</f>
        <v>85499</v>
      </c>
      <c r="M475" t="s">
        <v>429</v>
      </c>
    </row>
    <row r="476" spans="1:13" x14ac:dyDescent="0.3">
      <c r="A476">
        <v>475</v>
      </c>
      <c r="B476" t="s">
        <v>1141</v>
      </c>
      <c r="C476" s="3">
        <v>63605</v>
      </c>
      <c r="D476" t="s">
        <v>667</v>
      </c>
      <c r="E476">
        <v>40</v>
      </c>
      <c r="F476" s="1">
        <v>45361</v>
      </c>
      <c r="G476" s="1" t="str">
        <f>TEXT(Table1[[#This Row],[Enrollment date]], "mmm")</f>
        <v>Mar</v>
      </c>
      <c r="H476" t="s">
        <v>360</v>
      </c>
      <c r="I476" t="s">
        <v>659</v>
      </c>
      <c r="J476" t="str">
        <f>_xlfn.XLOOKUP(Table1[[#This Row],[Course ]], CCF!B:B, CCF!A:A)</f>
        <v>DM101</v>
      </c>
      <c r="K476" t="s">
        <v>365</v>
      </c>
      <c r="L476">
        <f>_xlfn.XLOOKUP(K476, CCF!B:B, CCF!C:C)</f>
        <v>85499</v>
      </c>
      <c r="M476" t="s">
        <v>20</v>
      </c>
    </row>
    <row r="477" spans="1:13" x14ac:dyDescent="0.3">
      <c r="A477">
        <v>476</v>
      </c>
      <c r="B477" t="s">
        <v>1142</v>
      </c>
      <c r="C477" s="3">
        <v>78328</v>
      </c>
      <c r="D477" t="s">
        <v>666</v>
      </c>
      <c r="E477">
        <v>41</v>
      </c>
      <c r="F477" s="1">
        <v>45361</v>
      </c>
      <c r="G477" s="1" t="str">
        <f>TEXT(Table1[[#This Row],[Enrollment date]], "mmm")</f>
        <v>Mar</v>
      </c>
      <c r="H477" t="s">
        <v>360</v>
      </c>
      <c r="I477" t="s">
        <v>661</v>
      </c>
      <c r="J477" t="str">
        <f>_xlfn.XLOOKUP(Table1[[#This Row],[Course ]], CCF!B:B, CCF!A:A)</f>
        <v>DA202</v>
      </c>
      <c r="K477" t="s">
        <v>363</v>
      </c>
      <c r="L477">
        <f>_xlfn.XLOOKUP(K477, CCF!B:B, CCF!C:C)</f>
        <v>79999</v>
      </c>
      <c r="M477" t="s">
        <v>20</v>
      </c>
    </row>
    <row r="478" spans="1:13" x14ac:dyDescent="0.3">
      <c r="A478">
        <v>477</v>
      </c>
      <c r="B478" t="s">
        <v>1143</v>
      </c>
      <c r="C478" s="3">
        <v>75110</v>
      </c>
      <c r="D478" t="s">
        <v>667</v>
      </c>
      <c r="E478">
        <v>76</v>
      </c>
      <c r="F478" s="1">
        <v>45361</v>
      </c>
      <c r="G478" s="1" t="str">
        <f>TEXT(Table1[[#This Row],[Enrollment date]], "mmm")</f>
        <v>Mar</v>
      </c>
      <c r="H478" t="s">
        <v>360</v>
      </c>
      <c r="I478" t="s">
        <v>660</v>
      </c>
      <c r="J478" t="str">
        <f>_xlfn.XLOOKUP(Table1[[#This Row],[Course ]], CCF!B:B, CCF!A:A)</f>
        <v>DA202</v>
      </c>
      <c r="K478" t="s">
        <v>363</v>
      </c>
      <c r="L478">
        <f>_xlfn.XLOOKUP(K478, CCF!B:B, CCF!C:C)</f>
        <v>79999</v>
      </c>
      <c r="M478" t="s">
        <v>16</v>
      </c>
    </row>
    <row r="479" spans="1:13" x14ac:dyDescent="0.3">
      <c r="A479">
        <v>478</v>
      </c>
      <c r="B479" t="s">
        <v>1144</v>
      </c>
      <c r="C479" s="3">
        <v>63925</v>
      </c>
      <c r="D479" t="s">
        <v>666</v>
      </c>
      <c r="E479">
        <v>59</v>
      </c>
      <c r="F479" s="1">
        <v>45361</v>
      </c>
      <c r="G479" s="1" t="str">
        <f>TEXT(Table1[[#This Row],[Enrollment date]], "mmm")</f>
        <v>Mar</v>
      </c>
      <c r="H479" t="s">
        <v>360</v>
      </c>
      <c r="I479" t="s">
        <v>660</v>
      </c>
      <c r="J479" t="str">
        <f>_xlfn.XLOOKUP(Table1[[#This Row],[Course ]], CCF!B:B, CCF!A:A)</f>
        <v>DM101</v>
      </c>
      <c r="K479" t="s">
        <v>365</v>
      </c>
      <c r="L479">
        <f>_xlfn.XLOOKUP(K479, CCF!B:B, CCF!C:C)</f>
        <v>85499</v>
      </c>
      <c r="M479" t="s">
        <v>163</v>
      </c>
    </row>
    <row r="480" spans="1:13" x14ac:dyDescent="0.3">
      <c r="A480">
        <v>479</v>
      </c>
      <c r="B480" t="s">
        <v>1145</v>
      </c>
      <c r="C480" s="3">
        <v>88103</v>
      </c>
      <c r="D480" t="s">
        <v>666</v>
      </c>
      <c r="E480">
        <v>70</v>
      </c>
      <c r="F480" s="1">
        <v>45362</v>
      </c>
      <c r="G480" s="1" t="str">
        <f>TEXT(Table1[[#This Row],[Enrollment date]], "mmm")</f>
        <v>Mar</v>
      </c>
      <c r="H480" t="s">
        <v>360</v>
      </c>
      <c r="I480" t="s">
        <v>661</v>
      </c>
      <c r="J480" t="str">
        <f>_xlfn.XLOOKUP(Table1[[#This Row],[Course ]], CCF!B:B, CCF!A:A)</f>
        <v>UX401</v>
      </c>
      <c r="K480" t="s">
        <v>367</v>
      </c>
      <c r="L480">
        <f>_xlfn.XLOOKUP(K480, CCF!B:B, CCF!C:C)</f>
        <v>67990</v>
      </c>
      <c r="M480" t="s">
        <v>12</v>
      </c>
    </row>
    <row r="481" spans="1:13" x14ac:dyDescent="0.3">
      <c r="A481">
        <v>480</v>
      </c>
      <c r="B481" t="s">
        <v>1146</v>
      </c>
      <c r="C481" s="3">
        <v>66159</v>
      </c>
      <c r="D481" t="s">
        <v>667</v>
      </c>
      <c r="E481">
        <v>44</v>
      </c>
      <c r="F481" s="1">
        <v>45362</v>
      </c>
      <c r="G481" s="1" t="str">
        <f>TEXT(Table1[[#This Row],[Enrollment date]], "mmm")</f>
        <v>Mar</v>
      </c>
      <c r="H481" t="s">
        <v>360</v>
      </c>
      <c r="I481" t="s">
        <v>661</v>
      </c>
      <c r="J481" t="str">
        <f>_xlfn.XLOOKUP(Table1[[#This Row],[Course ]], CCF!B:B, CCF!A:A)</f>
        <v>DM101</v>
      </c>
      <c r="K481" t="s">
        <v>365</v>
      </c>
      <c r="L481">
        <f>_xlfn.XLOOKUP(K481, CCF!B:B, CCF!C:C)</f>
        <v>85499</v>
      </c>
      <c r="M481" t="s">
        <v>280</v>
      </c>
    </row>
    <row r="482" spans="1:13" x14ac:dyDescent="0.3">
      <c r="A482">
        <v>481</v>
      </c>
      <c r="B482" t="s">
        <v>1147</v>
      </c>
      <c r="C482" s="3">
        <v>64376</v>
      </c>
      <c r="D482" t="s">
        <v>666</v>
      </c>
      <c r="E482">
        <v>48</v>
      </c>
      <c r="F482" s="1">
        <v>45362</v>
      </c>
      <c r="G482" s="1" t="str">
        <f>TEXT(Table1[[#This Row],[Enrollment date]], "mmm")</f>
        <v>Mar</v>
      </c>
      <c r="H482" t="s">
        <v>360</v>
      </c>
      <c r="I482" t="s">
        <v>661</v>
      </c>
      <c r="J482" t="str">
        <f>_xlfn.XLOOKUP(Table1[[#This Row],[Course ]], CCF!B:B, CCF!A:A)</f>
        <v>UX401</v>
      </c>
      <c r="K482" t="s">
        <v>367</v>
      </c>
      <c r="L482">
        <f>_xlfn.XLOOKUP(K482, CCF!B:B, CCF!C:C)</f>
        <v>67990</v>
      </c>
      <c r="M482" t="s">
        <v>9</v>
      </c>
    </row>
    <row r="483" spans="1:13" x14ac:dyDescent="0.3">
      <c r="A483">
        <v>482</v>
      </c>
      <c r="B483" t="s">
        <v>1148</v>
      </c>
      <c r="C483" s="3">
        <v>57421</v>
      </c>
      <c r="D483" t="s">
        <v>666</v>
      </c>
      <c r="E483">
        <v>33</v>
      </c>
      <c r="F483" s="1">
        <v>45362</v>
      </c>
      <c r="G483" s="1" t="str">
        <f>TEXT(Table1[[#This Row],[Enrollment date]], "mmm")</f>
        <v>Mar</v>
      </c>
      <c r="H483" t="s">
        <v>360</v>
      </c>
      <c r="I483" t="s">
        <v>661</v>
      </c>
      <c r="J483" t="str">
        <f>_xlfn.XLOOKUP(Table1[[#This Row],[Course ]], CCF!B:B, CCF!A:A)</f>
        <v>UX401</v>
      </c>
      <c r="K483" t="s">
        <v>367</v>
      </c>
      <c r="L483">
        <f>_xlfn.XLOOKUP(K483, CCF!B:B, CCF!C:C)</f>
        <v>67990</v>
      </c>
      <c r="M483" t="s">
        <v>27</v>
      </c>
    </row>
    <row r="484" spans="1:13" x14ac:dyDescent="0.3">
      <c r="A484">
        <v>483</v>
      </c>
      <c r="B484" t="s">
        <v>1149</v>
      </c>
      <c r="C484" s="3">
        <v>91538</v>
      </c>
      <c r="D484" t="s">
        <v>667</v>
      </c>
      <c r="E484">
        <v>41</v>
      </c>
      <c r="F484" s="1">
        <v>45362</v>
      </c>
      <c r="G484" s="1" t="str">
        <f>TEXT(Table1[[#This Row],[Enrollment date]], "mmm")</f>
        <v>Mar</v>
      </c>
      <c r="H484" t="s">
        <v>361</v>
      </c>
      <c r="I484" t="s">
        <v>659</v>
      </c>
      <c r="J484" t="str">
        <f>_xlfn.XLOOKUP(Table1[[#This Row],[Course ]], CCF!B:B, CCF!A:A)</f>
        <v>DA202</v>
      </c>
      <c r="K484" t="s">
        <v>363</v>
      </c>
      <c r="L484">
        <f>_xlfn.XLOOKUP(K484, CCF!B:B, CCF!C:C)</f>
        <v>79999</v>
      </c>
      <c r="M484" t="s">
        <v>148</v>
      </c>
    </row>
    <row r="485" spans="1:13" x14ac:dyDescent="0.3">
      <c r="A485">
        <v>484</v>
      </c>
      <c r="B485" t="s">
        <v>1150</v>
      </c>
      <c r="C485" s="3">
        <v>81634</v>
      </c>
      <c r="D485" t="s">
        <v>667</v>
      </c>
      <c r="E485">
        <v>42</v>
      </c>
      <c r="F485" s="1">
        <v>45362</v>
      </c>
      <c r="G485" s="1" t="str">
        <f>TEXT(Table1[[#This Row],[Enrollment date]], "mmm")</f>
        <v>Mar</v>
      </c>
      <c r="H485" t="s">
        <v>360</v>
      </c>
      <c r="I485" t="s">
        <v>663</v>
      </c>
      <c r="J485" t="str">
        <f>_xlfn.XLOOKUP(Table1[[#This Row],[Course ]], CCF!B:B, CCF!A:A)</f>
        <v>BA301</v>
      </c>
      <c r="K485" t="s">
        <v>364</v>
      </c>
      <c r="L485">
        <f>_xlfn.XLOOKUP(K485, CCF!B:B, CCF!C:C)</f>
        <v>59999</v>
      </c>
      <c r="M485" t="s">
        <v>18</v>
      </c>
    </row>
    <row r="486" spans="1:13" x14ac:dyDescent="0.3">
      <c r="A486">
        <v>485</v>
      </c>
      <c r="B486" t="s">
        <v>1151</v>
      </c>
      <c r="C486" s="3">
        <v>62399</v>
      </c>
      <c r="D486" t="s">
        <v>666</v>
      </c>
      <c r="E486">
        <v>44</v>
      </c>
      <c r="F486" s="1">
        <v>45363</v>
      </c>
      <c r="G486" s="1" t="str">
        <f>TEXT(Table1[[#This Row],[Enrollment date]], "mmm")</f>
        <v>Mar</v>
      </c>
      <c r="H486" t="s">
        <v>360</v>
      </c>
      <c r="I486" t="s">
        <v>664</v>
      </c>
      <c r="J486" t="str">
        <f>_xlfn.XLOOKUP(Table1[[#This Row],[Course ]], CCF!B:B, CCF!A:A)</f>
        <v>FSD103</v>
      </c>
      <c r="K486" t="s">
        <v>366</v>
      </c>
      <c r="L486">
        <f>_xlfn.XLOOKUP(K486, CCF!B:B, CCF!C:C)</f>
        <v>109990</v>
      </c>
      <c r="M486" t="s">
        <v>16</v>
      </c>
    </row>
    <row r="487" spans="1:13" x14ac:dyDescent="0.3">
      <c r="A487">
        <v>486</v>
      </c>
      <c r="B487" t="s">
        <v>1152</v>
      </c>
      <c r="C487" s="3">
        <v>51162</v>
      </c>
      <c r="D487" t="s">
        <v>666</v>
      </c>
      <c r="E487">
        <v>59</v>
      </c>
      <c r="F487" s="1">
        <v>45363</v>
      </c>
      <c r="G487" s="1" t="str">
        <f>TEXT(Table1[[#This Row],[Enrollment date]], "mmm")</f>
        <v>Mar</v>
      </c>
      <c r="H487" t="s">
        <v>360</v>
      </c>
      <c r="I487" t="s">
        <v>665</v>
      </c>
      <c r="J487" t="str">
        <f>_xlfn.XLOOKUP(Table1[[#This Row],[Course ]], CCF!B:B, CCF!A:A)</f>
        <v>DA202</v>
      </c>
      <c r="K487" t="s">
        <v>363</v>
      </c>
      <c r="L487">
        <f>_xlfn.XLOOKUP(K487, CCF!B:B, CCF!C:C)</f>
        <v>79999</v>
      </c>
      <c r="M487" t="s">
        <v>12</v>
      </c>
    </row>
    <row r="488" spans="1:13" x14ac:dyDescent="0.3">
      <c r="A488">
        <v>487</v>
      </c>
      <c r="B488" t="s">
        <v>1153</v>
      </c>
      <c r="C488" s="3">
        <v>89270</v>
      </c>
      <c r="D488" t="s">
        <v>666</v>
      </c>
      <c r="E488">
        <v>31</v>
      </c>
      <c r="F488" s="1">
        <v>45363</v>
      </c>
      <c r="G488" s="1" t="str">
        <f>TEXT(Table1[[#This Row],[Enrollment date]], "mmm")</f>
        <v>Mar</v>
      </c>
      <c r="H488" t="s">
        <v>360</v>
      </c>
      <c r="I488" t="s">
        <v>659</v>
      </c>
      <c r="J488" t="str">
        <f>_xlfn.XLOOKUP(Table1[[#This Row],[Course ]], CCF!B:B, CCF!A:A)</f>
        <v>DA202</v>
      </c>
      <c r="K488" t="s">
        <v>363</v>
      </c>
      <c r="L488">
        <f>_xlfn.XLOOKUP(K488, CCF!B:B, CCF!C:C)</f>
        <v>79999</v>
      </c>
      <c r="M488" t="s">
        <v>27</v>
      </c>
    </row>
    <row r="489" spans="1:13" x14ac:dyDescent="0.3">
      <c r="A489">
        <v>488</v>
      </c>
      <c r="B489" t="s">
        <v>1154</v>
      </c>
      <c r="C489" s="3">
        <v>35874</v>
      </c>
      <c r="D489" t="s">
        <v>667</v>
      </c>
      <c r="E489">
        <v>22</v>
      </c>
      <c r="F489" s="1">
        <v>45363</v>
      </c>
      <c r="G489" s="1" t="str">
        <f>TEXT(Table1[[#This Row],[Enrollment date]], "mmm")</f>
        <v>Mar</v>
      </c>
      <c r="H489" t="s">
        <v>360</v>
      </c>
      <c r="I489" t="s">
        <v>661</v>
      </c>
      <c r="J489" t="str">
        <f>_xlfn.XLOOKUP(Table1[[#This Row],[Course ]], CCF!B:B, CCF!A:A)</f>
        <v>BA301</v>
      </c>
      <c r="K489" t="s">
        <v>364</v>
      </c>
      <c r="L489">
        <f>_xlfn.XLOOKUP(K489, CCF!B:B, CCF!C:C)</f>
        <v>59999</v>
      </c>
      <c r="M489" t="s">
        <v>16</v>
      </c>
    </row>
    <row r="490" spans="1:13" x14ac:dyDescent="0.3">
      <c r="A490">
        <v>489</v>
      </c>
      <c r="B490" t="s">
        <v>1155</v>
      </c>
      <c r="C490" s="3">
        <v>43504</v>
      </c>
      <c r="D490" t="s">
        <v>666</v>
      </c>
      <c r="E490">
        <v>39</v>
      </c>
      <c r="F490" s="1">
        <v>45363</v>
      </c>
      <c r="G490" s="1" t="str">
        <f>TEXT(Table1[[#This Row],[Enrollment date]], "mmm")</f>
        <v>Mar</v>
      </c>
      <c r="H490" t="s">
        <v>360</v>
      </c>
      <c r="I490" t="s">
        <v>661</v>
      </c>
      <c r="J490" t="str">
        <f>_xlfn.XLOOKUP(Table1[[#This Row],[Course ]], CCF!B:B, CCF!A:A)</f>
        <v>DA202</v>
      </c>
      <c r="K490" t="s">
        <v>363</v>
      </c>
      <c r="L490">
        <f>_xlfn.XLOOKUP(K490, CCF!B:B, CCF!C:C)</f>
        <v>79999</v>
      </c>
      <c r="M490" t="s">
        <v>430</v>
      </c>
    </row>
    <row r="491" spans="1:13" x14ac:dyDescent="0.3">
      <c r="A491">
        <v>490</v>
      </c>
      <c r="B491" t="s">
        <v>1156</v>
      </c>
      <c r="C491" s="3">
        <v>42825</v>
      </c>
      <c r="D491" t="s">
        <v>667</v>
      </c>
      <c r="E491">
        <v>72</v>
      </c>
      <c r="F491" s="1">
        <v>45363</v>
      </c>
      <c r="G491" s="1" t="str">
        <f>TEXT(Table1[[#This Row],[Enrollment date]], "mmm")</f>
        <v>Mar</v>
      </c>
      <c r="H491" t="s">
        <v>360</v>
      </c>
      <c r="I491" t="s">
        <v>660</v>
      </c>
      <c r="J491" t="str">
        <f>_xlfn.XLOOKUP(Table1[[#This Row],[Course ]], CCF!B:B, CCF!A:A)</f>
        <v>DA202</v>
      </c>
      <c r="K491" t="s">
        <v>363</v>
      </c>
      <c r="L491">
        <f>_xlfn.XLOOKUP(K491, CCF!B:B, CCF!C:C)</f>
        <v>79999</v>
      </c>
      <c r="M491" t="s">
        <v>20</v>
      </c>
    </row>
    <row r="492" spans="1:13" x14ac:dyDescent="0.3">
      <c r="A492">
        <v>491</v>
      </c>
      <c r="B492" t="s">
        <v>1157</v>
      </c>
      <c r="C492" s="3">
        <v>48016</v>
      </c>
      <c r="D492" t="s">
        <v>666</v>
      </c>
      <c r="E492">
        <v>68</v>
      </c>
      <c r="F492" s="1">
        <v>45363</v>
      </c>
      <c r="G492" s="1" t="str">
        <f>TEXT(Table1[[#This Row],[Enrollment date]], "mmm")</f>
        <v>Mar</v>
      </c>
      <c r="H492" t="s">
        <v>360</v>
      </c>
      <c r="I492" t="s">
        <v>661</v>
      </c>
      <c r="J492" t="str">
        <f>_xlfn.XLOOKUP(Table1[[#This Row],[Course ]], CCF!B:B, CCF!A:A)</f>
        <v>DA202</v>
      </c>
      <c r="K492" t="s">
        <v>363</v>
      </c>
      <c r="L492">
        <f>_xlfn.XLOOKUP(K492, CCF!B:B, CCF!C:C)</f>
        <v>79999</v>
      </c>
      <c r="M492" t="s">
        <v>109</v>
      </c>
    </row>
    <row r="493" spans="1:13" x14ac:dyDescent="0.3">
      <c r="A493">
        <v>492</v>
      </c>
      <c r="B493" t="s">
        <v>1158</v>
      </c>
      <c r="C493" s="3">
        <v>88503</v>
      </c>
      <c r="D493" t="s">
        <v>666</v>
      </c>
      <c r="E493">
        <v>45</v>
      </c>
      <c r="F493" s="1">
        <v>45363</v>
      </c>
      <c r="G493" s="1" t="str">
        <f>TEXT(Table1[[#This Row],[Enrollment date]], "mmm")</f>
        <v>Mar</v>
      </c>
      <c r="H493" t="s">
        <v>360</v>
      </c>
      <c r="I493" t="s">
        <v>659</v>
      </c>
      <c r="J493" t="str">
        <f>_xlfn.XLOOKUP(Table1[[#This Row],[Course ]], CCF!B:B, CCF!A:A)</f>
        <v>DA202</v>
      </c>
      <c r="K493" t="s">
        <v>363</v>
      </c>
      <c r="L493">
        <f>_xlfn.XLOOKUP(K493, CCF!B:B, CCF!C:C)</f>
        <v>79999</v>
      </c>
      <c r="M493" t="s">
        <v>18</v>
      </c>
    </row>
    <row r="494" spans="1:13" x14ac:dyDescent="0.3">
      <c r="A494">
        <v>493</v>
      </c>
      <c r="B494" t="s">
        <v>1159</v>
      </c>
      <c r="C494" s="3">
        <v>54736</v>
      </c>
      <c r="D494" t="s">
        <v>666</v>
      </c>
      <c r="E494">
        <v>43</v>
      </c>
      <c r="F494" s="1">
        <v>45363</v>
      </c>
      <c r="G494" s="1" t="str">
        <f>TEXT(Table1[[#This Row],[Enrollment date]], "mmm")</f>
        <v>Mar</v>
      </c>
      <c r="H494" t="s">
        <v>360</v>
      </c>
      <c r="I494" t="s">
        <v>660</v>
      </c>
      <c r="J494" t="str">
        <f>_xlfn.XLOOKUP(Table1[[#This Row],[Course ]], CCF!B:B, CCF!A:A)</f>
        <v>BA301</v>
      </c>
      <c r="K494" t="s">
        <v>364</v>
      </c>
      <c r="L494">
        <f>_xlfn.XLOOKUP(K494, CCF!B:B, CCF!C:C)</f>
        <v>59999</v>
      </c>
      <c r="M494" t="s">
        <v>27</v>
      </c>
    </row>
    <row r="495" spans="1:13" x14ac:dyDescent="0.3">
      <c r="A495">
        <v>494</v>
      </c>
      <c r="B495" t="s">
        <v>1160</v>
      </c>
      <c r="C495" s="3">
        <v>87315</v>
      </c>
      <c r="D495" t="s">
        <v>666</v>
      </c>
      <c r="E495">
        <v>37</v>
      </c>
      <c r="F495" s="1">
        <v>45363</v>
      </c>
      <c r="G495" s="1" t="str">
        <f>TEXT(Table1[[#This Row],[Enrollment date]], "mmm")</f>
        <v>Mar</v>
      </c>
      <c r="H495" t="s">
        <v>360</v>
      </c>
      <c r="I495" t="s">
        <v>659</v>
      </c>
      <c r="J495" t="str">
        <f>_xlfn.XLOOKUP(Table1[[#This Row],[Course ]], CCF!B:B, CCF!A:A)</f>
        <v>BA301</v>
      </c>
      <c r="K495" t="s">
        <v>364</v>
      </c>
      <c r="L495">
        <f>_xlfn.XLOOKUP(K495, CCF!B:B, CCF!C:C)</f>
        <v>59999</v>
      </c>
      <c r="M495" t="s">
        <v>80</v>
      </c>
    </row>
    <row r="496" spans="1:13" x14ac:dyDescent="0.3">
      <c r="A496">
        <v>495</v>
      </c>
      <c r="B496" t="s">
        <v>1161</v>
      </c>
      <c r="C496" s="3">
        <v>67753</v>
      </c>
      <c r="D496" t="s">
        <v>666</v>
      </c>
      <c r="E496">
        <v>66</v>
      </c>
      <c r="F496" s="1">
        <v>45364</v>
      </c>
      <c r="G496" s="1" t="str">
        <f>TEXT(Table1[[#This Row],[Enrollment date]], "mmm")</f>
        <v>Mar</v>
      </c>
      <c r="H496" t="s">
        <v>360</v>
      </c>
      <c r="I496" t="s">
        <v>665</v>
      </c>
      <c r="J496" t="str">
        <f>_xlfn.XLOOKUP(Table1[[#This Row],[Course ]], CCF!B:B, CCF!A:A)</f>
        <v>UX401</v>
      </c>
      <c r="K496" t="s">
        <v>367</v>
      </c>
      <c r="L496">
        <f>_xlfn.XLOOKUP(K496, CCF!B:B, CCF!C:C)</f>
        <v>67990</v>
      </c>
      <c r="M496" t="s">
        <v>122</v>
      </c>
    </row>
    <row r="497" spans="1:13" x14ac:dyDescent="0.3">
      <c r="A497">
        <v>496</v>
      </c>
      <c r="B497" t="s">
        <v>1162</v>
      </c>
      <c r="C497" s="3">
        <v>77105</v>
      </c>
      <c r="D497" t="s">
        <v>666</v>
      </c>
      <c r="E497">
        <v>44</v>
      </c>
      <c r="F497" s="1">
        <v>45364</v>
      </c>
      <c r="G497" s="1" t="str">
        <f>TEXT(Table1[[#This Row],[Enrollment date]], "mmm")</f>
        <v>Mar</v>
      </c>
      <c r="H497" t="s">
        <v>360</v>
      </c>
      <c r="I497" t="s">
        <v>659</v>
      </c>
      <c r="J497" t="str">
        <f>_xlfn.XLOOKUP(Table1[[#This Row],[Course ]], CCF!B:B, CCF!A:A)</f>
        <v>DM101</v>
      </c>
      <c r="K497" t="s">
        <v>365</v>
      </c>
      <c r="L497">
        <f>_xlfn.XLOOKUP(K497, CCF!B:B, CCF!C:C)</f>
        <v>85499</v>
      </c>
      <c r="M497" t="s">
        <v>293</v>
      </c>
    </row>
    <row r="498" spans="1:13" x14ac:dyDescent="0.3">
      <c r="A498">
        <v>497</v>
      </c>
      <c r="B498" t="s">
        <v>1163</v>
      </c>
      <c r="C498" s="3">
        <v>89003</v>
      </c>
      <c r="D498" t="s">
        <v>666</v>
      </c>
      <c r="E498">
        <v>43</v>
      </c>
      <c r="F498" s="1">
        <v>45364</v>
      </c>
      <c r="G498" s="1" t="str">
        <f>TEXT(Table1[[#This Row],[Enrollment date]], "mmm")</f>
        <v>Mar</v>
      </c>
      <c r="H498" t="s">
        <v>360</v>
      </c>
      <c r="I498" t="s">
        <v>663</v>
      </c>
      <c r="J498" t="str">
        <f>_xlfn.XLOOKUP(Table1[[#This Row],[Course ]], CCF!B:B, CCF!A:A)</f>
        <v>BA301</v>
      </c>
      <c r="K498" t="s">
        <v>364</v>
      </c>
      <c r="L498">
        <f>_xlfn.XLOOKUP(K498, CCF!B:B, CCF!C:C)</f>
        <v>59999</v>
      </c>
      <c r="M498" t="s">
        <v>20</v>
      </c>
    </row>
    <row r="499" spans="1:13" x14ac:dyDescent="0.3">
      <c r="A499">
        <v>498</v>
      </c>
      <c r="B499" t="s">
        <v>1164</v>
      </c>
      <c r="C499" s="3">
        <v>15293</v>
      </c>
      <c r="D499" t="s">
        <v>666</v>
      </c>
      <c r="E499">
        <v>49</v>
      </c>
      <c r="F499" s="1">
        <v>45364</v>
      </c>
      <c r="G499" s="1" t="str">
        <f>TEXT(Table1[[#This Row],[Enrollment date]], "mmm")</f>
        <v>Mar</v>
      </c>
      <c r="H499" t="s">
        <v>360</v>
      </c>
      <c r="I499" t="s">
        <v>659</v>
      </c>
      <c r="J499" t="str">
        <f>_xlfn.XLOOKUP(Table1[[#This Row],[Course ]], CCF!B:B, CCF!A:A)</f>
        <v>BA301</v>
      </c>
      <c r="K499" t="s">
        <v>364</v>
      </c>
      <c r="L499">
        <f>_xlfn.XLOOKUP(K499, CCF!B:B, CCF!C:C)</f>
        <v>59999</v>
      </c>
      <c r="M499" t="s">
        <v>431</v>
      </c>
    </row>
    <row r="500" spans="1:13" x14ac:dyDescent="0.3">
      <c r="A500">
        <v>499</v>
      </c>
      <c r="B500" t="s">
        <v>1165</v>
      </c>
      <c r="C500" s="3">
        <v>31303</v>
      </c>
      <c r="D500" t="s">
        <v>666</v>
      </c>
      <c r="E500">
        <v>30</v>
      </c>
      <c r="F500" s="1">
        <v>45364</v>
      </c>
      <c r="G500" s="1" t="str">
        <f>TEXT(Table1[[#This Row],[Enrollment date]], "mmm")</f>
        <v>Mar</v>
      </c>
      <c r="H500" t="s">
        <v>360</v>
      </c>
      <c r="I500" t="s">
        <v>662</v>
      </c>
      <c r="J500" t="str">
        <f>_xlfn.XLOOKUP(Table1[[#This Row],[Course ]], CCF!B:B, CCF!A:A)</f>
        <v>DM101</v>
      </c>
      <c r="K500" t="s">
        <v>365</v>
      </c>
      <c r="L500">
        <f>_xlfn.XLOOKUP(K500, CCF!B:B, CCF!C:C)</f>
        <v>85499</v>
      </c>
      <c r="M500" t="s">
        <v>124</v>
      </c>
    </row>
    <row r="501" spans="1:13" x14ac:dyDescent="0.3">
      <c r="A501">
        <v>500</v>
      </c>
      <c r="B501" t="s">
        <v>1166</v>
      </c>
      <c r="C501" s="3">
        <v>26878</v>
      </c>
      <c r="D501" t="s">
        <v>666</v>
      </c>
      <c r="E501">
        <v>36</v>
      </c>
      <c r="F501" s="1">
        <v>45364</v>
      </c>
      <c r="G501" s="1" t="str">
        <f>TEXT(Table1[[#This Row],[Enrollment date]], "mmm")</f>
        <v>Mar</v>
      </c>
      <c r="H501" t="s">
        <v>360</v>
      </c>
      <c r="I501" t="s">
        <v>659</v>
      </c>
      <c r="J501" t="str">
        <f>_xlfn.XLOOKUP(Table1[[#This Row],[Course ]], CCF!B:B, CCF!A:A)</f>
        <v>DM101</v>
      </c>
      <c r="K501" t="s">
        <v>365</v>
      </c>
      <c r="L501">
        <f>_xlfn.XLOOKUP(K501, CCF!B:B, CCF!C:C)</f>
        <v>85499</v>
      </c>
      <c r="M501" t="s">
        <v>25</v>
      </c>
    </row>
    <row r="502" spans="1:13" x14ac:dyDescent="0.3">
      <c r="A502">
        <v>501</v>
      </c>
      <c r="B502" t="s">
        <v>1167</v>
      </c>
      <c r="C502" s="3">
        <v>45157</v>
      </c>
      <c r="D502" t="s">
        <v>667</v>
      </c>
      <c r="E502">
        <v>22</v>
      </c>
      <c r="F502" s="1">
        <v>45364</v>
      </c>
      <c r="G502" s="1" t="str">
        <f>TEXT(Table1[[#This Row],[Enrollment date]], "mmm")</f>
        <v>Mar</v>
      </c>
      <c r="H502" t="s">
        <v>360</v>
      </c>
      <c r="I502" t="s">
        <v>661</v>
      </c>
      <c r="J502" t="str">
        <f>_xlfn.XLOOKUP(Table1[[#This Row],[Course ]], CCF!B:B, CCF!A:A)</f>
        <v>DA202</v>
      </c>
      <c r="K502" t="s">
        <v>363</v>
      </c>
      <c r="L502">
        <f>_xlfn.XLOOKUP(K502, CCF!B:B, CCF!C:C)</f>
        <v>79999</v>
      </c>
      <c r="M502" t="s">
        <v>16</v>
      </c>
    </row>
    <row r="503" spans="1:13" x14ac:dyDescent="0.3">
      <c r="A503">
        <v>502</v>
      </c>
      <c r="B503" t="s">
        <v>1168</v>
      </c>
      <c r="C503" s="3">
        <v>99832</v>
      </c>
      <c r="D503" t="s">
        <v>666</v>
      </c>
      <c r="E503">
        <v>33</v>
      </c>
      <c r="F503" s="1">
        <v>45365</v>
      </c>
      <c r="G503" s="1" t="str">
        <f>TEXT(Table1[[#This Row],[Enrollment date]], "mmm")</f>
        <v>Mar</v>
      </c>
      <c r="H503" t="s">
        <v>360</v>
      </c>
      <c r="I503" t="s">
        <v>659</v>
      </c>
      <c r="J503" t="str">
        <f>_xlfn.XLOOKUP(Table1[[#This Row],[Course ]], CCF!B:B, CCF!A:A)</f>
        <v>BA301</v>
      </c>
      <c r="K503" t="s">
        <v>364</v>
      </c>
      <c r="L503">
        <f>_xlfn.XLOOKUP(K503, CCF!B:B, CCF!C:C)</f>
        <v>59999</v>
      </c>
      <c r="M503" t="s">
        <v>91</v>
      </c>
    </row>
    <row r="504" spans="1:13" x14ac:dyDescent="0.3">
      <c r="A504">
        <v>503</v>
      </c>
      <c r="B504" t="s">
        <v>1169</v>
      </c>
      <c r="C504" s="3">
        <v>30210</v>
      </c>
      <c r="D504" t="s">
        <v>667</v>
      </c>
      <c r="E504">
        <v>40</v>
      </c>
      <c r="F504" s="1">
        <v>45365</v>
      </c>
      <c r="G504" s="1" t="str">
        <f>TEXT(Table1[[#This Row],[Enrollment date]], "mmm")</f>
        <v>Mar</v>
      </c>
      <c r="H504" t="s">
        <v>360</v>
      </c>
      <c r="I504" t="s">
        <v>662</v>
      </c>
      <c r="J504" t="str">
        <f>_xlfn.XLOOKUP(Table1[[#This Row],[Course ]], CCF!B:B, CCF!A:A)</f>
        <v>DA202</v>
      </c>
      <c r="K504" t="s">
        <v>363</v>
      </c>
      <c r="L504">
        <f>_xlfn.XLOOKUP(K504, CCF!B:B, CCF!C:C)</f>
        <v>79999</v>
      </c>
      <c r="M504" t="s">
        <v>236</v>
      </c>
    </row>
    <row r="505" spans="1:13" x14ac:dyDescent="0.3">
      <c r="A505">
        <v>504</v>
      </c>
      <c r="B505" t="s">
        <v>1170</v>
      </c>
      <c r="C505" s="3">
        <v>68962</v>
      </c>
      <c r="D505" t="s">
        <v>666</v>
      </c>
      <c r="E505">
        <v>33</v>
      </c>
      <c r="F505" s="1">
        <v>45366</v>
      </c>
      <c r="G505" s="1" t="str">
        <f>TEXT(Table1[[#This Row],[Enrollment date]], "mmm")</f>
        <v>Mar</v>
      </c>
      <c r="H505" t="s">
        <v>360</v>
      </c>
      <c r="I505" t="s">
        <v>663</v>
      </c>
      <c r="J505" t="str">
        <f>_xlfn.XLOOKUP(Table1[[#This Row],[Course ]], CCF!B:B, CCF!A:A)</f>
        <v>DM101</v>
      </c>
      <c r="K505" t="s">
        <v>365</v>
      </c>
      <c r="L505">
        <f>_xlfn.XLOOKUP(K505, CCF!B:B, CCF!C:C)</f>
        <v>85499</v>
      </c>
      <c r="M505" t="s">
        <v>144</v>
      </c>
    </row>
    <row r="506" spans="1:13" x14ac:dyDescent="0.3">
      <c r="A506">
        <v>505</v>
      </c>
      <c r="B506" t="s">
        <v>1171</v>
      </c>
      <c r="C506" s="3">
        <v>66001</v>
      </c>
      <c r="D506" t="s">
        <v>667</v>
      </c>
      <c r="E506">
        <v>38</v>
      </c>
      <c r="F506" s="1">
        <v>45366</v>
      </c>
      <c r="G506" s="1" t="str">
        <f>TEXT(Table1[[#This Row],[Enrollment date]], "mmm")</f>
        <v>Mar</v>
      </c>
      <c r="H506" t="s">
        <v>360</v>
      </c>
      <c r="I506" t="s">
        <v>660</v>
      </c>
      <c r="J506" t="str">
        <f>_xlfn.XLOOKUP(Table1[[#This Row],[Course ]], CCF!B:B, CCF!A:A)</f>
        <v>UX401</v>
      </c>
      <c r="K506" t="s">
        <v>367</v>
      </c>
      <c r="L506">
        <f>_xlfn.XLOOKUP(K506, CCF!B:B, CCF!C:C)</f>
        <v>67990</v>
      </c>
      <c r="M506" t="s">
        <v>65</v>
      </c>
    </row>
    <row r="507" spans="1:13" x14ac:dyDescent="0.3">
      <c r="A507">
        <v>506</v>
      </c>
      <c r="B507" t="s">
        <v>1172</v>
      </c>
      <c r="C507" s="3">
        <v>83248</v>
      </c>
      <c r="D507" t="s">
        <v>667</v>
      </c>
      <c r="E507">
        <v>28</v>
      </c>
      <c r="F507" s="1">
        <v>45366</v>
      </c>
      <c r="G507" s="1" t="str">
        <f>TEXT(Table1[[#This Row],[Enrollment date]], "mmm")</f>
        <v>Mar</v>
      </c>
      <c r="H507" t="s">
        <v>360</v>
      </c>
      <c r="I507" t="s">
        <v>662</v>
      </c>
      <c r="J507" t="str">
        <f>_xlfn.XLOOKUP(Table1[[#This Row],[Course ]], CCF!B:B, CCF!A:A)</f>
        <v>DA202</v>
      </c>
      <c r="K507" t="s">
        <v>363</v>
      </c>
      <c r="L507">
        <f>_xlfn.XLOOKUP(K507, CCF!B:B, CCF!C:C)</f>
        <v>79999</v>
      </c>
      <c r="M507" t="s">
        <v>140</v>
      </c>
    </row>
    <row r="508" spans="1:13" x14ac:dyDescent="0.3">
      <c r="A508">
        <v>507</v>
      </c>
      <c r="B508" t="s">
        <v>1173</v>
      </c>
      <c r="C508" s="3">
        <v>96735</v>
      </c>
      <c r="D508" t="s">
        <v>667</v>
      </c>
      <c r="E508">
        <v>49</v>
      </c>
      <c r="F508" s="1">
        <v>45366</v>
      </c>
      <c r="G508" s="1" t="str">
        <f>TEXT(Table1[[#This Row],[Enrollment date]], "mmm")</f>
        <v>Mar</v>
      </c>
      <c r="H508" t="s">
        <v>360</v>
      </c>
      <c r="I508" t="s">
        <v>661</v>
      </c>
      <c r="J508" t="str">
        <f>_xlfn.XLOOKUP(Table1[[#This Row],[Course ]], CCF!B:B, CCF!A:A)</f>
        <v>FSD103</v>
      </c>
      <c r="K508" t="s">
        <v>366</v>
      </c>
      <c r="L508">
        <f>_xlfn.XLOOKUP(K508, CCF!B:B, CCF!C:C)</f>
        <v>109990</v>
      </c>
      <c r="M508" t="s">
        <v>250</v>
      </c>
    </row>
    <row r="509" spans="1:13" x14ac:dyDescent="0.3">
      <c r="A509">
        <v>508</v>
      </c>
      <c r="B509" t="s">
        <v>1174</v>
      </c>
      <c r="C509" s="3">
        <v>72260</v>
      </c>
      <c r="D509" t="s">
        <v>666</v>
      </c>
      <c r="E509">
        <v>30</v>
      </c>
      <c r="F509" s="1">
        <v>45366</v>
      </c>
      <c r="G509" s="1" t="str">
        <f>TEXT(Table1[[#This Row],[Enrollment date]], "mmm")</f>
        <v>Mar</v>
      </c>
      <c r="H509" t="s">
        <v>360</v>
      </c>
      <c r="I509" t="s">
        <v>663</v>
      </c>
      <c r="J509" t="str">
        <f>_xlfn.XLOOKUP(Table1[[#This Row],[Course ]], CCF!B:B, CCF!A:A)</f>
        <v>DA202</v>
      </c>
      <c r="K509" t="s">
        <v>363</v>
      </c>
      <c r="L509">
        <f>_xlfn.XLOOKUP(K509, CCF!B:B, CCF!C:C)</f>
        <v>79999</v>
      </c>
      <c r="M509" t="s">
        <v>432</v>
      </c>
    </row>
    <row r="510" spans="1:13" x14ac:dyDescent="0.3">
      <c r="A510">
        <v>509</v>
      </c>
      <c r="B510" t="s">
        <v>1175</v>
      </c>
      <c r="C510" s="3">
        <v>50200</v>
      </c>
      <c r="D510" t="s">
        <v>666</v>
      </c>
      <c r="E510">
        <v>26</v>
      </c>
      <c r="F510" s="1">
        <v>45366</v>
      </c>
      <c r="G510" s="1" t="str">
        <f>TEXT(Table1[[#This Row],[Enrollment date]], "mmm")</f>
        <v>Mar</v>
      </c>
      <c r="H510" t="s">
        <v>360</v>
      </c>
      <c r="I510" t="s">
        <v>660</v>
      </c>
      <c r="J510" t="str">
        <f>_xlfn.XLOOKUP(Table1[[#This Row],[Course ]], CCF!B:B, CCF!A:A)</f>
        <v>DM101</v>
      </c>
      <c r="K510" t="s">
        <v>365</v>
      </c>
      <c r="L510">
        <f>_xlfn.XLOOKUP(K510, CCF!B:B, CCF!C:C)</f>
        <v>85499</v>
      </c>
      <c r="M510" t="s">
        <v>144</v>
      </c>
    </row>
    <row r="511" spans="1:13" x14ac:dyDescent="0.3">
      <c r="A511">
        <v>510</v>
      </c>
      <c r="B511" t="s">
        <v>1176</v>
      </c>
      <c r="C511" s="3">
        <v>34005</v>
      </c>
      <c r="D511" t="s">
        <v>666</v>
      </c>
      <c r="E511">
        <v>48</v>
      </c>
      <c r="F511" s="1">
        <v>45366</v>
      </c>
      <c r="G511" s="1" t="str">
        <f>TEXT(Table1[[#This Row],[Enrollment date]], "mmm")</f>
        <v>Mar</v>
      </c>
      <c r="H511" t="s">
        <v>360</v>
      </c>
      <c r="I511" t="s">
        <v>660</v>
      </c>
      <c r="J511" t="str">
        <f>_xlfn.XLOOKUP(Table1[[#This Row],[Course ]], CCF!B:B, CCF!A:A)</f>
        <v>DM101</v>
      </c>
      <c r="K511" t="s">
        <v>365</v>
      </c>
      <c r="L511">
        <f>_xlfn.XLOOKUP(K511, CCF!B:B, CCF!C:C)</f>
        <v>85499</v>
      </c>
      <c r="M511" t="s">
        <v>9</v>
      </c>
    </row>
    <row r="512" spans="1:13" x14ac:dyDescent="0.3">
      <c r="A512">
        <v>511</v>
      </c>
      <c r="B512" t="s">
        <v>1177</v>
      </c>
      <c r="C512" s="3">
        <v>56761</v>
      </c>
      <c r="D512" t="s">
        <v>666</v>
      </c>
      <c r="E512">
        <v>25</v>
      </c>
      <c r="F512" s="1">
        <v>45367</v>
      </c>
      <c r="G512" s="1" t="str">
        <f>TEXT(Table1[[#This Row],[Enrollment date]], "mmm")</f>
        <v>Mar</v>
      </c>
      <c r="H512" t="s">
        <v>360</v>
      </c>
      <c r="I512" t="s">
        <v>661</v>
      </c>
      <c r="J512" t="str">
        <f>_xlfn.XLOOKUP(Table1[[#This Row],[Course ]], CCF!B:B, CCF!A:A)</f>
        <v>DM101</v>
      </c>
      <c r="K512" t="s">
        <v>365</v>
      </c>
      <c r="L512">
        <f>_xlfn.XLOOKUP(K512, CCF!B:B, CCF!C:C)</f>
        <v>85499</v>
      </c>
      <c r="M512" t="s">
        <v>124</v>
      </c>
    </row>
    <row r="513" spans="1:13" x14ac:dyDescent="0.3">
      <c r="A513">
        <v>512</v>
      </c>
      <c r="B513" t="s">
        <v>1178</v>
      </c>
      <c r="C513" s="3">
        <v>60612</v>
      </c>
      <c r="D513" t="s">
        <v>667</v>
      </c>
      <c r="E513">
        <v>45</v>
      </c>
      <c r="F513" s="1">
        <v>45367</v>
      </c>
      <c r="G513" s="1" t="str">
        <f>TEXT(Table1[[#This Row],[Enrollment date]], "mmm")</f>
        <v>Mar</v>
      </c>
      <c r="H513" t="s">
        <v>360</v>
      </c>
      <c r="I513" t="s">
        <v>660</v>
      </c>
      <c r="J513" t="str">
        <f>_xlfn.XLOOKUP(Table1[[#This Row],[Course ]], CCF!B:B, CCF!A:A)</f>
        <v>DM101</v>
      </c>
      <c r="K513" t="s">
        <v>365</v>
      </c>
      <c r="L513">
        <f>_xlfn.XLOOKUP(K513, CCF!B:B, CCF!C:C)</f>
        <v>85499</v>
      </c>
      <c r="M513" t="s">
        <v>20</v>
      </c>
    </row>
    <row r="514" spans="1:13" x14ac:dyDescent="0.3">
      <c r="A514">
        <v>513</v>
      </c>
      <c r="B514" t="s">
        <v>1179</v>
      </c>
      <c r="C514" s="3">
        <v>47234</v>
      </c>
      <c r="D514" t="s">
        <v>666</v>
      </c>
      <c r="E514">
        <v>50</v>
      </c>
      <c r="F514" s="1">
        <v>45367</v>
      </c>
      <c r="G514" s="1" t="str">
        <f>TEXT(Table1[[#This Row],[Enrollment date]], "mmm")</f>
        <v>Mar</v>
      </c>
      <c r="H514" t="s">
        <v>360</v>
      </c>
      <c r="I514" t="s">
        <v>659</v>
      </c>
      <c r="J514" t="str">
        <f>_xlfn.XLOOKUP(Table1[[#This Row],[Course ]], CCF!B:B, CCF!A:A)</f>
        <v>BA301</v>
      </c>
      <c r="K514" t="s">
        <v>364</v>
      </c>
      <c r="L514">
        <f>_xlfn.XLOOKUP(K514, CCF!B:B, CCF!C:C)</f>
        <v>59999</v>
      </c>
      <c r="M514" t="s">
        <v>433</v>
      </c>
    </row>
    <row r="515" spans="1:13" x14ac:dyDescent="0.3">
      <c r="A515">
        <v>514</v>
      </c>
      <c r="B515" t="s">
        <v>1180</v>
      </c>
      <c r="C515" s="3">
        <v>68376</v>
      </c>
      <c r="D515" t="s">
        <v>666</v>
      </c>
      <c r="E515">
        <v>28</v>
      </c>
      <c r="F515" s="1">
        <v>45367</v>
      </c>
      <c r="G515" s="1" t="str">
        <f>TEXT(Table1[[#This Row],[Enrollment date]], "mmm")</f>
        <v>Mar</v>
      </c>
      <c r="H515" t="s">
        <v>360</v>
      </c>
      <c r="I515" t="s">
        <v>662</v>
      </c>
      <c r="J515" t="str">
        <f>_xlfn.XLOOKUP(Table1[[#This Row],[Course ]], CCF!B:B, CCF!A:A)</f>
        <v>DM101</v>
      </c>
      <c r="K515" t="s">
        <v>365</v>
      </c>
      <c r="L515">
        <f>_xlfn.XLOOKUP(K515, CCF!B:B, CCF!C:C)</f>
        <v>85499</v>
      </c>
      <c r="M515" t="s">
        <v>18</v>
      </c>
    </row>
    <row r="516" spans="1:13" x14ac:dyDescent="0.3">
      <c r="A516">
        <v>515</v>
      </c>
      <c r="B516" t="s">
        <v>1181</v>
      </c>
      <c r="C516" s="3">
        <v>45065</v>
      </c>
      <c r="D516" t="s">
        <v>666</v>
      </c>
      <c r="E516">
        <v>77</v>
      </c>
      <c r="F516" s="1">
        <v>45367</v>
      </c>
      <c r="G516" s="1" t="str">
        <f>TEXT(Table1[[#This Row],[Enrollment date]], "mmm")</f>
        <v>Mar</v>
      </c>
      <c r="H516" t="s">
        <v>360</v>
      </c>
      <c r="I516" t="s">
        <v>665</v>
      </c>
      <c r="J516" t="str">
        <f>_xlfn.XLOOKUP(Table1[[#This Row],[Course ]], CCF!B:B, CCF!A:A)</f>
        <v>BA301</v>
      </c>
      <c r="K516" t="s">
        <v>364</v>
      </c>
      <c r="L516">
        <f>_xlfn.XLOOKUP(K516, CCF!B:B, CCF!C:C)</f>
        <v>59999</v>
      </c>
      <c r="M516" t="s">
        <v>27</v>
      </c>
    </row>
    <row r="517" spans="1:13" x14ac:dyDescent="0.3">
      <c r="A517">
        <v>516</v>
      </c>
      <c r="B517" t="s">
        <v>1182</v>
      </c>
      <c r="C517" s="3">
        <v>82992</v>
      </c>
      <c r="D517" t="s">
        <v>666</v>
      </c>
      <c r="E517">
        <v>67</v>
      </c>
      <c r="F517" s="1">
        <v>45367</v>
      </c>
      <c r="G517" s="1" t="str">
        <f>TEXT(Table1[[#This Row],[Enrollment date]], "mmm")</f>
        <v>Mar</v>
      </c>
      <c r="H517" t="s">
        <v>360</v>
      </c>
      <c r="I517" t="s">
        <v>665</v>
      </c>
      <c r="J517" t="str">
        <f>_xlfn.XLOOKUP(Table1[[#This Row],[Course ]], CCF!B:B, CCF!A:A)</f>
        <v>DM101</v>
      </c>
      <c r="K517" t="s">
        <v>365</v>
      </c>
      <c r="L517">
        <f>_xlfn.XLOOKUP(K517, CCF!B:B, CCF!C:C)</f>
        <v>85499</v>
      </c>
      <c r="M517" t="s">
        <v>434</v>
      </c>
    </row>
    <row r="518" spans="1:13" x14ac:dyDescent="0.3">
      <c r="A518">
        <v>517</v>
      </c>
      <c r="B518" t="s">
        <v>1183</v>
      </c>
      <c r="C518" s="3">
        <v>46851</v>
      </c>
      <c r="D518" t="s">
        <v>666</v>
      </c>
      <c r="E518">
        <v>47</v>
      </c>
      <c r="F518" s="1">
        <v>45367</v>
      </c>
      <c r="G518" s="1" t="str">
        <f>TEXT(Table1[[#This Row],[Enrollment date]], "mmm")</f>
        <v>Mar</v>
      </c>
      <c r="H518" t="s">
        <v>360</v>
      </c>
      <c r="I518" t="s">
        <v>660</v>
      </c>
      <c r="J518" t="str">
        <f>_xlfn.XLOOKUP(Table1[[#This Row],[Course ]], CCF!B:B, CCF!A:A)</f>
        <v>DM101</v>
      </c>
      <c r="K518" t="s">
        <v>365</v>
      </c>
      <c r="L518">
        <f>_xlfn.XLOOKUP(K518, CCF!B:B, CCF!C:C)</f>
        <v>85499</v>
      </c>
      <c r="M518" t="s">
        <v>160</v>
      </c>
    </row>
    <row r="519" spans="1:13" x14ac:dyDescent="0.3">
      <c r="A519">
        <v>518</v>
      </c>
      <c r="B519" t="s">
        <v>1184</v>
      </c>
      <c r="C519" s="3">
        <v>39998</v>
      </c>
      <c r="D519" t="s">
        <v>667</v>
      </c>
      <c r="E519">
        <v>46</v>
      </c>
      <c r="F519" s="1">
        <v>45367</v>
      </c>
      <c r="G519" s="1" t="str">
        <f>TEXT(Table1[[#This Row],[Enrollment date]], "mmm")</f>
        <v>Mar</v>
      </c>
      <c r="H519" t="s">
        <v>360</v>
      </c>
      <c r="I519" t="s">
        <v>660</v>
      </c>
      <c r="J519" t="str">
        <f>_xlfn.XLOOKUP(Table1[[#This Row],[Course ]], CCF!B:B, CCF!A:A)</f>
        <v>DM101</v>
      </c>
      <c r="K519" t="s">
        <v>365</v>
      </c>
      <c r="L519">
        <f>_xlfn.XLOOKUP(K519, CCF!B:B, CCF!C:C)</f>
        <v>85499</v>
      </c>
      <c r="M519" t="s">
        <v>16</v>
      </c>
    </row>
    <row r="520" spans="1:13" x14ac:dyDescent="0.3">
      <c r="A520">
        <v>519</v>
      </c>
      <c r="B520" t="s">
        <v>1185</v>
      </c>
      <c r="C520" s="3">
        <v>35018</v>
      </c>
      <c r="D520" t="s">
        <v>666</v>
      </c>
      <c r="E520">
        <v>47</v>
      </c>
      <c r="F520" s="1">
        <v>45368</v>
      </c>
      <c r="G520" s="1" t="str">
        <f>TEXT(Table1[[#This Row],[Enrollment date]], "mmm")</f>
        <v>Mar</v>
      </c>
      <c r="H520" t="s">
        <v>360</v>
      </c>
      <c r="I520" t="s">
        <v>661</v>
      </c>
      <c r="J520" t="str">
        <f>_xlfn.XLOOKUP(Table1[[#This Row],[Course ]], CCF!B:B, CCF!A:A)</f>
        <v>DM101</v>
      </c>
      <c r="K520" t="s">
        <v>365</v>
      </c>
      <c r="L520">
        <f>_xlfn.XLOOKUP(K520, CCF!B:B, CCF!C:C)</f>
        <v>85499</v>
      </c>
      <c r="M520" t="s">
        <v>65</v>
      </c>
    </row>
    <row r="521" spans="1:13" x14ac:dyDescent="0.3">
      <c r="A521">
        <v>520</v>
      </c>
      <c r="B521" t="s">
        <v>1186</v>
      </c>
      <c r="C521" s="3">
        <v>58262</v>
      </c>
      <c r="D521" t="s">
        <v>666</v>
      </c>
      <c r="E521">
        <v>36</v>
      </c>
      <c r="F521" s="1">
        <v>45368</v>
      </c>
      <c r="G521" s="1" t="str">
        <f>TEXT(Table1[[#This Row],[Enrollment date]], "mmm")</f>
        <v>Mar</v>
      </c>
      <c r="H521" t="s">
        <v>360</v>
      </c>
      <c r="I521" t="s">
        <v>663</v>
      </c>
      <c r="J521" t="str">
        <f>_xlfn.XLOOKUP(Table1[[#This Row],[Course ]], CCF!B:B, CCF!A:A)</f>
        <v>DA202</v>
      </c>
      <c r="K521" t="s">
        <v>363</v>
      </c>
      <c r="L521">
        <f>_xlfn.XLOOKUP(K521, CCF!B:B, CCF!C:C)</f>
        <v>79999</v>
      </c>
      <c r="M521" t="s">
        <v>25</v>
      </c>
    </row>
    <row r="522" spans="1:13" x14ac:dyDescent="0.3">
      <c r="A522">
        <v>521</v>
      </c>
      <c r="B522" t="s">
        <v>1187</v>
      </c>
      <c r="C522" s="3">
        <v>29003</v>
      </c>
      <c r="D522" t="s">
        <v>667</v>
      </c>
      <c r="E522">
        <v>69</v>
      </c>
      <c r="F522" s="1">
        <v>45368</v>
      </c>
      <c r="G522" s="1" t="str">
        <f>TEXT(Table1[[#This Row],[Enrollment date]], "mmm")</f>
        <v>Mar</v>
      </c>
      <c r="H522" t="s">
        <v>360</v>
      </c>
      <c r="I522" t="s">
        <v>660</v>
      </c>
      <c r="J522" t="str">
        <f>_xlfn.XLOOKUP(Table1[[#This Row],[Course ]], CCF!B:B, CCF!A:A)</f>
        <v>FSD103</v>
      </c>
      <c r="K522" t="s">
        <v>366</v>
      </c>
      <c r="L522">
        <f>_xlfn.XLOOKUP(K522, CCF!B:B, CCF!C:C)</f>
        <v>109990</v>
      </c>
      <c r="M522" t="s">
        <v>61</v>
      </c>
    </row>
    <row r="523" spans="1:13" x14ac:dyDescent="0.3">
      <c r="A523">
        <v>522</v>
      </c>
      <c r="B523" t="s">
        <v>1188</v>
      </c>
      <c r="C523" s="3">
        <v>79622</v>
      </c>
      <c r="D523" t="s">
        <v>666</v>
      </c>
      <c r="E523">
        <v>21</v>
      </c>
      <c r="F523" s="1">
        <v>45368</v>
      </c>
      <c r="G523" s="1" t="str">
        <f>TEXT(Table1[[#This Row],[Enrollment date]], "mmm")</f>
        <v>Mar</v>
      </c>
      <c r="H523" t="s">
        <v>360</v>
      </c>
      <c r="I523" t="s">
        <v>660</v>
      </c>
      <c r="J523" t="str">
        <f>_xlfn.XLOOKUP(Table1[[#This Row],[Course ]], CCF!B:B, CCF!A:A)</f>
        <v>DM101</v>
      </c>
      <c r="K523" t="s">
        <v>365</v>
      </c>
      <c r="L523">
        <f>_xlfn.XLOOKUP(K523, CCF!B:B, CCF!C:C)</f>
        <v>85499</v>
      </c>
      <c r="M523" t="s">
        <v>30</v>
      </c>
    </row>
    <row r="524" spans="1:13" x14ac:dyDescent="0.3">
      <c r="A524">
        <v>523</v>
      </c>
      <c r="B524" t="s">
        <v>1189</v>
      </c>
      <c r="C524" s="3">
        <v>97212</v>
      </c>
      <c r="D524" t="s">
        <v>666</v>
      </c>
      <c r="E524">
        <v>34</v>
      </c>
      <c r="F524" s="1">
        <v>45368</v>
      </c>
      <c r="G524" s="1" t="str">
        <f>TEXT(Table1[[#This Row],[Enrollment date]], "mmm")</f>
        <v>Mar</v>
      </c>
      <c r="H524" t="s">
        <v>360</v>
      </c>
      <c r="I524" t="s">
        <v>661</v>
      </c>
      <c r="J524" t="str">
        <f>_xlfn.XLOOKUP(Table1[[#This Row],[Course ]], CCF!B:B, CCF!A:A)</f>
        <v>DM101</v>
      </c>
      <c r="K524" t="s">
        <v>365</v>
      </c>
      <c r="L524">
        <f>_xlfn.XLOOKUP(K524, CCF!B:B, CCF!C:C)</f>
        <v>85499</v>
      </c>
      <c r="M524" t="s">
        <v>160</v>
      </c>
    </row>
    <row r="525" spans="1:13" x14ac:dyDescent="0.3">
      <c r="A525">
        <v>524</v>
      </c>
      <c r="B525" t="s">
        <v>1190</v>
      </c>
      <c r="C525" s="3">
        <v>81004</v>
      </c>
      <c r="D525" t="s">
        <v>666</v>
      </c>
      <c r="E525">
        <v>38</v>
      </c>
      <c r="F525" s="1">
        <v>45368</v>
      </c>
      <c r="G525" s="1" t="str">
        <f>TEXT(Table1[[#This Row],[Enrollment date]], "mmm")</f>
        <v>Mar</v>
      </c>
      <c r="H525" t="s">
        <v>360</v>
      </c>
      <c r="I525" t="s">
        <v>659</v>
      </c>
      <c r="J525" t="str">
        <f>_xlfn.XLOOKUP(Table1[[#This Row],[Course ]], CCF!B:B, CCF!A:A)</f>
        <v>DM101</v>
      </c>
      <c r="K525" t="s">
        <v>365</v>
      </c>
      <c r="L525">
        <f>_xlfn.XLOOKUP(K525, CCF!B:B, CCF!C:C)</f>
        <v>85499</v>
      </c>
      <c r="M525" t="s">
        <v>194</v>
      </c>
    </row>
    <row r="526" spans="1:13" x14ac:dyDescent="0.3">
      <c r="A526">
        <v>525</v>
      </c>
      <c r="B526" t="s">
        <v>1191</v>
      </c>
      <c r="C526" s="3">
        <v>98192</v>
      </c>
      <c r="D526" t="s">
        <v>666</v>
      </c>
      <c r="E526">
        <v>28</v>
      </c>
      <c r="F526" s="1">
        <v>45368</v>
      </c>
      <c r="G526" s="1" t="str">
        <f>TEXT(Table1[[#This Row],[Enrollment date]], "mmm")</f>
        <v>Mar</v>
      </c>
      <c r="H526" t="s">
        <v>360</v>
      </c>
      <c r="I526" t="s">
        <v>660</v>
      </c>
      <c r="J526" t="str">
        <f>_xlfn.XLOOKUP(Table1[[#This Row],[Course ]], CCF!B:B, CCF!A:A)</f>
        <v>DA202</v>
      </c>
      <c r="K526" t="s">
        <v>363</v>
      </c>
      <c r="L526">
        <f>_xlfn.XLOOKUP(K526, CCF!B:B, CCF!C:C)</f>
        <v>79999</v>
      </c>
      <c r="M526" t="s">
        <v>435</v>
      </c>
    </row>
    <row r="527" spans="1:13" x14ac:dyDescent="0.3">
      <c r="A527">
        <v>526</v>
      </c>
      <c r="B527" t="s">
        <v>1192</v>
      </c>
      <c r="C527" s="3">
        <v>87010</v>
      </c>
      <c r="D527" t="s">
        <v>666</v>
      </c>
      <c r="E527">
        <v>27</v>
      </c>
      <c r="F527" s="1">
        <v>45369</v>
      </c>
      <c r="G527" s="1" t="str">
        <f>TEXT(Table1[[#This Row],[Enrollment date]], "mmm")</f>
        <v>Mar</v>
      </c>
      <c r="H527" t="s">
        <v>360</v>
      </c>
      <c r="I527" t="s">
        <v>661</v>
      </c>
      <c r="J527" t="str">
        <f>_xlfn.XLOOKUP(Table1[[#This Row],[Course ]], CCF!B:B, CCF!A:A)</f>
        <v>UX401</v>
      </c>
      <c r="K527" t="s">
        <v>367</v>
      </c>
      <c r="L527">
        <f>_xlfn.XLOOKUP(K527, CCF!B:B, CCF!C:C)</f>
        <v>67990</v>
      </c>
      <c r="M527" t="s">
        <v>436</v>
      </c>
    </row>
    <row r="528" spans="1:13" x14ac:dyDescent="0.3">
      <c r="A528">
        <v>527</v>
      </c>
      <c r="B528" t="s">
        <v>1193</v>
      </c>
      <c r="C528" s="3">
        <v>48303</v>
      </c>
      <c r="D528" t="s">
        <v>666</v>
      </c>
      <c r="E528">
        <v>76</v>
      </c>
      <c r="F528" s="1">
        <v>45369</v>
      </c>
      <c r="G528" s="1" t="str">
        <f>TEXT(Table1[[#This Row],[Enrollment date]], "mmm")</f>
        <v>Mar</v>
      </c>
      <c r="H528" t="s">
        <v>360</v>
      </c>
      <c r="I528" t="s">
        <v>661</v>
      </c>
      <c r="J528" t="str">
        <f>_xlfn.XLOOKUP(Table1[[#This Row],[Course ]], CCF!B:B, CCF!A:A)</f>
        <v>BA301</v>
      </c>
      <c r="K528" t="s">
        <v>364</v>
      </c>
      <c r="L528">
        <f>_xlfn.XLOOKUP(K528, CCF!B:B, CCF!C:C)</f>
        <v>59999</v>
      </c>
      <c r="M528" t="s">
        <v>342</v>
      </c>
    </row>
    <row r="529" spans="1:13" x14ac:dyDescent="0.3">
      <c r="A529">
        <v>528</v>
      </c>
      <c r="B529" t="s">
        <v>1194</v>
      </c>
      <c r="C529" s="3">
        <v>62476</v>
      </c>
      <c r="D529" t="s">
        <v>666</v>
      </c>
      <c r="E529">
        <v>69</v>
      </c>
      <c r="F529" s="1">
        <v>45369</v>
      </c>
      <c r="G529" s="1" t="str">
        <f>TEXT(Table1[[#This Row],[Enrollment date]], "mmm")</f>
        <v>Mar</v>
      </c>
      <c r="H529" t="s">
        <v>360</v>
      </c>
      <c r="I529" t="s">
        <v>660</v>
      </c>
      <c r="J529" t="str">
        <f>_xlfn.XLOOKUP(Table1[[#This Row],[Course ]], CCF!B:B, CCF!A:A)</f>
        <v>UX401</v>
      </c>
      <c r="K529" t="s">
        <v>367</v>
      </c>
      <c r="L529">
        <f>_xlfn.XLOOKUP(K529, CCF!B:B, CCF!C:C)</f>
        <v>67990</v>
      </c>
      <c r="M529" t="s">
        <v>80</v>
      </c>
    </row>
    <row r="530" spans="1:13" x14ac:dyDescent="0.3">
      <c r="A530">
        <v>529</v>
      </c>
      <c r="B530" t="s">
        <v>1195</v>
      </c>
      <c r="C530" s="3">
        <v>44472</v>
      </c>
      <c r="D530" t="s">
        <v>666</v>
      </c>
      <c r="E530">
        <v>43</v>
      </c>
      <c r="F530" s="1">
        <v>45369</v>
      </c>
      <c r="G530" s="1" t="str">
        <f>TEXT(Table1[[#This Row],[Enrollment date]], "mmm")</f>
        <v>Mar</v>
      </c>
      <c r="H530" t="s">
        <v>360</v>
      </c>
      <c r="I530" t="s">
        <v>660</v>
      </c>
      <c r="J530" t="str">
        <f>_xlfn.XLOOKUP(Table1[[#This Row],[Course ]], CCF!B:B, CCF!A:A)</f>
        <v>DA202</v>
      </c>
      <c r="K530" t="s">
        <v>363</v>
      </c>
      <c r="L530">
        <f>_xlfn.XLOOKUP(K530, CCF!B:B, CCF!C:C)</f>
        <v>79999</v>
      </c>
      <c r="M530" t="s">
        <v>27</v>
      </c>
    </row>
    <row r="531" spans="1:13" x14ac:dyDescent="0.3">
      <c r="A531">
        <v>530</v>
      </c>
      <c r="B531" t="s">
        <v>1196</v>
      </c>
      <c r="C531" s="3">
        <v>66586</v>
      </c>
      <c r="D531" t="s">
        <v>667</v>
      </c>
      <c r="E531">
        <v>35</v>
      </c>
      <c r="F531" s="1">
        <v>45369</v>
      </c>
      <c r="G531" s="1" t="str">
        <f>TEXT(Table1[[#This Row],[Enrollment date]], "mmm")</f>
        <v>Mar</v>
      </c>
      <c r="H531" t="s">
        <v>360</v>
      </c>
      <c r="I531" t="s">
        <v>660</v>
      </c>
      <c r="J531" t="str">
        <f>_xlfn.XLOOKUP(Table1[[#This Row],[Course ]], CCF!B:B, CCF!A:A)</f>
        <v>DA202</v>
      </c>
      <c r="K531" t="s">
        <v>363</v>
      </c>
      <c r="L531">
        <f>_xlfn.XLOOKUP(K531, CCF!B:B, CCF!C:C)</f>
        <v>79999</v>
      </c>
      <c r="M531" t="s">
        <v>16</v>
      </c>
    </row>
    <row r="532" spans="1:13" x14ac:dyDescent="0.3">
      <c r="A532">
        <v>531</v>
      </c>
      <c r="B532" t="s">
        <v>1197</v>
      </c>
      <c r="C532" s="3">
        <v>69085</v>
      </c>
      <c r="D532" t="s">
        <v>666</v>
      </c>
      <c r="E532">
        <v>28</v>
      </c>
      <c r="F532" s="1">
        <v>45369</v>
      </c>
      <c r="G532" s="1" t="str">
        <f>TEXT(Table1[[#This Row],[Enrollment date]], "mmm")</f>
        <v>Mar</v>
      </c>
      <c r="H532" t="s">
        <v>360</v>
      </c>
      <c r="I532" t="s">
        <v>659</v>
      </c>
      <c r="J532" t="str">
        <f>_xlfn.XLOOKUP(Table1[[#This Row],[Course ]], CCF!B:B, CCF!A:A)</f>
        <v>DA202</v>
      </c>
      <c r="K532" t="s">
        <v>363</v>
      </c>
      <c r="L532">
        <f>_xlfn.XLOOKUP(K532, CCF!B:B, CCF!C:C)</f>
        <v>79999</v>
      </c>
      <c r="M532" t="s">
        <v>48</v>
      </c>
    </row>
    <row r="533" spans="1:13" x14ac:dyDescent="0.3">
      <c r="A533">
        <v>532</v>
      </c>
      <c r="B533" t="s">
        <v>1198</v>
      </c>
      <c r="C533" s="3">
        <v>10232</v>
      </c>
      <c r="D533" t="s">
        <v>666</v>
      </c>
      <c r="E533">
        <v>34</v>
      </c>
      <c r="F533" s="1">
        <v>45370</v>
      </c>
      <c r="G533" s="1" t="str">
        <f>TEXT(Table1[[#This Row],[Enrollment date]], "mmm")</f>
        <v>Mar</v>
      </c>
      <c r="H533" t="s">
        <v>360</v>
      </c>
      <c r="I533" t="s">
        <v>662</v>
      </c>
      <c r="J533" t="str">
        <f>_xlfn.XLOOKUP(Table1[[#This Row],[Course ]], CCF!B:B, CCF!A:A)</f>
        <v>DA202</v>
      </c>
      <c r="K533" t="s">
        <v>363</v>
      </c>
      <c r="L533">
        <f>_xlfn.XLOOKUP(K533, CCF!B:B, CCF!C:C)</f>
        <v>79999</v>
      </c>
      <c r="M533" t="s">
        <v>176</v>
      </c>
    </row>
    <row r="534" spans="1:13" x14ac:dyDescent="0.3">
      <c r="A534">
        <v>533</v>
      </c>
      <c r="B534" t="s">
        <v>1199</v>
      </c>
      <c r="C534" s="3">
        <v>52368</v>
      </c>
      <c r="D534" t="s">
        <v>666</v>
      </c>
      <c r="E534">
        <v>49</v>
      </c>
      <c r="F534" s="1">
        <v>45370</v>
      </c>
      <c r="G534" s="1" t="str">
        <f>TEXT(Table1[[#This Row],[Enrollment date]], "mmm")</f>
        <v>Mar</v>
      </c>
      <c r="H534" t="s">
        <v>360</v>
      </c>
      <c r="I534" t="s">
        <v>659</v>
      </c>
      <c r="J534" t="str">
        <f>_xlfn.XLOOKUP(Table1[[#This Row],[Course ]], CCF!B:B, CCF!A:A)</f>
        <v>DA202</v>
      </c>
      <c r="K534" t="s">
        <v>363</v>
      </c>
      <c r="L534">
        <f>_xlfn.XLOOKUP(K534, CCF!B:B, CCF!C:C)</f>
        <v>79999</v>
      </c>
      <c r="M534" t="s">
        <v>9</v>
      </c>
    </row>
    <row r="535" spans="1:13" x14ac:dyDescent="0.3">
      <c r="A535">
        <v>534</v>
      </c>
      <c r="B535" t="s">
        <v>1200</v>
      </c>
      <c r="C535" s="3">
        <v>51750</v>
      </c>
      <c r="D535" t="s">
        <v>667</v>
      </c>
      <c r="E535">
        <v>46</v>
      </c>
      <c r="F535" s="1">
        <v>45370</v>
      </c>
      <c r="G535" s="1" t="str">
        <f>TEXT(Table1[[#This Row],[Enrollment date]], "mmm")</f>
        <v>Mar</v>
      </c>
      <c r="H535" t="s">
        <v>360</v>
      </c>
      <c r="I535" t="s">
        <v>663</v>
      </c>
      <c r="J535" t="str">
        <f>_xlfn.XLOOKUP(Table1[[#This Row],[Course ]], CCF!B:B, CCF!A:A)</f>
        <v>BA301</v>
      </c>
      <c r="K535" t="s">
        <v>364</v>
      </c>
      <c r="L535">
        <f>_xlfn.XLOOKUP(K535, CCF!B:B, CCF!C:C)</f>
        <v>59999</v>
      </c>
      <c r="M535" t="s">
        <v>133</v>
      </c>
    </row>
    <row r="536" spans="1:13" x14ac:dyDescent="0.3">
      <c r="A536">
        <v>535</v>
      </c>
      <c r="B536" t="s">
        <v>1201</v>
      </c>
      <c r="C536" s="3">
        <v>38850</v>
      </c>
      <c r="D536" t="s">
        <v>666</v>
      </c>
      <c r="E536">
        <v>49</v>
      </c>
      <c r="F536" s="1">
        <v>45370</v>
      </c>
      <c r="G536" s="1" t="str">
        <f>TEXT(Table1[[#This Row],[Enrollment date]], "mmm")</f>
        <v>Mar</v>
      </c>
      <c r="H536" t="s">
        <v>360</v>
      </c>
      <c r="I536" t="s">
        <v>659</v>
      </c>
      <c r="J536" t="str">
        <f>_xlfn.XLOOKUP(Table1[[#This Row],[Course ]], CCF!B:B, CCF!A:A)</f>
        <v>DM101</v>
      </c>
      <c r="K536" t="s">
        <v>365</v>
      </c>
      <c r="L536">
        <f>_xlfn.XLOOKUP(K536, CCF!B:B, CCF!C:C)</f>
        <v>85499</v>
      </c>
      <c r="M536" t="s">
        <v>6</v>
      </c>
    </row>
    <row r="537" spans="1:13" x14ac:dyDescent="0.3">
      <c r="A537">
        <v>536</v>
      </c>
      <c r="B537" t="s">
        <v>1202</v>
      </c>
      <c r="C537" s="3">
        <v>63523</v>
      </c>
      <c r="D537" t="s">
        <v>667</v>
      </c>
      <c r="E537">
        <v>61</v>
      </c>
      <c r="F537" s="1">
        <v>45370</v>
      </c>
      <c r="G537" s="1" t="str">
        <f>TEXT(Table1[[#This Row],[Enrollment date]], "mmm")</f>
        <v>Mar</v>
      </c>
      <c r="H537" t="s">
        <v>360</v>
      </c>
      <c r="I537" t="s">
        <v>660</v>
      </c>
      <c r="J537" t="str">
        <f>_xlfn.XLOOKUP(Table1[[#This Row],[Course ]], CCF!B:B, CCF!A:A)</f>
        <v>DA202</v>
      </c>
      <c r="K537" t="s">
        <v>363</v>
      </c>
      <c r="L537">
        <f>_xlfn.XLOOKUP(K537, CCF!B:B, CCF!C:C)</f>
        <v>79999</v>
      </c>
      <c r="M537" t="s">
        <v>9</v>
      </c>
    </row>
    <row r="538" spans="1:13" x14ac:dyDescent="0.3">
      <c r="A538">
        <v>537</v>
      </c>
      <c r="B538" t="s">
        <v>1203</v>
      </c>
      <c r="C538" s="3">
        <v>24221</v>
      </c>
      <c r="D538" t="s">
        <v>666</v>
      </c>
      <c r="E538">
        <v>46</v>
      </c>
      <c r="F538" s="1">
        <v>45370</v>
      </c>
      <c r="G538" s="1" t="str">
        <f>TEXT(Table1[[#This Row],[Enrollment date]], "mmm")</f>
        <v>Mar</v>
      </c>
      <c r="H538" t="s">
        <v>360</v>
      </c>
      <c r="I538" t="s">
        <v>660</v>
      </c>
      <c r="J538" t="str">
        <f>_xlfn.XLOOKUP(Table1[[#This Row],[Course ]], CCF!B:B, CCF!A:A)</f>
        <v>FSD103</v>
      </c>
      <c r="K538" t="s">
        <v>366</v>
      </c>
      <c r="L538">
        <f>_xlfn.XLOOKUP(K538, CCF!B:B, CCF!C:C)</f>
        <v>109990</v>
      </c>
      <c r="M538" t="s">
        <v>48</v>
      </c>
    </row>
    <row r="539" spans="1:13" x14ac:dyDescent="0.3">
      <c r="A539">
        <v>538</v>
      </c>
      <c r="B539" t="s">
        <v>1204</v>
      </c>
      <c r="C539" s="3">
        <v>22803</v>
      </c>
      <c r="D539" t="s">
        <v>666</v>
      </c>
      <c r="E539">
        <v>66</v>
      </c>
      <c r="F539" s="1">
        <v>45370</v>
      </c>
      <c r="G539" s="1" t="str">
        <f>TEXT(Table1[[#This Row],[Enrollment date]], "mmm")</f>
        <v>Mar</v>
      </c>
      <c r="H539" t="s">
        <v>360</v>
      </c>
      <c r="I539" t="s">
        <v>659</v>
      </c>
      <c r="J539" t="str">
        <f>_xlfn.XLOOKUP(Table1[[#This Row],[Course ]], CCF!B:B, CCF!A:A)</f>
        <v>DM101</v>
      </c>
      <c r="K539" t="s">
        <v>365</v>
      </c>
      <c r="L539">
        <f>_xlfn.XLOOKUP(K539, CCF!B:B, CCF!C:C)</f>
        <v>85499</v>
      </c>
      <c r="M539" t="s">
        <v>18</v>
      </c>
    </row>
    <row r="540" spans="1:13" x14ac:dyDescent="0.3">
      <c r="A540">
        <v>539</v>
      </c>
      <c r="B540" t="s">
        <v>1205</v>
      </c>
      <c r="C540" s="3">
        <v>25961</v>
      </c>
      <c r="D540" t="s">
        <v>666</v>
      </c>
      <c r="E540">
        <v>51</v>
      </c>
      <c r="F540" s="1">
        <v>45371</v>
      </c>
      <c r="G540" s="1" t="str">
        <f>TEXT(Table1[[#This Row],[Enrollment date]], "mmm")</f>
        <v>Mar</v>
      </c>
      <c r="H540" t="s">
        <v>360</v>
      </c>
      <c r="I540" t="s">
        <v>660</v>
      </c>
      <c r="J540" t="str">
        <f>_xlfn.XLOOKUP(Table1[[#This Row],[Course ]], CCF!B:B, CCF!A:A)</f>
        <v>DM101</v>
      </c>
      <c r="K540" t="s">
        <v>365</v>
      </c>
      <c r="L540">
        <f>_xlfn.XLOOKUP(K540, CCF!B:B, CCF!C:C)</f>
        <v>85499</v>
      </c>
      <c r="M540" t="s">
        <v>12</v>
      </c>
    </row>
    <row r="541" spans="1:13" x14ac:dyDescent="0.3">
      <c r="A541">
        <v>540</v>
      </c>
      <c r="B541" t="s">
        <v>1206</v>
      </c>
      <c r="C541" s="3">
        <v>78160</v>
      </c>
      <c r="D541" t="s">
        <v>666</v>
      </c>
      <c r="E541">
        <v>40</v>
      </c>
      <c r="F541" s="1">
        <v>45371</v>
      </c>
      <c r="G541" s="1" t="str">
        <f>TEXT(Table1[[#This Row],[Enrollment date]], "mmm")</f>
        <v>Mar</v>
      </c>
      <c r="H541" t="s">
        <v>360</v>
      </c>
      <c r="I541" t="s">
        <v>661</v>
      </c>
      <c r="J541" t="str">
        <f>_xlfn.XLOOKUP(Table1[[#This Row],[Course ]], CCF!B:B, CCF!A:A)</f>
        <v>DA202</v>
      </c>
      <c r="K541" t="s">
        <v>363</v>
      </c>
      <c r="L541">
        <f>_xlfn.XLOOKUP(K541, CCF!B:B, CCF!C:C)</f>
        <v>79999</v>
      </c>
      <c r="M541" t="s">
        <v>16</v>
      </c>
    </row>
    <row r="542" spans="1:13" x14ac:dyDescent="0.3">
      <c r="A542">
        <v>541</v>
      </c>
      <c r="B542" t="s">
        <v>1207</v>
      </c>
      <c r="C542" s="3">
        <v>42135</v>
      </c>
      <c r="D542" t="s">
        <v>667</v>
      </c>
      <c r="E542">
        <v>20</v>
      </c>
      <c r="F542" s="1">
        <v>45371</v>
      </c>
      <c r="G542" s="1" t="str">
        <f>TEXT(Table1[[#This Row],[Enrollment date]], "mmm")</f>
        <v>Mar</v>
      </c>
      <c r="H542" t="s">
        <v>360</v>
      </c>
      <c r="I542" t="s">
        <v>660</v>
      </c>
      <c r="J542" t="str">
        <f>_xlfn.XLOOKUP(Table1[[#This Row],[Course ]], CCF!B:B, CCF!A:A)</f>
        <v>DM101</v>
      </c>
      <c r="K542" t="s">
        <v>365</v>
      </c>
      <c r="L542">
        <f>_xlfn.XLOOKUP(K542, CCF!B:B, CCF!C:C)</f>
        <v>85499</v>
      </c>
      <c r="M542" t="s">
        <v>437</v>
      </c>
    </row>
    <row r="543" spans="1:13" x14ac:dyDescent="0.3">
      <c r="A543">
        <v>542</v>
      </c>
      <c r="B543" t="s">
        <v>1208</v>
      </c>
      <c r="C543" s="3">
        <v>20083</v>
      </c>
      <c r="D543" t="s">
        <v>666</v>
      </c>
      <c r="E543">
        <v>41</v>
      </c>
      <c r="F543" s="1">
        <v>45371</v>
      </c>
      <c r="G543" s="1" t="str">
        <f>TEXT(Table1[[#This Row],[Enrollment date]], "mmm")</f>
        <v>Mar</v>
      </c>
      <c r="H543" t="s">
        <v>360</v>
      </c>
      <c r="I543" t="s">
        <v>660</v>
      </c>
      <c r="J543" t="str">
        <f>_xlfn.XLOOKUP(Table1[[#This Row],[Course ]], CCF!B:B, CCF!A:A)</f>
        <v>DA202</v>
      </c>
      <c r="K543" t="s">
        <v>363</v>
      </c>
      <c r="L543">
        <f>_xlfn.XLOOKUP(K543, CCF!B:B, CCF!C:C)</f>
        <v>79999</v>
      </c>
      <c r="M543" t="s">
        <v>9</v>
      </c>
    </row>
    <row r="544" spans="1:13" x14ac:dyDescent="0.3">
      <c r="A544">
        <v>543</v>
      </c>
      <c r="B544" t="s">
        <v>1209</v>
      </c>
      <c r="C544" s="3">
        <v>41799</v>
      </c>
      <c r="D544" t="s">
        <v>666</v>
      </c>
      <c r="E544">
        <v>26</v>
      </c>
      <c r="F544" s="1">
        <v>45371</v>
      </c>
      <c r="G544" s="1" t="str">
        <f>TEXT(Table1[[#This Row],[Enrollment date]], "mmm")</f>
        <v>Mar</v>
      </c>
      <c r="H544" t="s">
        <v>361</v>
      </c>
      <c r="I544" t="s">
        <v>659</v>
      </c>
      <c r="J544" t="str">
        <f>_xlfn.XLOOKUP(Table1[[#This Row],[Course ]], CCF!B:B, CCF!A:A)</f>
        <v>DM101</v>
      </c>
      <c r="K544" t="s">
        <v>365</v>
      </c>
      <c r="L544">
        <f>_xlfn.XLOOKUP(K544, CCF!B:B, CCF!C:C)</f>
        <v>85499</v>
      </c>
      <c r="M544" t="s">
        <v>84</v>
      </c>
    </row>
    <row r="545" spans="1:13" x14ac:dyDescent="0.3">
      <c r="A545">
        <v>544</v>
      </c>
      <c r="B545" t="s">
        <v>1210</v>
      </c>
      <c r="C545" s="3">
        <v>43524</v>
      </c>
      <c r="D545" t="s">
        <v>667</v>
      </c>
      <c r="E545">
        <v>71</v>
      </c>
      <c r="F545" s="1">
        <v>45371</v>
      </c>
      <c r="G545" s="1" t="str">
        <f>TEXT(Table1[[#This Row],[Enrollment date]], "mmm")</f>
        <v>Mar</v>
      </c>
      <c r="H545" t="s">
        <v>360</v>
      </c>
      <c r="I545" t="s">
        <v>662</v>
      </c>
      <c r="J545" t="str">
        <f>_xlfn.XLOOKUP(Table1[[#This Row],[Course ]], CCF!B:B, CCF!A:A)</f>
        <v>BA301</v>
      </c>
      <c r="K545" t="s">
        <v>364</v>
      </c>
      <c r="L545">
        <f>_xlfn.XLOOKUP(K545, CCF!B:B, CCF!C:C)</f>
        <v>59999</v>
      </c>
      <c r="M545" t="s">
        <v>133</v>
      </c>
    </row>
    <row r="546" spans="1:13" x14ac:dyDescent="0.3">
      <c r="A546">
        <v>545</v>
      </c>
      <c r="B546" t="s">
        <v>1211</v>
      </c>
      <c r="C546" s="3">
        <v>81507</v>
      </c>
      <c r="D546" t="s">
        <v>666</v>
      </c>
      <c r="E546">
        <v>42</v>
      </c>
      <c r="F546" s="1">
        <v>45371</v>
      </c>
      <c r="G546" s="1" t="str">
        <f>TEXT(Table1[[#This Row],[Enrollment date]], "mmm")</f>
        <v>Mar</v>
      </c>
      <c r="H546" t="s">
        <v>360</v>
      </c>
      <c r="I546" t="s">
        <v>659</v>
      </c>
      <c r="J546" t="str">
        <f>_xlfn.XLOOKUP(Table1[[#This Row],[Course ]], CCF!B:B, CCF!A:A)</f>
        <v>DA202</v>
      </c>
      <c r="K546" t="s">
        <v>363</v>
      </c>
      <c r="L546">
        <f>_xlfn.XLOOKUP(K546, CCF!B:B, CCF!C:C)</f>
        <v>79999</v>
      </c>
      <c r="M546" t="s">
        <v>20</v>
      </c>
    </row>
    <row r="547" spans="1:13" x14ac:dyDescent="0.3">
      <c r="A547">
        <v>546</v>
      </c>
      <c r="B547" t="s">
        <v>1212</v>
      </c>
      <c r="C547" s="3">
        <v>12715</v>
      </c>
      <c r="D547" t="s">
        <v>666</v>
      </c>
      <c r="E547">
        <v>29</v>
      </c>
      <c r="F547" s="1">
        <v>45372</v>
      </c>
      <c r="G547" s="1" t="str">
        <f>TEXT(Table1[[#This Row],[Enrollment date]], "mmm")</f>
        <v>Mar</v>
      </c>
      <c r="H547" t="s">
        <v>360</v>
      </c>
      <c r="I547" t="s">
        <v>660</v>
      </c>
      <c r="J547" t="str">
        <f>_xlfn.XLOOKUP(Table1[[#This Row],[Course ]], CCF!B:B, CCF!A:A)</f>
        <v>UX401</v>
      </c>
      <c r="K547" t="s">
        <v>367</v>
      </c>
      <c r="L547">
        <f>_xlfn.XLOOKUP(K547, CCF!B:B, CCF!C:C)</f>
        <v>67990</v>
      </c>
      <c r="M547" t="s">
        <v>438</v>
      </c>
    </row>
    <row r="548" spans="1:13" x14ac:dyDescent="0.3">
      <c r="A548">
        <v>547</v>
      </c>
      <c r="B548" t="s">
        <v>1213</v>
      </c>
      <c r="C548" s="3">
        <v>15548</v>
      </c>
      <c r="D548" t="s">
        <v>667</v>
      </c>
      <c r="E548">
        <v>48</v>
      </c>
      <c r="F548" s="1">
        <v>45372</v>
      </c>
      <c r="G548" s="1" t="str">
        <f>TEXT(Table1[[#This Row],[Enrollment date]], "mmm")</f>
        <v>Mar</v>
      </c>
      <c r="H548" t="s">
        <v>360</v>
      </c>
      <c r="I548" t="s">
        <v>662</v>
      </c>
      <c r="J548" t="str">
        <f>_xlfn.XLOOKUP(Table1[[#This Row],[Course ]], CCF!B:B, CCF!A:A)</f>
        <v>DA202</v>
      </c>
      <c r="K548" t="s">
        <v>363</v>
      </c>
      <c r="L548">
        <f>_xlfn.XLOOKUP(K548, CCF!B:B, CCF!C:C)</f>
        <v>79999</v>
      </c>
      <c r="M548" t="s">
        <v>240</v>
      </c>
    </row>
    <row r="549" spans="1:13" x14ac:dyDescent="0.3">
      <c r="A549">
        <v>548</v>
      </c>
      <c r="B549" t="s">
        <v>1214</v>
      </c>
      <c r="C549" s="3">
        <v>79816</v>
      </c>
      <c r="D549" t="s">
        <v>666</v>
      </c>
      <c r="E549">
        <v>46</v>
      </c>
      <c r="F549" s="1">
        <v>45372</v>
      </c>
      <c r="G549" s="1" t="str">
        <f>TEXT(Table1[[#This Row],[Enrollment date]], "mmm")</f>
        <v>Mar</v>
      </c>
      <c r="H549" t="s">
        <v>360</v>
      </c>
      <c r="I549" t="s">
        <v>662</v>
      </c>
      <c r="J549" t="str">
        <f>_xlfn.XLOOKUP(Table1[[#This Row],[Course ]], CCF!B:B, CCF!A:A)</f>
        <v>DA202</v>
      </c>
      <c r="K549" t="s">
        <v>363</v>
      </c>
      <c r="L549">
        <f>_xlfn.XLOOKUP(K549, CCF!B:B, CCF!C:C)</f>
        <v>79999</v>
      </c>
      <c r="M549" t="s">
        <v>27</v>
      </c>
    </row>
    <row r="550" spans="1:13" x14ac:dyDescent="0.3">
      <c r="A550">
        <v>549</v>
      </c>
      <c r="B550" t="s">
        <v>1215</v>
      </c>
      <c r="C550" s="3">
        <v>40838</v>
      </c>
      <c r="D550" t="s">
        <v>667</v>
      </c>
      <c r="E550">
        <v>31</v>
      </c>
      <c r="F550" s="1">
        <v>45372</v>
      </c>
      <c r="G550" s="1" t="str">
        <f>TEXT(Table1[[#This Row],[Enrollment date]], "mmm")</f>
        <v>Mar</v>
      </c>
      <c r="H550" t="s">
        <v>360</v>
      </c>
      <c r="I550" t="s">
        <v>659</v>
      </c>
      <c r="J550" t="str">
        <f>_xlfn.XLOOKUP(Table1[[#This Row],[Course ]], CCF!B:B, CCF!A:A)</f>
        <v>DA202</v>
      </c>
      <c r="K550" t="s">
        <v>363</v>
      </c>
      <c r="L550">
        <f>_xlfn.XLOOKUP(K550, CCF!B:B, CCF!C:C)</f>
        <v>79999</v>
      </c>
      <c r="M550" t="s">
        <v>439</v>
      </c>
    </row>
    <row r="551" spans="1:13" x14ac:dyDescent="0.3">
      <c r="A551">
        <v>550</v>
      </c>
      <c r="B551" t="s">
        <v>1216</v>
      </c>
      <c r="C551" s="3">
        <v>29116</v>
      </c>
      <c r="D551" t="s">
        <v>666</v>
      </c>
      <c r="E551">
        <v>43</v>
      </c>
      <c r="F551" s="1">
        <v>45372</v>
      </c>
      <c r="G551" s="1" t="str">
        <f>TEXT(Table1[[#This Row],[Enrollment date]], "mmm")</f>
        <v>Mar</v>
      </c>
      <c r="H551" t="s">
        <v>360</v>
      </c>
      <c r="I551" t="s">
        <v>660</v>
      </c>
      <c r="J551" t="str">
        <f>_xlfn.XLOOKUP(Table1[[#This Row],[Course ]], CCF!B:B, CCF!A:A)</f>
        <v>DM101</v>
      </c>
      <c r="K551" t="s">
        <v>365</v>
      </c>
      <c r="L551">
        <f>_xlfn.XLOOKUP(K551, CCF!B:B, CCF!C:C)</f>
        <v>85499</v>
      </c>
      <c r="M551" t="s">
        <v>106</v>
      </c>
    </row>
    <row r="552" spans="1:13" x14ac:dyDescent="0.3">
      <c r="A552">
        <v>551</v>
      </c>
      <c r="B552" t="s">
        <v>1217</v>
      </c>
      <c r="C552" s="3">
        <v>69581</v>
      </c>
      <c r="D552" t="s">
        <v>666</v>
      </c>
      <c r="E552">
        <v>18</v>
      </c>
      <c r="F552" s="1">
        <v>45372</v>
      </c>
      <c r="G552" s="1" t="str">
        <f>TEXT(Table1[[#This Row],[Enrollment date]], "mmm")</f>
        <v>Mar</v>
      </c>
      <c r="H552" t="s">
        <v>360</v>
      </c>
      <c r="I552" t="s">
        <v>659</v>
      </c>
      <c r="J552" t="str">
        <f>_xlfn.XLOOKUP(Table1[[#This Row],[Course ]], CCF!B:B, CCF!A:A)</f>
        <v>DM101</v>
      </c>
      <c r="K552" t="s">
        <v>365</v>
      </c>
      <c r="L552">
        <f>_xlfn.XLOOKUP(K552, CCF!B:B, CCF!C:C)</f>
        <v>85499</v>
      </c>
      <c r="M552" t="s">
        <v>25</v>
      </c>
    </row>
    <row r="553" spans="1:13" x14ac:dyDescent="0.3">
      <c r="A553">
        <v>552</v>
      </c>
      <c r="B553" t="s">
        <v>1218</v>
      </c>
      <c r="C553" s="3">
        <v>34252</v>
      </c>
      <c r="D553" t="s">
        <v>666</v>
      </c>
      <c r="E553">
        <v>35</v>
      </c>
      <c r="F553" s="1">
        <v>45372</v>
      </c>
      <c r="G553" s="1" t="str">
        <f>TEXT(Table1[[#This Row],[Enrollment date]], "mmm")</f>
        <v>Mar</v>
      </c>
      <c r="H553" t="s">
        <v>360</v>
      </c>
      <c r="I553" t="s">
        <v>661</v>
      </c>
      <c r="J553" t="str">
        <f>_xlfn.XLOOKUP(Table1[[#This Row],[Course ]], CCF!B:B, CCF!A:A)</f>
        <v>DM101</v>
      </c>
      <c r="K553" t="s">
        <v>365</v>
      </c>
      <c r="L553">
        <f>_xlfn.XLOOKUP(K553, CCF!B:B, CCF!C:C)</f>
        <v>85499</v>
      </c>
      <c r="M553" t="s">
        <v>97</v>
      </c>
    </row>
    <row r="554" spans="1:13" x14ac:dyDescent="0.3">
      <c r="A554">
        <v>553</v>
      </c>
      <c r="B554" t="s">
        <v>1219</v>
      </c>
      <c r="C554" s="3">
        <v>89984</v>
      </c>
      <c r="D554" t="s">
        <v>666</v>
      </c>
      <c r="E554">
        <v>34</v>
      </c>
      <c r="F554" s="1">
        <v>45373</v>
      </c>
      <c r="G554" s="1" t="str">
        <f>TEXT(Table1[[#This Row],[Enrollment date]], "mmm")</f>
        <v>Mar</v>
      </c>
      <c r="H554" t="s">
        <v>360</v>
      </c>
      <c r="I554" t="s">
        <v>659</v>
      </c>
      <c r="J554" t="str">
        <f>_xlfn.XLOOKUP(Table1[[#This Row],[Course ]], CCF!B:B, CCF!A:A)</f>
        <v>DA202</v>
      </c>
      <c r="K554" t="s">
        <v>363</v>
      </c>
      <c r="L554">
        <f>_xlfn.XLOOKUP(K554, CCF!B:B, CCF!C:C)</f>
        <v>79999</v>
      </c>
      <c r="M554" t="s">
        <v>283</v>
      </c>
    </row>
    <row r="555" spans="1:13" x14ac:dyDescent="0.3">
      <c r="A555">
        <v>554</v>
      </c>
      <c r="B555" t="s">
        <v>1220</v>
      </c>
      <c r="C555" s="3">
        <v>59509</v>
      </c>
      <c r="D555" t="s">
        <v>667</v>
      </c>
      <c r="E555">
        <v>36</v>
      </c>
      <c r="F555" s="1">
        <v>45373</v>
      </c>
      <c r="G555" s="1" t="str">
        <f>TEXT(Table1[[#This Row],[Enrollment date]], "mmm")</f>
        <v>Mar</v>
      </c>
      <c r="H555" t="s">
        <v>360</v>
      </c>
      <c r="I555" t="s">
        <v>660</v>
      </c>
      <c r="J555" t="str">
        <f>_xlfn.XLOOKUP(Table1[[#This Row],[Course ]], CCF!B:B, CCF!A:A)</f>
        <v>DM101</v>
      </c>
      <c r="K555" t="s">
        <v>365</v>
      </c>
      <c r="L555">
        <f>_xlfn.XLOOKUP(K555, CCF!B:B, CCF!C:C)</f>
        <v>85499</v>
      </c>
      <c r="M555" t="s">
        <v>440</v>
      </c>
    </row>
    <row r="556" spans="1:13" x14ac:dyDescent="0.3">
      <c r="A556">
        <v>555</v>
      </c>
      <c r="B556" t="s">
        <v>1221</v>
      </c>
      <c r="C556" s="3">
        <v>23341</v>
      </c>
      <c r="D556" t="s">
        <v>666</v>
      </c>
      <c r="E556">
        <v>58</v>
      </c>
      <c r="F556" s="1">
        <v>45373</v>
      </c>
      <c r="G556" s="1" t="str">
        <f>TEXT(Table1[[#This Row],[Enrollment date]], "mmm")</f>
        <v>Mar</v>
      </c>
      <c r="H556" t="s">
        <v>360</v>
      </c>
      <c r="I556" t="s">
        <v>661</v>
      </c>
      <c r="J556" t="str">
        <f>_xlfn.XLOOKUP(Table1[[#This Row],[Course ]], CCF!B:B, CCF!A:A)</f>
        <v>DA202</v>
      </c>
      <c r="K556" t="s">
        <v>363</v>
      </c>
      <c r="L556">
        <f>_xlfn.XLOOKUP(K556, CCF!B:B, CCF!C:C)</f>
        <v>79999</v>
      </c>
      <c r="M556" t="s">
        <v>441</v>
      </c>
    </row>
    <row r="557" spans="1:13" x14ac:dyDescent="0.3">
      <c r="A557">
        <v>556</v>
      </c>
      <c r="B557" t="s">
        <v>1222</v>
      </c>
      <c r="C557" s="3">
        <v>55457</v>
      </c>
      <c r="D557" t="s">
        <v>666</v>
      </c>
      <c r="E557">
        <v>75</v>
      </c>
      <c r="F557" s="1">
        <v>45374</v>
      </c>
      <c r="G557" s="1" t="str">
        <f>TEXT(Table1[[#This Row],[Enrollment date]], "mmm")</f>
        <v>Mar</v>
      </c>
      <c r="H557" t="s">
        <v>360</v>
      </c>
      <c r="I557" t="s">
        <v>665</v>
      </c>
      <c r="J557" t="str">
        <f>_xlfn.XLOOKUP(Table1[[#This Row],[Course ]], CCF!B:B, CCF!A:A)</f>
        <v>DA202</v>
      </c>
      <c r="K557" t="s">
        <v>363</v>
      </c>
      <c r="L557">
        <f>_xlfn.XLOOKUP(K557, CCF!B:B, CCF!C:C)</f>
        <v>79999</v>
      </c>
      <c r="M557" t="s">
        <v>65</v>
      </c>
    </row>
    <row r="558" spans="1:13" x14ac:dyDescent="0.3">
      <c r="A558">
        <v>557</v>
      </c>
      <c r="B558" t="s">
        <v>1223</v>
      </c>
      <c r="C558" s="3">
        <v>14783</v>
      </c>
      <c r="D558" t="s">
        <v>666</v>
      </c>
      <c r="E558">
        <v>22</v>
      </c>
      <c r="F558" s="1">
        <v>45374</v>
      </c>
      <c r="G558" s="1" t="str">
        <f>TEXT(Table1[[#This Row],[Enrollment date]], "mmm")</f>
        <v>Mar</v>
      </c>
      <c r="H558" t="s">
        <v>360</v>
      </c>
      <c r="I558" t="s">
        <v>660</v>
      </c>
      <c r="J558" t="str">
        <f>_xlfn.XLOOKUP(Table1[[#This Row],[Course ]], CCF!B:B, CCF!A:A)</f>
        <v>DM101</v>
      </c>
      <c r="K558" t="s">
        <v>365</v>
      </c>
      <c r="L558">
        <f>_xlfn.XLOOKUP(K558, CCF!B:B, CCF!C:C)</f>
        <v>85499</v>
      </c>
      <c r="M558" t="s">
        <v>20</v>
      </c>
    </row>
    <row r="559" spans="1:13" x14ac:dyDescent="0.3">
      <c r="A559">
        <v>558</v>
      </c>
      <c r="B559" t="s">
        <v>1224</v>
      </c>
      <c r="C559" s="3">
        <v>12926</v>
      </c>
      <c r="D559" t="s">
        <v>666</v>
      </c>
      <c r="E559">
        <v>37</v>
      </c>
      <c r="F559" s="1">
        <v>45374</v>
      </c>
      <c r="G559" s="1" t="str">
        <f>TEXT(Table1[[#This Row],[Enrollment date]], "mmm")</f>
        <v>Mar</v>
      </c>
      <c r="H559" t="s">
        <v>360</v>
      </c>
      <c r="I559" t="s">
        <v>660</v>
      </c>
      <c r="J559" t="str">
        <f>_xlfn.XLOOKUP(Table1[[#This Row],[Course ]], CCF!B:B, CCF!A:A)</f>
        <v>DA202</v>
      </c>
      <c r="K559" t="s">
        <v>363</v>
      </c>
      <c r="L559">
        <f>_xlfn.XLOOKUP(K559, CCF!B:B, CCF!C:C)</f>
        <v>79999</v>
      </c>
      <c r="M559" t="s">
        <v>248</v>
      </c>
    </row>
    <row r="560" spans="1:13" x14ac:dyDescent="0.3">
      <c r="A560">
        <v>559</v>
      </c>
      <c r="B560" t="s">
        <v>1225</v>
      </c>
      <c r="C560" s="3">
        <v>46754</v>
      </c>
      <c r="D560" t="s">
        <v>666</v>
      </c>
      <c r="E560">
        <v>55</v>
      </c>
      <c r="F560" s="1">
        <v>45374</v>
      </c>
      <c r="G560" s="1" t="str">
        <f>TEXT(Table1[[#This Row],[Enrollment date]], "mmm")</f>
        <v>Mar</v>
      </c>
      <c r="H560" t="s">
        <v>360</v>
      </c>
      <c r="I560" t="s">
        <v>661</v>
      </c>
      <c r="J560" t="str">
        <f>_xlfn.XLOOKUP(Table1[[#This Row],[Course ]], CCF!B:B, CCF!A:A)</f>
        <v>DM101</v>
      </c>
      <c r="K560" t="s">
        <v>365</v>
      </c>
      <c r="L560">
        <f>_xlfn.XLOOKUP(K560, CCF!B:B, CCF!C:C)</f>
        <v>85499</v>
      </c>
      <c r="M560" t="s">
        <v>27</v>
      </c>
    </row>
    <row r="561" spans="1:13" x14ac:dyDescent="0.3">
      <c r="A561">
        <v>560</v>
      </c>
      <c r="B561" t="s">
        <v>1226</v>
      </c>
      <c r="C561" s="3">
        <v>29609</v>
      </c>
      <c r="D561" t="s">
        <v>666</v>
      </c>
      <c r="E561">
        <v>70</v>
      </c>
      <c r="F561" s="1">
        <v>45374</v>
      </c>
      <c r="G561" s="1" t="str">
        <f>TEXT(Table1[[#This Row],[Enrollment date]], "mmm")</f>
        <v>Mar</v>
      </c>
      <c r="H561" t="s">
        <v>3</v>
      </c>
      <c r="I561" t="s">
        <v>659</v>
      </c>
      <c r="J561" t="str">
        <f>_xlfn.XLOOKUP(Table1[[#This Row],[Course ]], CCF!B:B, CCF!A:A)</f>
        <v>BA301</v>
      </c>
      <c r="K561" t="s">
        <v>364</v>
      </c>
      <c r="L561">
        <f>_xlfn.XLOOKUP(K561, CCF!B:B, CCF!C:C)</f>
        <v>59999</v>
      </c>
      <c r="M561" t="s">
        <v>9</v>
      </c>
    </row>
    <row r="562" spans="1:13" x14ac:dyDescent="0.3">
      <c r="A562">
        <v>561</v>
      </c>
      <c r="B562" t="s">
        <v>1227</v>
      </c>
      <c r="C562" s="3">
        <v>12811</v>
      </c>
      <c r="D562" t="s">
        <v>666</v>
      </c>
      <c r="E562">
        <v>24</v>
      </c>
      <c r="F562" s="1">
        <v>45374</v>
      </c>
      <c r="G562" s="1" t="str">
        <f>TEXT(Table1[[#This Row],[Enrollment date]], "mmm")</f>
        <v>Mar</v>
      </c>
      <c r="H562" t="s">
        <v>360</v>
      </c>
      <c r="I562" t="s">
        <v>659</v>
      </c>
      <c r="J562" t="str">
        <f>_xlfn.XLOOKUP(Table1[[#This Row],[Course ]], CCF!B:B, CCF!A:A)</f>
        <v>DM101</v>
      </c>
      <c r="K562" t="s">
        <v>365</v>
      </c>
      <c r="L562">
        <f>_xlfn.XLOOKUP(K562, CCF!B:B, CCF!C:C)</f>
        <v>85499</v>
      </c>
      <c r="M562" t="s">
        <v>80</v>
      </c>
    </row>
    <row r="563" spans="1:13" x14ac:dyDescent="0.3">
      <c r="A563">
        <v>562</v>
      </c>
      <c r="B563" t="s">
        <v>1228</v>
      </c>
      <c r="C563" s="3">
        <v>98606</v>
      </c>
      <c r="D563" t="s">
        <v>666</v>
      </c>
      <c r="E563">
        <v>54</v>
      </c>
      <c r="F563" s="1">
        <v>45375</v>
      </c>
      <c r="G563" s="1" t="str">
        <f>TEXT(Table1[[#This Row],[Enrollment date]], "mmm")</f>
        <v>Mar</v>
      </c>
      <c r="H563" t="s">
        <v>360</v>
      </c>
      <c r="I563" t="s">
        <v>659</v>
      </c>
      <c r="J563" t="str">
        <f>_xlfn.XLOOKUP(Table1[[#This Row],[Course ]], CCF!B:B, CCF!A:A)</f>
        <v>DM101</v>
      </c>
      <c r="K563" t="s">
        <v>365</v>
      </c>
      <c r="L563">
        <f>_xlfn.XLOOKUP(K563, CCF!B:B, CCF!C:C)</f>
        <v>85499</v>
      </c>
      <c r="M563" t="s">
        <v>230</v>
      </c>
    </row>
    <row r="564" spans="1:13" x14ac:dyDescent="0.3">
      <c r="A564">
        <v>563</v>
      </c>
      <c r="B564" t="s">
        <v>1229</v>
      </c>
      <c r="C564" s="3">
        <v>69019</v>
      </c>
      <c r="D564" t="s">
        <v>666</v>
      </c>
      <c r="E564">
        <v>78</v>
      </c>
      <c r="F564" s="1">
        <v>45375</v>
      </c>
      <c r="G564" s="1" t="str">
        <f>TEXT(Table1[[#This Row],[Enrollment date]], "mmm")</f>
        <v>Mar</v>
      </c>
      <c r="H564" t="s">
        <v>360</v>
      </c>
      <c r="I564" t="s">
        <v>660</v>
      </c>
      <c r="J564" t="str">
        <f>_xlfn.XLOOKUP(Table1[[#This Row],[Course ]], CCF!B:B, CCF!A:A)</f>
        <v>DA202</v>
      </c>
      <c r="K564" t="s">
        <v>363</v>
      </c>
      <c r="L564">
        <f>_xlfn.XLOOKUP(K564, CCF!B:B, CCF!C:C)</f>
        <v>79999</v>
      </c>
      <c r="M564" t="s">
        <v>442</v>
      </c>
    </row>
    <row r="565" spans="1:13" x14ac:dyDescent="0.3">
      <c r="A565">
        <v>564</v>
      </c>
      <c r="B565" t="s">
        <v>1230</v>
      </c>
      <c r="C565" s="3">
        <v>49714</v>
      </c>
      <c r="D565" t="s">
        <v>666</v>
      </c>
      <c r="E565">
        <v>77</v>
      </c>
      <c r="F565" s="1">
        <v>45375</v>
      </c>
      <c r="G565" s="1" t="str">
        <f>TEXT(Table1[[#This Row],[Enrollment date]], "mmm")</f>
        <v>Mar</v>
      </c>
      <c r="H565" t="s">
        <v>360</v>
      </c>
      <c r="I565" t="s">
        <v>661</v>
      </c>
      <c r="J565" t="str">
        <f>_xlfn.XLOOKUP(Table1[[#This Row],[Course ]], CCF!B:B, CCF!A:A)</f>
        <v>DM101</v>
      </c>
      <c r="K565" t="s">
        <v>365</v>
      </c>
      <c r="L565">
        <f>_xlfn.XLOOKUP(K565, CCF!B:B, CCF!C:C)</f>
        <v>85499</v>
      </c>
      <c r="M565" t="s">
        <v>9</v>
      </c>
    </row>
    <row r="566" spans="1:13" x14ac:dyDescent="0.3">
      <c r="A566">
        <v>565</v>
      </c>
      <c r="B566" t="s">
        <v>1231</v>
      </c>
      <c r="C566" s="3">
        <v>80293</v>
      </c>
      <c r="D566" t="s">
        <v>666</v>
      </c>
      <c r="E566">
        <v>51</v>
      </c>
      <c r="F566" s="1">
        <v>45375</v>
      </c>
      <c r="G566" s="1" t="str">
        <f>TEXT(Table1[[#This Row],[Enrollment date]], "mmm")</f>
        <v>Mar</v>
      </c>
      <c r="H566" t="s">
        <v>360</v>
      </c>
      <c r="I566" t="s">
        <v>659</v>
      </c>
      <c r="J566" t="str">
        <f>_xlfn.XLOOKUP(Table1[[#This Row],[Course ]], CCF!B:B, CCF!A:A)</f>
        <v>DM101</v>
      </c>
      <c r="K566" t="s">
        <v>365</v>
      </c>
      <c r="L566">
        <f>_xlfn.XLOOKUP(K566, CCF!B:B, CCF!C:C)</f>
        <v>85499</v>
      </c>
      <c r="M566" t="s">
        <v>443</v>
      </c>
    </row>
    <row r="567" spans="1:13" x14ac:dyDescent="0.3">
      <c r="A567">
        <v>566</v>
      </c>
      <c r="B567" t="s">
        <v>1232</v>
      </c>
      <c r="C567" s="3">
        <v>75842</v>
      </c>
      <c r="D567" t="s">
        <v>666</v>
      </c>
      <c r="E567">
        <v>73</v>
      </c>
      <c r="F567" s="1">
        <v>45375</v>
      </c>
      <c r="G567" s="1" t="str">
        <f>TEXT(Table1[[#This Row],[Enrollment date]], "mmm")</f>
        <v>Mar</v>
      </c>
      <c r="H567" t="s">
        <v>360</v>
      </c>
      <c r="I567" t="s">
        <v>661</v>
      </c>
      <c r="J567" t="str">
        <f>_xlfn.XLOOKUP(Table1[[#This Row],[Course ]], CCF!B:B, CCF!A:A)</f>
        <v>DM101</v>
      </c>
      <c r="K567" t="s">
        <v>365</v>
      </c>
      <c r="L567">
        <f>_xlfn.XLOOKUP(K567, CCF!B:B, CCF!C:C)</f>
        <v>85499</v>
      </c>
      <c r="M567" t="s">
        <v>9</v>
      </c>
    </row>
    <row r="568" spans="1:13" x14ac:dyDescent="0.3">
      <c r="A568">
        <v>567</v>
      </c>
      <c r="B568" t="s">
        <v>1233</v>
      </c>
      <c r="C568" s="3">
        <v>36331</v>
      </c>
      <c r="D568" t="s">
        <v>666</v>
      </c>
      <c r="E568">
        <v>23</v>
      </c>
      <c r="F568" s="1">
        <v>45375</v>
      </c>
      <c r="G568" s="1" t="str">
        <f>TEXT(Table1[[#This Row],[Enrollment date]], "mmm")</f>
        <v>Mar</v>
      </c>
      <c r="H568" t="s">
        <v>361</v>
      </c>
      <c r="I568" t="s">
        <v>661</v>
      </c>
      <c r="J568" t="str">
        <f>_xlfn.XLOOKUP(Table1[[#This Row],[Course ]], CCF!B:B, CCF!A:A)</f>
        <v>DA202</v>
      </c>
      <c r="K568" t="s">
        <v>363</v>
      </c>
      <c r="L568">
        <f>_xlfn.XLOOKUP(K568, CCF!B:B, CCF!C:C)</f>
        <v>79999</v>
      </c>
      <c r="M568" t="s">
        <v>27</v>
      </c>
    </row>
    <row r="569" spans="1:13" x14ac:dyDescent="0.3">
      <c r="A569">
        <v>568</v>
      </c>
      <c r="B569" t="s">
        <v>1234</v>
      </c>
      <c r="C569" s="3">
        <v>71080</v>
      </c>
      <c r="D569" t="s">
        <v>667</v>
      </c>
      <c r="E569">
        <v>30</v>
      </c>
      <c r="F569" s="1">
        <v>45376</v>
      </c>
      <c r="G569" s="1" t="str">
        <f>TEXT(Table1[[#This Row],[Enrollment date]], "mmm")</f>
        <v>Mar</v>
      </c>
      <c r="H569" t="s">
        <v>360</v>
      </c>
      <c r="I569" t="s">
        <v>665</v>
      </c>
      <c r="J569" t="str">
        <f>_xlfn.XLOOKUP(Table1[[#This Row],[Course ]], CCF!B:B, CCF!A:A)</f>
        <v>UX401</v>
      </c>
      <c r="K569" t="s">
        <v>367</v>
      </c>
      <c r="L569">
        <f>_xlfn.XLOOKUP(K569, CCF!B:B, CCF!C:C)</f>
        <v>67990</v>
      </c>
      <c r="M569" t="s">
        <v>16</v>
      </c>
    </row>
    <row r="570" spans="1:13" x14ac:dyDescent="0.3">
      <c r="A570">
        <v>569</v>
      </c>
      <c r="B570" t="s">
        <v>1235</v>
      </c>
      <c r="C570" s="3">
        <v>93303</v>
      </c>
      <c r="D570" t="s">
        <v>666</v>
      </c>
      <c r="E570">
        <v>63</v>
      </c>
      <c r="F570" s="1">
        <v>45376</v>
      </c>
      <c r="G570" s="1" t="str">
        <f>TEXT(Table1[[#This Row],[Enrollment date]], "mmm")</f>
        <v>Mar</v>
      </c>
      <c r="H570" t="s">
        <v>360</v>
      </c>
      <c r="I570" t="s">
        <v>661</v>
      </c>
      <c r="J570" t="str">
        <f>_xlfn.XLOOKUP(Table1[[#This Row],[Course ]], CCF!B:B, CCF!A:A)</f>
        <v>BA301</v>
      </c>
      <c r="K570" t="s">
        <v>364</v>
      </c>
      <c r="L570">
        <f>_xlfn.XLOOKUP(K570, CCF!B:B, CCF!C:C)</f>
        <v>59999</v>
      </c>
      <c r="M570" t="s">
        <v>4</v>
      </c>
    </row>
    <row r="571" spans="1:13" x14ac:dyDescent="0.3">
      <c r="A571">
        <v>570</v>
      </c>
      <c r="B571" t="s">
        <v>1236</v>
      </c>
      <c r="C571" s="3">
        <v>76634</v>
      </c>
      <c r="D571" t="s">
        <v>666</v>
      </c>
      <c r="E571">
        <v>33</v>
      </c>
      <c r="F571" s="1">
        <v>45376</v>
      </c>
      <c r="G571" s="1" t="str">
        <f>TEXT(Table1[[#This Row],[Enrollment date]], "mmm")</f>
        <v>Mar</v>
      </c>
      <c r="H571" t="s">
        <v>360</v>
      </c>
      <c r="I571" t="s">
        <v>661</v>
      </c>
      <c r="J571" t="str">
        <f>_xlfn.XLOOKUP(Table1[[#This Row],[Course ]], CCF!B:B, CCF!A:A)</f>
        <v>DA202</v>
      </c>
      <c r="K571" t="s">
        <v>363</v>
      </c>
      <c r="L571">
        <f>_xlfn.XLOOKUP(K571, CCF!B:B, CCF!C:C)</f>
        <v>79999</v>
      </c>
      <c r="M571" t="s">
        <v>71</v>
      </c>
    </row>
    <row r="572" spans="1:13" x14ac:dyDescent="0.3">
      <c r="A572">
        <v>571</v>
      </c>
      <c r="B572" t="s">
        <v>1237</v>
      </c>
      <c r="C572" s="3">
        <v>26435</v>
      </c>
      <c r="D572" t="s">
        <v>667</v>
      </c>
      <c r="E572">
        <v>45</v>
      </c>
      <c r="F572" s="1">
        <v>45376</v>
      </c>
      <c r="G572" s="1" t="str">
        <f>TEXT(Table1[[#This Row],[Enrollment date]], "mmm")</f>
        <v>Mar</v>
      </c>
      <c r="H572" t="s">
        <v>360</v>
      </c>
      <c r="I572" t="s">
        <v>661</v>
      </c>
      <c r="J572" t="str">
        <f>_xlfn.XLOOKUP(Table1[[#This Row],[Course ]], CCF!B:B, CCF!A:A)</f>
        <v>BA301</v>
      </c>
      <c r="K572" t="s">
        <v>364</v>
      </c>
      <c r="L572">
        <f>_xlfn.XLOOKUP(K572, CCF!B:B, CCF!C:C)</f>
        <v>59999</v>
      </c>
      <c r="M572" t="s">
        <v>444</v>
      </c>
    </row>
    <row r="573" spans="1:13" x14ac:dyDescent="0.3">
      <c r="A573">
        <v>572</v>
      </c>
      <c r="B573" t="s">
        <v>1238</v>
      </c>
      <c r="C573" s="3">
        <v>35324</v>
      </c>
      <c r="D573" t="s">
        <v>666</v>
      </c>
      <c r="E573">
        <v>36</v>
      </c>
      <c r="F573" s="1">
        <v>45376</v>
      </c>
      <c r="G573" s="1" t="str">
        <f>TEXT(Table1[[#This Row],[Enrollment date]], "mmm")</f>
        <v>Mar</v>
      </c>
      <c r="H573" t="s">
        <v>360</v>
      </c>
      <c r="I573" t="s">
        <v>660</v>
      </c>
      <c r="J573" t="str">
        <f>_xlfn.XLOOKUP(Table1[[#This Row],[Course ]], CCF!B:B, CCF!A:A)</f>
        <v>DA202</v>
      </c>
      <c r="K573" t="s">
        <v>363</v>
      </c>
      <c r="L573">
        <f>_xlfn.XLOOKUP(K573, CCF!B:B, CCF!C:C)</f>
        <v>79999</v>
      </c>
      <c r="M573" t="s">
        <v>230</v>
      </c>
    </row>
    <row r="574" spans="1:13" x14ac:dyDescent="0.3">
      <c r="A574">
        <v>573</v>
      </c>
      <c r="B574" t="s">
        <v>1239</v>
      </c>
      <c r="C574" s="3">
        <v>30615</v>
      </c>
      <c r="D574" t="s">
        <v>667</v>
      </c>
      <c r="E574">
        <v>39</v>
      </c>
      <c r="F574" s="1">
        <v>45376</v>
      </c>
      <c r="G574" s="1" t="str">
        <f>TEXT(Table1[[#This Row],[Enrollment date]], "mmm")</f>
        <v>Mar</v>
      </c>
      <c r="H574" t="s">
        <v>360</v>
      </c>
      <c r="I574" t="s">
        <v>660</v>
      </c>
      <c r="J574" t="str">
        <f>_xlfn.XLOOKUP(Table1[[#This Row],[Course ]], CCF!B:B, CCF!A:A)</f>
        <v>BA301</v>
      </c>
      <c r="K574" t="s">
        <v>364</v>
      </c>
      <c r="L574">
        <f>_xlfn.XLOOKUP(K574, CCF!B:B, CCF!C:C)</f>
        <v>59999</v>
      </c>
      <c r="M574" t="s">
        <v>445</v>
      </c>
    </row>
    <row r="575" spans="1:13" x14ac:dyDescent="0.3">
      <c r="A575">
        <v>574</v>
      </c>
      <c r="B575" t="s">
        <v>1240</v>
      </c>
      <c r="C575" s="3">
        <v>77230</v>
      </c>
      <c r="D575" t="s">
        <v>667</v>
      </c>
      <c r="E575">
        <v>30</v>
      </c>
      <c r="F575" s="1">
        <v>45376</v>
      </c>
      <c r="G575" s="1" t="str">
        <f>TEXT(Table1[[#This Row],[Enrollment date]], "mmm")</f>
        <v>Mar</v>
      </c>
      <c r="H575" t="s">
        <v>360</v>
      </c>
      <c r="I575" t="s">
        <v>660</v>
      </c>
      <c r="J575" t="str">
        <f>_xlfn.XLOOKUP(Table1[[#This Row],[Course ]], CCF!B:B, CCF!A:A)</f>
        <v>DA202</v>
      </c>
      <c r="K575" t="s">
        <v>363</v>
      </c>
      <c r="L575">
        <f>_xlfn.XLOOKUP(K575, CCF!B:B, CCF!C:C)</f>
        <v>79999</v>
      </c>
      <c r="M575" t="s">
        <v>134</v>
      </c>
    </row>
    <row r="576" spans="1:13" x14ac:dyDescent="0.3">
      <c r="A576">
        <v>575</v>
      </c>
      <c r="B576" t="s">
        <v>1241</v>
      </c>
      <c r="C576" s="3">
        <v>95190</v>
      </c>
      <c r="D576" t="s">
        <v>666</v>
      </c>
      <c r="E576">
        <v>52</v>
      </c>
      <c r="F576" s="1">
        <v>45376</v>
      </c>
      <c r="G576" s="1" t="str">
        <f>TEXT(Table1[[#This Row],[Enrollment date]], "mmm")</f>
        <v>Mar</v>
      </c>
      <c r="H576" t="s">
        <v>360</v>
      </c>
      <c r="I576" t="s">
        <v>660</v>
      </c>
      <c r="J576" t="str">
        <f>_xlfn.XLOOKUP(Table1[[#This Row],[Course ]], CCF!B:B, CCF!A:A)</f>
        <v>DA202</v>
      </c>
      <c r="K576" t="s">
        <v>363</v>
      </c>
      <c r="L576">
        <f>_xlfn.XLOOKUP(K576, CCF!B:B, CCF!C:C)</f>
        <v>79999</v>
      </c>
      <c r="M576" t="s">
        <v>20</v>
      </c>
    </row>
    <row r="577" spans="1:13" x14ac:dyDescent="0.3">
      <c r="A577">
        <v>576</v>
      </c>
      <c r="B577" t="s">
        <v>1242</v>
      </c>
      <c r="C577" s="3">
        <v>83638</v>
      </c>
      <c r="D577" t="s">
        <v>666</v>
      </c>
      <c r="E577">
        <v>49</v>
      </c>
      <c r="F577" s="1">
        <v>45376</v>
      </c>
      <c r="G577" s="1" t="str">
        <f>TEXT(Table1[[#This Row],[Enrollment date]], "mmm")</f>
        <v>Mar</v>
      </c>
      <c r="H577" t="s">
        <v>360</v>
      </c>
      <c r="I577" t="s">
        <v>660</v>
      </c>
      <c r="J577" t="str">
        <f>_xlfn.XLOOKUP(Table1[[#This Row],[Course ]], CCF!B:B, CCF!A:A)</f>
        <v>DM101</v>
      </c>
      <c r="K577" t="s">
        <v>365</v>
      </c>
      <c r="L577">
        <f>_xlfn.XLOOKUP(K577, CCF!B:B, CCF!C:C)</f>
        <v>85499</v>
      </c>
      <c r="M577" t="s">
        <v>16</v>
      </c>
    </row>
    <row r="578" spans="1:13" x14ac:dyDescent="0.3">
      <c r="A578">
        <v>577</v>
      </c>
      <c r="B578" t="s">
        <v>1243</v>
      </c>
      <c r="C578" s="3">
        <v>65152</v>
      </c>
      <c r="D578" t="s">
        <v>666</v>
      </c>
      <c r="E578">
        <v>23</v>
      </c>
      <c r="F578" s="1">
        <v>45376</v>
      </c>
      <c r="G578" s="1" t="str">
        <f>TEXT(Table1[[#This Row],[Enrollment date]], "mmm")</f>
        <v>Mar</v>
      </c>
      <c r="H578" t="s">
        <v>360</v>
      </c>
      <c r="I578" t="s">
        <v>659</v>
      </c>
      <c r="J578" t="str">
        <f>_xlfn.XLOOKUP(Table1[[#This Row],[Course ]], CCF!B:B, CCF!A:A)</f>
        <v>DM101</v>
      </c>
      <c r="K578" t="s">
        <v>365</v>
      </c>
      <c r="L578">
        <f>_xlfn.XLOOKUP(K578, CCF!B:B, CCF!C:C)</f>
        <v>85499</v>
      </c>
      <c r="M578" t="s">
        <v>9</v>
      </c>
    </row>
    <row r="579" spans="1:13" x14ac:dyDescent="0.3">
      <c r="A579">
        <v>578</v>
      </c>
      <c r="B579" t="s">
        <v>1244</v>
      </c>
      <c r="C579" s="3">
        <v>44622</v>
      </c>
      <c r="D579" t="s">
        <v>666</v>
      </c>
      <c r="E579">
        <v>72</v>
      </c>
      <c r="F579" s="1">
        <v>45376</v>
      </c>
      <c r="G579" s="1" t="str">
        <f>TEXT(Table1[[#This Row],[Enrollment date]], "mmm")</f>
        <v>Mar</v>
      </c>
      <c r="H579" t="s">
        <v>360</v>
      </c>
      <c r="I579" t="s">
        <v>662</v>
      </c>
      <c r="J579" t="str">
        <f>_xlfn.XLOOKUP(Table1[[#This Row],[Course ]], CCF!B:B, CCF!A:A)</f>
        <v>BA301</v>
      </c>
      <c r="K579" t="s">
        <v>364</v>
      </c>
      <c r="L579">
        <f>_xlfn.XLOOKUP(K579, CCF!B:B, CCF!C:C)</f>
        <v>59999</v>
      </c>
      <c r="M579" t="s">
        <v>17</v>
      </c>
    </row>
    <row r="580" spans="1:13" x14ac:dyDescent="0.3">
      <c r="A580">
        <v>579</v>
      </c>
      <c r="B580" t="s">
        <v>1245</v>
      </c>
      <c r="C580" s="3">
        <v>76244</v>
      </c>
      <c r="D580" t="s">
        <v>667</v>
      </c>
      <c r="E580">
        <v>35</v>
      </c>
      <c r="F580" s="1">
        <v>45377</v>
      </c>
      <c r="G580" s="1" t="str">
        <f>TEXT(Table1[[#This Row],[Enrollment date]], "mmm")</f>
        <v>Mar</v>
      </c>
      <c r="H580" t="s">
        <v>360</v>
      </c>
      <c r="I580" t="s">
        <v>660</v>
      </c>
      <c r="J580" t="str">
        <f>_xlfn.XLOOKUP(Table1[[#This Row],[Course ]], CCF!B:B, CCF!A:A)</f>
        <v>DM101</v>
      </c>
      <c r="K580" t="s">
        <v>365</v>
      </c>
      <c r="L580">
        <f>_xlfn.XLOOKUP(K580, CCF!B:B, CCF!C:C)</f>
        <v>85499</v>
      </c>
      <c r="M580" t="s">
        <v>133</v>
      </c>
    </row>
    <row r="581" spans="1:13" x14ac:dyDescent="0.3">
      <c r="A581">
        <v>580</v>
      </c>
      <c r="B581" t="s">
        <v>1246</v>
      </c>
      <c r="C581" s="3">
        <v>98329</v>
      </c>
      <c r="D581" t="s">
        <v>667</v>
      </c>
      <c r="E581">
        <v>77</v>
      </c>
      <c r="F581" s="1">
        <v>45377</v>
      </c>
      <c r="G581" s="1" t="str">
        <f>TEXT(Table1[[#This Row],[Enrollment date]], "mmm")</f>
        <v>Mar</v>
      </c>
      <c r="H581" t="s">
        <v>360</v>
      </c>
      <c r="I581" t="s">
        <v>664</v>
      </c>
      <c r="J581" t="str">
        <f>_xlfn.XLOOKUP(Table1[[#This Row],[Course ]], CCF!B:B, CCF!A:A)</f>
        <v>DM101</v>
      </c>
      <c r="K581" t="s">
        <v>365</v>
      </c>
      <c r="L581">
        <f>_xlfn.XLOOKUP(K581, CCF!B:B, CCF!C:C)</f>
        <v>85499</v>
      </c>
      <c r="M581" t="s">
        <v>21</v>
      </c>
    </row>
    <row r="582" spans="1:13" x14ac:dyDescent="0.3">
      <c r="A582">
        <v>581</v>
      </c>
      <c r="B582" t="s">
        <v>1247</v>
      </c>
      <c r="C582" s="3">
        <v>68571</v>
      </c>
      <c r="D582" t="s">
        <v>667</v>
      </c>
      <c r="E582">
        <v>22</v>
      </c>
      <c r="F582" s="1">
        <v>45377</v>
      </c>
      <c r="G582" s="1" t="str">
        <f>TEXT(Table1[[#This Row],[Enrollment date]], "mmm")</f>
        <v>Mar</v>
      </c>
      <c r="H582" t="s">
        <v>360</v>
      </c>
      <c r="I582" t="s">
        <v>662</v>
      </c>
      <c r="J582" t="str">
        <f>_xlfn.XLOOKUP(Table1[[#This Row],[Course ]], CCF!B:B, CCF!A:A)</f>
        <v>DM101</v>
      </c>
      <c r="K582" t="s">
        <v>365</v>
      </c>
      <c r="L582">
        <f>_xlfn.XLOOKUP(K582, CCF!B:B, CCF!C:C)</f>
        <v>85499</v>
      </c>
      <c r="M582" t="s">
        <v>9</v>
      </c>
    </row>
    <row r="583" spans="1:13" x14ac:dyDescent="0.3">
      <c r="A583">
        <v>582</v>
      </c>
      <c r="B583" t="s">
        <v>1248</v>
      </c>
      <c r="C583" s="3">
        <v>72051</v>
      </c>
      <c r="D583" t="s">
        <v>666</v>
      </c>
      <c r="E583">
        <v>26</v>
      </c>
      <c r="F583" s="1">
        <v>45377</v>
      </c>
      <c r="G583" s="1" t="str">
        <f>TEXT(Table1[[#This Row],[Enrollment date]], "mmm")</f>
        <v>Mar</v>
      </c>
      <c r="H583" t="s">
        <v>3</v>
      </c>
      <c r="I583" t="s">
        <v>660</v>
      </c>
      <c r="J583" t="str">
        <f>_xlfn.XLOOKUP(Table1[[#This Row],[Course ]], CCF!B:B, CCF!A:A)</f>
        <v>DA202</v>
      </c>
      <c r="K583" t="s">
        <v>363</v>
      </c>
      <c r="L583">
        <f>_xlfn.XLOOKUP(K583, CCF!B:B, CCF!C:C)</f>
        <v>79999</v>
      </c>
      <c r="M583" t="s">
        <v>238</v>
      </c>
    </row>
    <row r="584" spans="1:13" x14ac:dyDescent="0.3">
      <c r="A584">
        <v>583</v>
      </c>
      <c r="B584" t="s">
        <v>1249</v>
      </c>
      <c r="C584" s="3">
        <v>61528</v>
      </c>
      <c r="D584" t="s">
        <v>666</v>
      </c>
      <c r="E584">
        <v>45</v>
      </c>
      <c r="F584" s="1">
        <v>45377</v>
      </c>
      <c r="G584" s="1" t="str">
        <f>TEXT(Table1[[#This Row],[Enrollment date]], "mmm")</f>
        <v>Mar</v>
      </c>
      <c r="H584" t="s">
        <v>360</v>
      </c>
      <c r="I584" t="s">
        <v>660</v>
      </c>
      <c r="J584" t="str">
        <f>_xlfn.XLOOKUP(Table1[[#This Row],[Course ]], CCF!B:B, CCF!A:A)</f>
        <v>BA301</v>
      </c>
      <c r="K584" t="s">
        <v>364</v>
      </c>
      <c r="L584">
        <f>_xlfn.XLOOKUP(K584, CCF!B:B, CCF!C:C)</f>
        <v>59999</v>
      </c>
      <c r="M584" t="s">
        <v>36</v>
      </c>
    </row>
    <row r="585" spans="1:13" x14ac:dyDescent="0.3">
      <c r="A585">
        <v>584</v>
      </c>
      <c r="B585" t="s">
        <v>1250</v>
      </c>
      <c r="C585" s="3">
        <v>40335</v>
      </c>
      <c r="D585" t="s">
        <v>666</v>
      </c>
      <c r="E585">
        <v>31</v>
      </c>
      <c r="F585" s="1">
        <v>45377</v>
      </c>
      <c r="G585" s="1" t="str">
        <f>TEXT(Table1[[#This Row],[Enrollment date]], "mmm")</f>
        <v>Mar</v>
      </c>
      <c r="H585" t="s">
        <v>360</v>
      </c>
      <c r="I585" t="s">
        <v>660</v>
      </c>
      <c r="J585" t="str">
        <f>_xlfn.XLOOKUP(Table1[[#This Row],[Course ]], CCF!B:B, CCF!A:A)</f>
        <v>DM101</v>
      </c>
      <c r="K585" t="s">
        <v>365</v>
      </c>
      <c r="L585">
        <f>_xlfn.XLOOKUP(K585, CCF!B:B, CCF!C:C)</f>
        <v>85499</v>
      </c>
      <c r="M585" t="s">
        <v>17</v>
      </c>
    </row>
    <row r="586" spans="1:13" x14ac:dyDescent="0.3">
      <c r="A586">
        <v>585</v>
      </c>
      <c r="B586" t="s">
        <v>1251</v>
      </c>
      <c r="C586" s="3">
        <v>47667</v>
      </c>
      <c r="D586" t="s">
        <v>666</v>
      </c>
      <c r="E586">
        <v>21</v>
      </c>
      <c r="F586" s="1">
        <v>45377</v>
      </c>
      <c r="G586" s="1" t="str">
        <f>TEXT(Table1[[#This Row],[Enrollment date]], "mmm")</f>
        <v>Mar</v>
      </c>
      <c r="H586" t="s">
        <v>360</v>
      </c>
      <c r="I586" t="s">
        <v>660</v>
      </c>
      <c r="J586" t="str">
        <f>_xlfn.XLOOKUP(Table1[[#This Row],[Course ]], CCF!B:B, CCF!A:A)</f>
        <v>DM101</v>
      </c>
      <c r="K586" t="s">
        <v>365</v>
      </c>
      <c r="L586">
        <f>_xlfn.XLOOKUP(K586, CCF!B:B, CCF!C:C)</f>
        <v>85499</v>
      </c>
      <c r="M586" t="s">
        <v>141</v>
      </c>
    </row>
    <row r="587" spans="1:13" x14ac:dyDescent="0.3">
      <c r="A587">
        <v>586</v>
      </c>
      <c r="B587" t="s">
        <v>1252</v>
      </c>
      <c r="C587" s="3">
        <v>77514</v>
      </c>
      <c r="D587" t="s">
        <v>666</v>
      </c>
      <c r="E587">
        <v>24</v>
      </c>
      <c r="F587" s="1">
        <v>45377</v>
      </c>
      <c r="G587" s="1" t="str">
        <f>TEXT(Table1[[#This Row],[Enrollment date]], "mmm")</f>
        <v>Mar</v>
      </c>
      <c r="H587" t="s">
        <v>360</v>
      </c>
      <c r="I587" t="s">
        <v>664</v>
      </c>
      <c r="J587" t="str">
        <f>_xlfn.XLOOKUP(Table1[[#This Row],[Course ]], CCF!B:B, CCF!A:A)</f>
        <v>DM101</v>
      </c>
      <c r="K587" t="s">
        <v>365</v>
      </c>
      <c r="L587">
        <f>_xlfn.XLOOKUP(K587, CCF!B:B, CCF!C:C)</f>
        <v>85499</v>
      </c>
      <c r="M587" t="s">
        <v>27</v>
      </c>
    </row>
    <row r="588" spans="1:13" x14ac:dyDescent="0.3">
      <c r="A588">
        <v>587</v>
      </c>
      <c r="B588" t="s">
        <v>1253</v>
      </c>
      <c r="C588" s="3">
        <v>69322</v>
      </c>
      <c r="D588" t="s">
        <v>666</v>
      </c>
      <c r="E588">
        <v>41</v>
      </c>
      <c r="F588" s="1">
        <v>45377</v>
      </c>
      <c r="G588" s="1" t="str">
        <f>TEXT(Table1[[#This Row],[Enrollment date]], "mmm")</f>
        <v>Mar</v>
      </c>
      <c r="H588" t="s">
        <v>360</v>
      </c>
      <c r="I588" t="s">
        <v>659</v>
      </c>
      <c r="J588" t="str">
        <f>_xlfn.XLOOKUP(Table1[[#This Row],[Course ]], CCF!B:B, CCF!A:A)</f>
        <v>HR201</v>
      </c>
      <c r="K588" t="s">
        <v>3152</v>
      </c>
      <c r="L588">
        <f>_xlfn.XLOOKUP(K588, CCF!B:B, CCF!C:C)</f>
        <v>41999</v>
      </c>
      <c r="M588" t="s">
        <v>104</v>
      </c>
    </row>
    <row r="589" spans="1:13" x14ac:dyDescent="0.3">
      <c r="A589">
        <v>588</v>
      </c>
      <c r="B589" t="s">
        <v>1254</v>
      </c>
      <c r="C589" s="3">
        <v>78050</v>
      </c>
      <c r="D589" t="s">
        <v>666</v>
      </c>
      <c r="E589">
        <v>29</v>
      </c>
      <c r="F589" s="1">
        <v>45377</v>
      </c>
      <c r="G589" s="1" t="str">
        <f>TEXT(Table1[[#This Row],[Enrollment date]], "mmm")</f>
        <v>Mar</v>
      </c>
      <c r="H589" t="s">
        <v>360</v>
      </c>
      <c r="I589" t="s">
        <v>662</v>
      </c>
      <c r="J589" t="str">
        <f>_xlfn.XLOOKUP(Table1[[#This Row],[Course ]], CCF!B:B, CCF!A:A)</f>
        <v>DM101</v>
      </c>
      <c r="K589" t="s">
        <v>365</v>
      </c>
      <c r="L589">
        <f>_xlfn.XLOOKUP(K589, CCF!B:B, CCF!C:C)</f>
        <v>85499</v>
      </c>
      <c r="M589" t="s">
        <v>25</v>
      </c>
    </row>
    <row r="590" spans="1:13" x14ac:dyDescent="0.3">
      <c r="A590">
        <v>589</v>
      </c>
      <c r="B590" t="s">
        <v>1255</v>
      </c>
      <c r="C590" s="3">
        <v>19347</v>
      </c>
      <c r="D590" t="s">
        <v>666</v>
      </c>
      <c r="E590">
        <v>71</v>
      </c>
      <c r="F590" s="1">
        <v>45378</v>
      </c>
      <c r="G590" s="1" t="str">
        <f>TEXT(Table1[[#This Row],[Enrollment date]], "mmm")</f>
        <v>Mar</v>
      </c>
      <c r="H590" t="s">
        <v>360</v>
      </c>
      <c r="I590" t="s">
        <v>664</v>
      </c>
      <c r="J590" t="str">
        <f>_xlfn.XLOOKUP(Table1[[#This Row],[Course ]], CCF!B:B, CCF!A:A)</f>
        <v>DA202</v>
      </c>
      <c r="K590" t="s">
        <v>363</v>
      </c>
      <c r="L590">
        <f>_xlfn.XLOOKUP(K590, CCF!B:B, CCF!C:C)</f>
        <v>79999</v>
      </c>
      <c r="M590" t="s">
        <v>9</v>
      </c>
    </row>
    <row r="591" spans="1:13" x14ac:dyDescent="0.3">
      <c r="A591">
        <v>590</v>
      </c>
      <c r="B591" t="s">
        <v>1256</v>
      </c>
      <c r="C591" s="3">
        <v>54612</v>
      </c>
      <c r="D591" t="s">
        <v>666</v>
      </c>
      <c r="E591">
        <v>21</v>
      </c>
      <c r="F591" s="1">
        <v>45378</v>
      </c>
      <c r="G591" s="1" t="str">
        <f>TEXT(Table1[[#This Row],[Enrollment date]], "mmm")</f>
        <v>Mar</v>
      </c>
      <c r="H591" t="s">
        <v>361</v>
      </c>
      <c r="I591" t="s">
        <v>660</v>
      </c>
      <c r="J591" t="str">
        <f>_xlfn.XLOOKUP(Table1[[#This Row],[Course ]], CCF!B:B, CCF!A:A)</f>
        <v>BA301</v>
      </c>
      <c r="K591" t="s">
        <v>364</v>
      </c>
      <c r="L591">
        <f>_xlfn.XLOOKUP(K591, CCF!B:B, CCF!C:C)</f>
        <v>59999</v>
      </c>
      <c r="M591" t="s">
        <v>30</v>
      </c>
    </row>
    <row r="592" spans="1:13" x14ac:dyDescent="0.3">
      <c r="A592">
        <v>591</v>
      </c>
      <c r="B592" t="s">
        <v>1257</v>
      </c>
      <c r="C592" s="3">
        <v>41661</v>
      </c>
      <c r="D592" t="s">
        <v>667</v>
      </c>
      <c r="E592">
        <v>27</v>
      </c>
      <c r="F592" s="1">
        <v>45378</v>
      </c>
      <c r="G592" s="1" t="str">
        <f>TEXT(Table1[[#This Row],[Enrollment date]], "mmm")</f>
        <v>Mar</v>
      </c>
      <c r="H592" t="s">
        <v>360</v>
      </c>
      <c r="I592" t="s">
        <v>661</v>
      </c>
      <c r="J592" t="str">
        <f>_xlfn.XLOOKUP(Table1[[#This Row],[Course ]], CCF!B:B, CCF!A:A)</f>
        <v>DA202</v>
      </c>
      <c r="K592" t="s">
        <v>363</v>
      </c>
      <c r="L592">
        <f>_xlfn.XLOOKUP(K592, CCF!B:B, CCF!C:C)</f>
        <v>79999</v>
      </c>
      <c r="M592" t="s">
        <v>27</v>
      </c>
    </row>
    <row r="593" spans="1:13" x14ac:dyDescent="0.3">
      <c r="A593">
        <v>592</v>
      </c>
      <c r="B593" t="s">
        <v>1258</v>
      </c>
      <c r="C593" s="3">
        <v>50831</v>
      </c>
      <c r="D593" t="s">
        <v>667</v>
      </c>
      <c r="E593">
        <v>43</v>
      </c>
      <c r="F593" s="1">
        <v>45378</v>
      </c>
      <c r="G593" s="1" t="str">
        <f>TEXT(Table1[[#This Row],[Enrollment date]], "mmm")</f>
        <v>Mar</v>
      </c>
      <c r="H593" t="s">
        <v>360</v>
      </c>
      <c r="I593" t="s">
        <v>661</v>
      </c>
      <c r="J593" t="str">
        <f>_xlfn.XLOOKUP(Table1[[#This Row],[Course ]], CCF!B:B, CCF!A:A)</f>
        <v>FSD103</v>
      </c>
      <c r="K593" t="s">
        <v>366</v>
      </c>
      <c r="L593">
        <f>_xlfn.XLOOKUP(K593, CCF!B:B, CCF!C:C)</f>
        <v>109990</v>
      </c>
      <c r="M593" t="s">
        <v>91</v>
      </c>
    </row>
    <row r="594" spans="1:13" x14ac:dyDescent="0.3">
      <c r="A594">
        <v>593</v>
      </c>
      <c r="B594" t="s">
        <v>1259</v>
      </c>
      <c r="C594" s="3">
        <v>30243</v>
      </c>
      <c r="D594" t="s">
        <v>666</v>
      </c>
      <c r="E594">
        <v>43</v>
      </c>
      <c r="F594" s="1">
        <v>45378</v>
      </c>
      <c r="G594" s="1" t="str">
        <f>TEXT(Table1[[#This Row],[Enrollment date]], "mmm")</f>
        <v>Mar</v>
      </c>
      <c r="H594" t="s">
        <v>360</v>
      </c>
      <c r="I594" t="s">
        <v>660</v>
      </c>
      <c r="J594" t="str">
        <f>_xlfn.XLOOKUP(Table1[[#This Row],[Course ]], CCF!B:B, CCF!A:A)</f>
        <v>DM101</v>
      </c>
      <c r="K594" t="s">
        <v>365</v>
      </c>
      <c r="L594">
        <f>_xlfn.XLOOKUP(K594, CCF!B:B, CCF!C:C)</f>
        <v>85499</v>
      </c>
      <c r="M594" t="s">
        <v>18</v>
      </c>
    </row>
    <row r="595" spans="1:13" x14ac:dyDescent="0.3">
      <c r="A595">
        <v>594</v>
      </c>
      <c r="B595" t="s">
        <v>1260</v>
      </c>
      <c r="C595" s="3">
        <v>53506</v>
      </c>
      <c r="D595" t="s">
        <v>666</v>
      </c>
      <c r="E595">
        <v>37</v>
      </c>
      <c r="F595" s="1">
        <v>45378</v>
      </c>
      <c r="G595" s="1" t="str">
        <f>TEXT(Table1[[#This Row],[Enrollment date]], "mmm")</f>
        <v>Mar</v>
      </c>
      <c r="H595" t="s">
        <v>3</v>
      </c>
      <c r="I595" t="s">
        <v>661</v>
      </c>
      <c r="J595" t="str">
        <f>_xlfn.XLOOKUP(Table1[[#This Row],[Course ]], CCF!B:B, CCF!A:A)</f>
        <v>BA301</v>
      </c>
      <c r="K595" t="s">
        <v>364</v>
      </c>
      <c r="L595">
        <f>_xlfn.XLOOKUP(K595, CCF!B:B, CCF!C:C)</f>
        <v>59999</v>
      </c>
      <c r="M595" t="s">
        <v>43</v>
      </c>
    </row>
    <row r="596" spans="1:13" x14ac:dyDescent="0.3">
      <c r="A596">
        <v>595</v>
      </c>
      <c r="B596" t="s">
        <v>1261</v>
      </c>
      <c r="C596" s="3">
        <v>70341</v>
      </c>
      <c r="D596" t="s">
        <v>666</v>
      </c>
      <c r="E596">
        <v>37</v>
      </c>
      <c r="F596" s="1">
        <v>45378</v>
      </c>
      <c r="G596" s="1" t="str">
        <f>TEXT(Table1[[#This Row],[Enrollment date]], "mmm")</f>
        <v>Mar</v>
      </c>
      <c r="H596" t="s">
        <v>360</v>
      </c>
      <c r="I596" t="s">
        <v>661</v>
      </c>
      <c r="J596" t="str">
        <f>_xlfn.XLOOKUP(Table1[[#This Row],[Course ]], CCF!B:B, CCF!A:A)</f>
        <v>FSD103</v>
      </c>
      <c r="K596" t="s">
        <v>366</v>
      </c>
      <c r="L596">
        <f>_xlfn.XLOOKUP(K596, CCF!B:B, CCF!C:C)</f>
        <v>109990</v>
      </c>
      <c r="M596" t="s">
        <v>20</v>
      </c>
    </row>
    <row r="597" spans="1:13" x14ac:dyDescent="0.3">
      <c r="A597">
        <v>596</v>
      </c>
      <c r="B597" t="s">
        <v>1262</v>
      </c>
      <c r="C597" s="3">
        <v>53262</v>
      </c>
      <c r="D597" t="s">
        <v>667</v>
      </c>
      <c r="E597">
        <v>27</v>
      </c>
      <c r="F597" s="1">
        <v>45378</v>
      </c>
      <c r="G597" s="1" t="str">
        <f>TEXT(Table1[[#This Row],[Enrollment date]], "mmm")</f>
        <v>Mar</v>
      </c>
      <c r="H597" t="s">
        <v>360</v>
      </c>
      <c r="I597" t="s">
        <v>660</v>
      </c>
      <c r="J597" t="str">
        <f>_xlfn.XLOOKUP(Table1[[#This Row],[Course ]], CCF!B:B, CCF!A:A)</f>
        <v>DM101</v>
      </c>
      <c r="K597" t="s">
        <v>365</v>
      </c>
      <c r="L597">
        <f>_xlfn.XLOOKUP(K597, CCF!B:B, CCF!C:C)</f>
        <v>85499</v>
      </c>
      <c r="M597" t="s">
        <v>16</v>
      </c>
    </row>
    <row r="598" spans="1:13" x14ac:dyDescent="0.3">
      <c r="A598">
        <v>597</v>
      </c>
      <c r="B598" t="s">
        <v>1263</v>
      </c>
      <c r="C598" s="3">
        <v>76027</v>
      </c>
      <c r="D598" t="s">
        <v>666</v>
      </c>
      <c r="E598">
        <v>37</v>
      </c>
      <c r="F598" s="1">
        <v>45379</v>
      </c>
      <c r="G598" s="1" t="str">
        <f>TEXT(Table1[[#This Row],[Enrollment date]], "mmm")</f>
        <v>Mar</v>
      </c>
      <c r="H598" t="s">
        <v>360</v>
      </c>
      <c r="I598" t="s">
        <v>659</v>
      </c>
      <c r="J598" t="str">
        <f>_xlfn.XLOOKUP(Table1[[#This Row],[Course ]], CCF!B:B, CCF!A:A)</f>
        <v>DA202</v>
      </c>
      <c r="K598" t="s">
        <v>363</v>
      </c>
      <c r="L598">
        <f>_xlfn.XLOOKUP(K598, CCF!B:B, CCF!C:C)</f>
        <v>79999</v>
      </c>
      <c r="M598" t="s">
        <v>390</v>
      </c>
    </row>
    <row r="599" spans="1:13" x14ac:dyDescent="0.3">
      <c r="A599">
        <v>598</v>
      </c>
      <c r="B599" t="s">
        <v>1264</v>
      </c>
      <c r="C599" s="3">
        <v>98656</v>
      </c>
      <c r="D599" t="s">
        <v>666</v>
      </c>
      <c r="E599">
        <v>36</v>
      </c>
      <c r="F599" s="1">
        <v>45379</v>
      </c>
      <c r="G599" s="1" t="str">
        <f>TEXT(Table1[[#This Row],[Enrollment date]], "mmm")</f>
        <v>Mar</v>
      </c>
      <c r="H599" t="s">
        <v>360</v>
      </c>
      <c r="I599" t="s">
        <v>659</v>
      </c>
      <c r="J599" t="str">
        <f>_xlfn.XLOOKUP(Table1[[#This Row],[Course ]], CCF!B:B, CCF!A:A)</f>
        <v>FSD103</v>
      </c>
      <c r="K599" t="s">
        <v>366</v>
      </c>
      <c r="L599">
        <f>_xlfn.XLOOKUP(K599, CCF!B:B, CCF!C:C)</f>
        <v>109990</v>
      </c>
      <c r="M599" t="s">
        <v>97</v>
      </c>
    </row>
    <row r="600" spans="1:13" x14ac:dyDescent="0.3">
      <c r="A600">
        <v>599</v>
      </c>
      <c r="B600" t="s">
        <v>1265</v>
      </c>
      <c r="C600" s="3">
        <v>58895</v>
      </c>
      <c r="D600" t="s">
        <v>667</v>
      </c>
      <c r="E600">
        <v>30</v>
      </c>
      <c r="F600" s="1">
        <v>45379</v>
      </c>
      <c r="G600" s="1" t="str">
        <f>TEXT(Table1[[#This Row],[Enrollment date]], "mmm")</f>
        <v>Mar</v>
      </c>
      <c r="H600" t="s">
        <v>360</v>
      </c>
      <c r="I600" t="s">
        <v>659</v>
      </c>
      <c r="J600" t="str">
        <f>_xlfn.XLOOKUP(Table1[[#This Row],[Course ]], CCF!B:B, CCF!A:A)</f>
        <v>BA301</v>
      </c>
      <c r="K600" t="s">
        <v>364</v>
      </c>
      <c r="L600">
        <f>_xlfn.XLOOKUP(K600, CCF!B:B, CCF!C:C)</f>
        <v>59999</v>
      </c>
      <c r="M600" t="s">
        <v>30</v>
      </c>
    </row>
    <row r="601" spans="1:13" x14ac:dyDescent="0.3">
      <c r="A601">
        <v>600</v>
      </c>
      <c r="B601" t="s">
        <v>1266</v>
      </c>
      <c r="C601" s="3">
        <v>85798</v>
      </c>
      <c r="D601" t="s">
        <v>666</v>
      </c>
      <c r="E601">
        <v>35</v>
      </c>
      <c r="F601" s="1">
        <v>45379</v>
      </c>
      <c r="G601" s="1" t="str">
        <f>TEXT(Table1[[#This Row],[Enrollment date]], "mmm")</f>
        <v>Mar</v>
      </c>
      <c r="H601" t="s">
        <v>361</v>
      </c>
      <c r="I601" t="s">
        <v>659</v>
      </c>
      <c r="J601" t="str">
        <f>_xlfn.XLOOKUP(Table1[[#This Row],[Course ]], CCF!B:B, CCF!A:A)</f>
        <v>DM101</v>
      </c>
      <c r="K601" t="s">
        <v>365</v>
      </c>
      <c r="L601">
        <f>_xlfn.XLOOKUP(K601, CCF!B:B, CCF!C:C)</f>
        <v>85499</v>
      </c>
      <c r="M601" t="s">
        <v>18</v>
      </c>
    </row>
    <row r="602" spans="1:13" x14ac:dyDescent="0.3">
      <c r="A602">
        <v>601</v>
      </c>
      <c r="B602" t="s">
        <v>1267</v>
      </c>
      <c r="C602" s="3">
        <v>80874</v>
      </c>
      <c r="D602" t="s">
        <v>666</v>
      </c>
      <c r="E602">
        <v>53</v>
      </c>
      <c r="F602" s="1">
        <v>45379</v>
      </c>
      <c r="G602" s="1" t="str">
        <f>TEXT(Table1[[#This Row],[Enrollment date]], "mmm")</f>
        <v>Mar</v>
      </c>
      <c r="H602" t="s">
        <v>360</v>
      </c>
      <c r="I602" t="s">
        <v>661</v>
      </c>
      <c r="J602" t="str">
        <f>_xlfn.XLOOKUP(Table1[[#This Row],[Course ]], CCF!B:B, CCF!A:A)</f>
        <v>FSD103</v>
      </c>
      <c r="K602" t="s">
        <v>366</v>
      </c>
      <c r="L602">
        <f>_xlfn.XLOOKUP(K602, CCF!B:B, CCF!C:C)</f>
        <v>109990</v>
      </c>
      <c r="M602" t="s">
        <v>205</v>
      </c>
    </row>
    <row r="603" spans="1:13" x14ac:dyDescent="0.3">
      <c r="A603">
        <v>602</v>
      </c>
      <c r="B603" t="s">
        <v>1268</v>
      </c>
      <c r="C603" s="3">
        <v>80833</v>
      </c>
      <c r="D603" t="s">
        <v>666</v>
      </c>
      <c r="E603">
        <v>52</v>
      </c>
      <c r="F603" s="1">
        <v>45379</v>
      </c>
      <c r="G603" s="1" t="str">
        <f>TEXT(Table1[[#This Row],[Enrollment date]], "mmm")</f>
        <v>Mar</v>
      </c>
      <c r="H603" t="s">
        <v>360</v>
      </c>
      <c r="I603" t="s">
        <v>661</v>
      </c>
      <c r="J603" t="str">
        <f>_xlfn.XLOOKUP(Table1[[#This Row],[Course ]], CCF!B:B, CCF!A:A)</f>
        <v>DM101</v>
      </c>
      <c r="K603" t="s">
        <v>365</v>
      </c>
      <c r="L603">
        <f>_xlfn.XLOOKUP(K603, CCF!B:B, CCF!C:C)</f>
        <v>85499</v>
      </c>
      <c r="M603" t="s">
        <v>446</v>
      </c>
    </row>
    <row r="604" spans="1:13" x14ac:dyDescent="0.3">
      <c r="A604">
        <v>603</v>
      </c>
      <c r="B604" t="s">
        <v>1269</v>
      </c>
      <c r="C604" s="3">
        <v>31725</v>
      </c>
      <c r="D604" t="s">
        <v>666</v>
      </c>
      <c r="E604">
        <v>49</v>
      </c>
      <c r="F604" s="1">
        <v>45379</v>
      </c>
      <c r="G604" s="1" t="str">
        <f>TEXT(Table1[[#This Row],[Enrollment date]], "mmm")</f>
        <v>Mar</v>
      </c>
      <c r="H604" t="s">
        <v>360</v>
      </c>
      <c r="I604" t="s">
        <v>664</v>
      </c>
      <c r="J604" t="str">
        <f>_xlfn.XLOOKUP(Table1[[#This Row],[Course ]], CCF!B:B, CCF!A:A)</f>
        <v>DM101</v>
      </c>
      <c r="K604" t="s">
        <v>365</v>
      </c>
      <c r="L604">
        <f>_xlfn.XLOOKUP(K604, CCF!B:B, CCF!C:C)</f>
        <v>85499</v>
      </c>
      <c r="M604" t="s">
        <v>16</v>
      </c>
    </row>
    <row r="605" spans="1:13" x14ac:dyDescent="0.3">
      <c r="A605">
        <v>604</v>
      </c>
      <c r="B605" t="s">
        <v>1270</v>
      </c>
      <c r="C605" s="3">
        <v>93030</v>
      </c>
      <c r="D605" t="s">
        <v>667</v>
      </c>
      <c r="E605">
        <v>41</v>
      </c>
      <c r="F605" s="1">
        <v>45379</v>
      </c>
      <c r="G605" s="1" t="str">
        <f>TEXT(Table1[[#This Row],[Enrollment date]], "mmm")</f>
        <v>Mar</v>
      </c>
      <c r="H605" t="s">
        <v>3</v>
      </c>
      <c r="I605" t="s">
        <v>659</v>
      </c>
      <c r="J605" t="str">
        <f>_xlfn.XLOOKUP(Table1[[#This Row],[Course ]], CCF!B:B, CCF!A:A)</f>
        <v>DA202</v>
      </c>
      <c r="K605" t="s">
        <v>363</v>
      </c>
      <c r="L605">
        <f>_xlfn.XLOOKUP(K605, CCF!B:B, CCF!C:C)</f>
        <v>79999</v>
      </c>
      <c r="M605" t="s">
        <v>9</v>
      </c>
    </row>
    <row r="606" spans="1:13" x14ac:dyDescent="0.3">
      <c r="A606">
        <v>605</v>
      </c>
      <c r="B606" t="s">
        <v>1271</v>
      </c>
      <c r="C606" s="3">
        <v>43656</v>
      </c>
      <c r="D606" t="s">
        <v>666</v>
      </c>
      <c r="E606">
        <v>47</v>
      </c>
      <c r="F606" s="1">
        <v>45379</v>
      </c>
      <c r="G606" s="1" t="str">
        <f>TEXT(Table1[[#This Row],[Enrollment date]], "mmm")</f>
        <v>Mar</v>
      </c>
      <c r="H606" t="s">
        <v>3</v>
      </c>
      <c r="I606" t="s">
        <v>659</v>
      </c>
      <c r="J606" t="str">
        <f>_xlfn.XLOOKUP(Table1[[#This Row],[Course ]], CCF!B:B, CCF!A:A)</f>
        <v>DA202</v>
      </c>
      <c r="K606" t="s">
        <v>363</v>
      </c>
      <c r="L606">
        <f>_xlfn.XLOOKUP(K606, CCF!B:B, CCF!C:C)</f>
        <v>79999</v>
      </c>
      <c r="M606" t="s">
        <v>18</v>
      </c>
    </row>
    <row r="607" spans="1:13" x14ac:dyDescent="0.3">
      <c r="A607">
        <v>606</v>
      </c>
      <c r="B607" t="s">
        <v>1272</v>
      </c>
      <c r="C607" s="3">
        <v>39410</v>
      </c>
      <c r="D607" t="s">
        <v>667</v>
      </c>
      <c r="E607">
        <v>31</v>
      </c>
      <c r="F607" s="1">
        <v>45379</v>
      </c>
      <c r="G607" s="1" t="str">
        <f>TEXT(Table1[[#This Row],[Enrollment date]], "mmm")</f>
        <v>Mar</v>
      </c>
      <c r="H607" t="s">
        <v>360</v>
      </c>
      <c r="I607" t="s">
        <v>661</v>
      </c>
      <c r="J607" t="str">
        <f>_xlfn.XLOOKUP(Table1[[#This Row],[Course ]], CCF!B:B, CCF!A:A)</f>
        <v>DM101</v>
      </c>
      <c r="K607" t="s">
        <v>365</v>
      </c>
      <c r="L607">
        <f>_xlfn.XLOOKUP(K607, CCF!B:B, CCF!C:C)</f>
        <v>85499</v>
      </c>
      <c r="M607" t="s">
        <v>80</v>
      </c>
    </row>
    <row r="608" spans="1:13" x14ac:dyDescent="0.3">
      <c r="A608">
        <v>607</v>
      </c>
      <c r="B608" t="s">
        <v>1273</v>
      </c>
      <c r="C608" s="3">
        <v>64178</v>
      </c>
      <c r="D608" t="s">
        <v>666</v>
      </c>
      <c r="E608">
        <v>45</v>
      </c>
      <c r="F608" s="1">
        <v>45380</v>
      </c>
      <c r="G608" s="1" t="str">
        <f>TEXT(Table1[[#This Row],[Enrollment date]], "mmm")</f>
        <v>Mar</v>
      </c>
      <c r="H608" t="s">
        <v>360</v>
      </c>
      <c r="I608" t="s">
        <v>661</v>
      </c>
      <c r="J608" t="str">
        <f>_xlfn.XLOOKUP(Table1[[#This Row],[Course ]], CCF!B:B, CCF!A:A)</f>
        <v>DA202</v>
      </c>
      <c r="K608" t="s">
        <v>363</v>
      </c>
      <c r="L608">
        <f>_xlfn.XLOOKUP(K608, CCF!B:B, CCF!C:C)</f>
        <v>79999</v>
      </c>
      <c r="M608" t="s">
        <v>80</v>
      </c>
    </row>
    <row r="609" spans="1:13" x14ac:dyDescent="0.3">
      <c r="A609">
        <v>608</v>
      </c>
      <c r="B609" t="s">
        <v>1274</v>
      </c>
      <c r="C609" s="3">
        <v>55219</v>
      </c>
      <c r="D609" t="s">
        <v>666</v>
      </c>
      <c r="E609">
        <v>22</v>
      </c>
      <c r="F609" s="1">
        <v>45380</v>
      </c>
      <c r="G609" s="1" t="str">
        <f>TEXT(Table1[[#This Row],[Enrollment date]], "mmm")</f>
        <v>Mar</v>
      </c>
      <c r="H609" t="s">
        <v>360</v>
      </c>
      <c r="I609" t="s">
        <v>660</v>
      </c>
      <c r="J609" t="str">
        <f>_xlfn.XLOOKUP(Table1[[#This Row],[Course ]], CCF!B:B, CCF!A:A)</f>
        <v>DM101</v>
      </c>
      <c r="K609" t="s">
        <v>365</v>
      </c>
      <c r="L609">
        <f>_xlfn.XLOOKUP(K609, CCF!B:B, CCF!C:C)</f>
        <v>85499</v>
      </c>
      <c r="M609" t="s">
        <v>238</v>
      </c>
    </row>
    <row r="610" spans="1:13" x14ac:dyDescent="0.3">
      <c r="A610">
        <v>609</v>
      </c>
      <c r="B610" t="s">
        <v>1275</v>
      </c>
      <c r="C610" s="3">
        <v>34930</v>
      </c>
      <c r="D610" t="s">
        <v>666</v>
      </c>
      <c r="E610">
        <v>38</v>
      </c>
      <c r="F610" s="1">
        <v>45380</v>
      </c>
      <c r="G610" s="1" t="str">
        <f>TEXT(Table1[[#This Row],[Enrollment date]], "mmm")</f>
        <v>Mar</v>
      </c>
      <c r="H610" t="s">
        <v>360</v>
      </c>
      <c r="I610" t="s">
        <v>661</v>
      </c>
      <c r="J610" t="str">
        <f>_xlfn.XLOOKUP(Table1[[#This Row],[Course ]], CCF!B:B, CCF!A:A)</f>
        <v>DA202</v>
      </c>
      <c r="K610" t="s">
        <v>363</v>
      </c>
      <c r="L610">
        <f>_xlfn.XLOOKUP(K610, CCF!B:B, CCF!C:C)</f>
        <v>79999</v>
      </c>
      <c r="M610" t="s">
        <v>16</v>
      </c>
    </row>
    <row r="611" spans="1:13" x14ac:dyDescent="0.3">
      <c r="A611">
        <v>610</v>
      </c>
      <c r="B611" t="s">
        <v>1276</v>
      </c>
      <c r="C611" s="3">
        <v>64549</v>
      </c>
      <c r="D611" t="s">
        <v>666</v>
      </c>
      <c r="E611">
        <v>35</v>
      </c>
      <c r="F611" s="1">
        <v>45380</v>
      </c>
      <c r="G611" s="1" t="str">
        <f>TEXT(Table1[[#This Row],[Enrollment date]], "mmm")</f>
        <v>Mar</v>
      </c>
      <c r="H611" t="s">
        <v>361</v>
      </c>
      <c r="I611" t="s">
        <v>660</v>
      </c>
      <c r="J611" t="str">
        <f>_xlfn.XLOOKUP(Table1[[#This Row],[Course ]], CCF!B:B, CCF!A:A)</f>
        <v>DM101</v>
      </c>
      <c r="K611" t="s">
        <v>365</v>
      </c>
      <c r="L611">
        <f>_xlfn.XLOOKUP(K611, CCF!B:B, CCF!C:C)</f>
        <v>85499</v>
      </c>
      <c r="M611" t="s">
        <v>252</v>
      </c>
    </row>
    <row r="612" spans="1:13" x14ac:dyDescent="0.3">
      <c r="A612">
        <v>611</v>
      </c>
      <c r="B612" t="s">
        <v>1277</v>
      </c>
      <c r="C612" s="3">
        <v>51263</v>
      </c>
      <c r="D612" t="s">
        <v>666</v>
      </c>
      <c r="E612">
        <v>38</v>
      </c>
      <c r="F612" s="1">
        <v>45380</v>
      </c>
      <c r="G612" s="1" t="str">
        <f>TEXT(Table1[[#This Row],[Enrollment date]], "mmm")</f>
        <v>Mar</v>
      </c>
      <c r="H612" t="s">
        <v>360</v>
      </c>
      <c r="I612" t="s">
        <v>661</v>
      </c>
      <c r="J612" t="str">
        <f>_xlfn.XLOOKUP(Table1[[#This Row],[Course ]], CCF!B:B, CCF!A:A)</f>
        <v>UX401</v>
      </c>
      <c r="K612" t="s">
        <v>367</v>
      </c>
      <c r="L612">
        <f>_xlfn.XLOOKUP(K612, CCF!B:B, CCF!C:C)</f>
        <v>67990</v>
      </c>
      <c r="M612" t="s">
        <v>447</v>
      </c>
    </row>
    <row r="613" spans="1:13" x14ac:dyDescent="0.3">
      <c r="A613">
        <v>612</v>
      </c>
      <c r="B613" t="s">
        <v>1278</v>
      </c>
      <c r="C613" s="3">
        <v>93737</v>
      </c>
      <c r="D613" t="s">
        <v>666</v>
      </c>
      <c r="E613">
        <v>46</v>
      </c>
      <c r="F613" s="1">
        <v>45380</v>
      </c>
      <c r="G613" s="1" t="str">
        <f>TEXT(Table1[[#This Row],[Enrollment date]], "mmm")</f>
        <v>Mar</v>
      </c>
      <c r="H613" t="s">
        <v>360</v>
      </c>
      <c r="I613" t="s">
        <v>659</v>
      </c>
      <c r="J613" t="str">
        <f>_xlfn.XLOOKUP(Table1[[#This Row],[Course ]], CCF!B:B, CCF!A:A)</f>
        <v>DA202</v>
      </c>
      <c r="K613" t="s">
        <v>363</v>
      </c>
      <c r="L613">
        <f>_xlfn.XLOOKUP(K613, CCF!B:B, CCF!C:C)</f>
        <v>79999</v>
      </c>
      <c r="M613" t="s">
        <v>9</v>
      </c>
    </row>
    <row r="614" spans="1:13" x14ac:dyDescent="0.3">
      <c r="A614">
        <v>613</v>
      </c>
      <c r="B614" t="s">
        <v>1279</v>
      </c>
      <c r="C614" s="3">
        <v>46503</v>
      </c>
      <c r="D614" t="s">
        <v>666</v>
      </c>
      <c r="E614">
        <v>62</v>
      </c>
      <c r="F614" s="1">
        <v>45380</v>
      </c>
      <c r="G614" s="1" t="str">
        <f>TEXT(Table1[[#This Row],[Enrollment date]], "mmm")</f>
        <v>Mar</v>
      </c>
      <c r="H614" t="s">
        <v>360</v>
      </c>
      <c r="I614" t="s">
        <v>659</v>
      </c>
      <c r="J614" t="str">
        <f>_xlfn.XLOOKUP(Table1[[#This Row],[Course ]], CCF!B:B, CCF!A:A)</f>
        <v>DM101</v>
      </c>
      <c r="K614" t="s">
        <v>365</v>
      </c>
      <c r="L614">
        <f>_xlfn.XLOOKUP(K614, CCF!B:B, CCF!C:C)</f>
        <v>85499</v>
      </c>
      <c r="M614" t="s">
        <v>448</v>
      </c>
    </row>
    <row r="615" spans="1:13" x14ac:dyDescent="0.3">
      <c r="A615">
        <v>614</v>
      </c>
      <c r="B615" t="s">
        <v>1280</v>
      </c>
      <c r="C615" s="3">
        <v>45120</v>
      </c>
      <c r="D615" t="s">
        <v>667</v>
      </c>
      <c r="E615">
        <v>24</v>
      </c>
      <c r="F615" s="1">
        <v>45380</v>
      </c>
      <c r="G615" s="1" t="str">
        <f>TEXT(Table1[[#This Row],[Enrollment date]], "mmm")</f>
        <v>Mar</v>
      </c>
      <c r="H615" t="s">
        <v>360</v>
      </c>
      <c r="I615" t="s">
        <v>659</v>
      </c>
      <c r="J615" t="str">
        <f>_xlfn.XLOOKUP(Table1[[#This Row],[Course ]], CCF!B:B, CCF!A:A)</f>
        <v>DM101</v>
      </c>
      <c r="K615" t="s">
        <v>365</v>
      </c>
      <c r="L615">
        <f>_xlfn.XLOOKUP(K615, CCF!B:B, CCF!C:C)</f>
        <v>85499</v>
      </c>
      <c r="M615" t="s">
        <v>20</v>
      </c>
    </row>
    <row r="616" spans="1:13" x14ac:dyDescent="0.3">
      <c r="A616">
        <v>615</v>
      </c>
      <c r="B616" t="s">
        <v>1281</v>
      </c>
      <c r="C616" s="3">
        <v>48183</v>
      </c>
      <c r="D616" t="s">
        <v>666</v>
      </c>
      <c r="E616">
        <v>47</v>
      </c>
      <c r="F616" s="1">
        <v>45380</v>
      </c>
      <c r="G616" s="1" t="str">
        <f>TEXT(Table1[[#This Row],[Enrollment date]], "mmm")</f>
        <v>Mar</v>
      </c>
      <c r="H616" t="s">
        <v>360</v>
      </c>
      <c r="I616" t="s">
        <v>660</v>
      </c>
      <c r="J616" t="str">
        <f>_xlfn.XLOOKUP(Table1[[#This Row],[Course ]], CCF!B:B, CCF!A:A)</f>
        <v>DA202</v>
      </c>
      <c r="K616" t="s">
        <v>363</v>
      </c>
      <c r="L616">
        <f>_xlfn.XLOOKUP(K616, CCF!B:B, CCF!C:C)</f>
        <v>79999</v>
      </c>
      <c r="M616" t="s">
        <v>396</v>
      </c>
    </row>
    <row r="617" spans="1:13" x14ac:dyDescent="0.3">
      <c r="A617">
        <v>616</v>
      </c>
      <c r="B617" t="s">
        <v>1282</v>
      </c>
      <c r="C617" s="3">
        <v>37122</v>
      </c>
      <c r="D617" t="s">
        <v>666</v>
      </c>
      <c r="E617">
        <v>62</v>
      </c>
      <c r="F617" s="1">
        <v>45380</v>
      </c>
      <c r="G617" s="1" t="str">
        <f>TEXT(Table1[[#This Row],[Enrollment date]], "mmm")</f>
        <v>Mar</v>
      </c>
      <c r="H617" t="s">
        <v>360</v>
      </c>
      <c r="I617" t="s">
        <v>663</v>
      </c>
      <c r="J617" t="str">
        <f>_xlfn.XLOOKUP(Table1[[#This Row],[Course ]], CCF!B:B, CCF!A:A)</f>
        <v>BA301</v>
      </c>
      <c r="K617" t="s">
        <v>364</v>
      </c>
      <c r="L617">
        <f>_xlfn.XLOOKUP(K617, CCF!B:B, CCF!C:C)</f>
        <v>59999</v>
      </c>
      <c r="M617" t="s">
        <v>7</v>
      </c>
    </row>
    <row r="618" spans="1:13" x14ac:dyDescent="0.3">
      <c r="A618">
        <v>617</v>
      </c>
      <c r="B618" t="s">
        <v>1283</v>
      </c>
      <c r="C618" s="3">
        <v>92426</v>
      </c>
      <c r="D618" t="s">
        <v>667</v>
      </c>
      <c r="E618">
        <v>46</v>
      </c>
      <c r="F618" s="1">
        <v>45380</v>
      </c>
      <c r="G618" s="1" t="str">
        <f>TEXT(Table1[[#This Row],[Enrollment date]], "mmm")</f>
        <v>Mar</v>
      </c>
      <c r="H618" t="s">
        <v>361</v>
      </c>
      <c r="I618" t="s">
        <v>659</v>
      </c>
      <c r="J618" t="str">
        <f>_xlfn.XLOOKUP(Table1[[#This Row],[Course ]], CCF!B:B, CCF!A:A)</f>
        <v>DA202</v>
      </c>
      <c r="K618" t="s">
        <v>363</v>
      </c>
      <c r="L618">
        <f>_xlfn.XLOOKUP(K618, CCF!B:B, CCF!C:C)</f>
        <v>79999</v>
      </c>
      <c r="M618" t="s">
        <v>339</v>
      </c>
    </row>
    <row r="619" spans="1:13" x14ac:dyDescent="0.3">
      <c r="A619">
        <v>618</v>
      </c>
      <c r="B619" t="s">
        <v>1284</v>
      </c>
      <c r="C619" s="3">
        <v>75286</v>
      </c>
      <c r="D619" t="s">
        <v>666</v>
      </c>
      <c r="E619">
        <v>72</v>
      </c>
      <c r="F619" s="1">
        <v>45380</v>
      </c>
      <c r="G619" s="1" t="str">
        <f>TEXT(Table1[[#This Row],[Enrollment date]], "mmm")</f>
        <v>Mar</v>
      </c>
      <c r="H619" t="s">
        <v>360</v>
      </c>
      <c r="I619" t="s">
        <v>660</v>
      </c>
      <c r="J619" t="str">
        <f>_xlfn.XLOOKUP(Table1[[#This Row],[Course ]], CCF!B:B, CCF!A:A)</f>
        <v>DM101</v>
      </c>
      <c r="K619" t="s">
        <v>365</v>
      </c>
      <c r="L619">
        <f>_xlfn.XLOOKUP(K619, CCF!B:B, CCF!C:C)</f>
        <v>85499</v>
      </c>
      <c r="M619" t="s">
        <v>20</v>
      </c>
    </row>
    <row r="620" spans="1:13" x14ac:dyDescent="0.3">
      <c r="A620">
        <v>619</v>
      </c>
      <c r="B620" t="s">
        <v>1285</v>
      </c>
      <c r="C620" s="3">
        <v>38743</v>
      </c>
      <c r="D620" t="s">
        <v>667</v>
      </c>
      <c r="E620">
        <v>68</v>
      </c>
      <c r="F620" s="1">
        <v>45381</v>
      </c>
      <c r="G620" s="1" t="str">
        <f>TEXT(Table1[[#This Row],[Enrollment date]], "mmm")</f>
        <v>Mar</v>
      </c>
      <c r="H620" t="s">
        <v>360</v>
      </c>
      <c r="I620" t="s">
        <v>660</v>
      </c>
      <c r="J620" t="str">
        <f>_xlfn.XLOOKUP(Table1[[#This Row],[Course ]], CCF!B:B, CCF!A:A)</f>
        <v>DM101</v>
      </c>
      <c r="K620" t="s">
        <v>365</v>
      </c>
      <c r="L620">
        <f>_xlfn.XLOOKUP(K620, CCF!B:B, CCF!C:C)</f>
        <v>85499</v>
      </c>
      <c r="M620" t="s">
        <v>20</v>
      </c>
    </row>
    <row r="621" spans="1:13" x14ac:dyDescent="0.3">
      <c r="A621">
        <v>620</v>
      </c>
      <c r="B621" t="s">
        <v>1286</v>
      </c>
      <c r="C621" s="3">
        <v>50160</v>
      </c>
      <c r="D621" t="s">
        <v>667</v>
      </c>
      <c r="E621">
        <v>39</v>
      </c>
      <c r="F621" s="1">
        <v>45381</v>
      </c>
      <c r="G621" s="1" t="str">
        <f>TEXT(Table1[[#This Row],[Enrollment date]], "mmm")</f>
        <v>Mar</v>
      </c>
      <c r="H621" t="s">
        <v>360</v>
      </c>
      <c r="I621" t="s">
        <v>659</v>
      </c>
      <c r="J621" t="str">
        <f>_xlfn.XLOOKUP(Table1[[#This Row],[Course ]], CCF!B:B, CCF!A:A)</f>
        <v>DA202</v>
      </c>
      <c r="K621" t="s">
        <v>363</v>
      </c>
      <c r="L621">
        <f>_xlfn.XLOOKUP(K621, CCF!B:B, CCF!C:C)</f>
        <v>79999</v>
      </c>
      <c r="M621" t="s">
        <v>28</v>
      </c>
    </row>
    <row r="622" spans="1:13" x14ac:dyDescent="0.3">
      <c r="A622">
        <v>621</v>
      </c>
      <c r="B622" t="s">
        <v>1287</v>
      </c>
      <c r="C622" s="3">
        <v>27546</v>
      </c>
      <c r="D622" t="s">
        <v>666</v>
      </c>
      <c r="E622">
        <v>40</v>
      </c>
      <c r="F622" s="1">
        <v>45381</v>
      </c>
      <c r="G622" s="1" t="str">
        <f>TEXT(Table1[[#This Row],[Enrollment date]], "mmm")</f>
        <v>Mar</v>
      </c>
      <c r="H622" t="s">
        <v>360</v>
      </c>
      <c r="I622" t="s">
        <v>664</v>
      </c>
      <c r="J622" t="str">
        <f>_xlfn.XLOOKUP(Table1[[#This Row],[Course ]], CCF!B:B, CCF!A:A)</f>
        <v>DM101</v>
      </c>
      <c r="K622" t="s">
        <v>365</v>
      </c>
      <c r="L622">
        <f>_xlfn.XLOOKUP(K622, CCF!B:B, CCF!C:C)</f>
        <v>85499</v>
      </c>
      <c r="M622" t="s">
        <v>27</v>
      </c>
    </row>
    <row r="623" spans="1:13" x14ac:dyDescent="0.3">
      <c r="A623">
        <v>622</v>
      </c>
      <c r="B623" t="s">
        <v>1288</v>
      </c>
      <c r="C623" s="3">
        <v>85572</v>
      </c>
      <c r="D623" t="s">
        <v>667</v>
      </c>
      <c r="E623">
        <v>28</v>
      </c>
      <c r="F623" s="1">
        <v>45381</v>
      </c>
      <c r="G623" s="1" t="str">
        <f>TEXT(Table1[[#This Row],[Enrollment date]], "mmm")</f>
        <v>Mar</v>
      </c>
      <c r="H623" t="s">
        <v>360</v>
      </c>
      <c r="I623" t="s">
        <v>660</v>
      </c>
      <c r="J623" t="str">
        <f>_xlfn.XLOOKUP(Table1[[#This Row],[Course ]], CCF!B:B, CCF!A:A)</f>
        <v>DM101</v>
      </c>
      <c r="K623" t="s">
        <v>365</v>
      </c>
      <c r="L623">
        <f>_xlfn.XLOOKUP(K623, CCF!B:B, CCF!C:C)</f>
        <v>85499</v>
      </c>
      <c r="M623" t="s">
        <v>449</v>
      </c>
    </row>
    <row r="624" spans="1:13" x14ac:dyDescent="0.3">
      <c r="A624">
        <v>623</v>
      </c>
      <c r="B624" t="s">
        <v>1289</v>
      </c>
      <c r="C624" s="3">
        <v>68336</v>
      </c>
      <c r="D624" t="s">
        <v>666</v>
      </c>
      <c r="E624">
        <v>26</v>
      </c>
      <c r="F624" s="1">
        <v>45381</v>
      </c>
      <c r="G624" s="1" t="str">
        <f>TEXT(Table1[[#This Row],[Enrollment date]], "mmm")</f>
        <v>Mar</v>
      </c>
      <c r="H624" t="s">
        <v>360</v>
      </c>
      <c r="I624" t="s">
        <v>660</v>
      </c>
      <c r="J624" t="str">
        <f>_xlfn.XLOOKUP(Table1[[#This Row],[Course ]], CCF!B:B, CCF!A:A)</f>
        <v>DM101</v>
      </c>
      <c r="K624" t="s">
        <v>365</v>
      </c>
      <c r="L624">
        <f>_xlfn.XLOOKUP(K624, CCF!B:B, CCF!C:C)</f>
        <v>85499</v>
      </c>
      <c r="M624" t="s">
        <v>280</v>
      </c>
    </row>
    <row r="625" spans="1:13" x14ac:dyDescent="0.3">
      <c r="A625">
        <v>624</v>
      </c>
      <c r="B625" t="s">
        <v>1290</v>
      </c>
      <c r="C625" s="3">
        <v>14604</v>
      </c>
      <c r="D625" t="s">
        <v>666</v>
      </c>
      <c r="E625">
        <v>40</v>
      </c>
      <c r="F625" s="1">
        <v>45381</v>
      </c>
      <c r="G625" s="1" t="str">
        <f>TEXT(Table1[[#This Row],[Enrollment date]], "mmm")</f>
        <v>Mar</v>
      </c>
      <c r="H625" t="s">
        <v>360</v>
      </c>
      <c r="I625" t="s">
        <v>659</v>
      </c>
      <c r="J625" t="str">
        <f>_xlfn.XLOOKUP(Table1[[#This Row],[Course ]], CCF!B:B, CCF!A:A)</f>
        <v>FSD103</v>
      </c>
      <c r="K625" t="s">
        <v>366</v>
      </c>
      <c r="L625">
        <f>_xlfn.XLOOKUP(K625, CCF!B:B, CCF!C:C)</f>
        <v>109990</v>
      </c>
      <c r="M625" t="s">
        <v>450</v>
      </c>
    </row>
    <row r="626" spans="1:13" x14ac:dyDescent="0.3">
      <c r="A626">
        <v>625</v>
      </c>
      <c r="B626" t="s">
        <v>1291</v>
      </c>
      <c r="C626" s="3">
        <v>20441</v>
      </c>
      <c r="D626" t="s">
        <v>666</v>
      </c>
      <c r="E626">
        <v>46</v>
      </c>
      <c r="F626" s="1">
        <v>45381</v>
      </c>
      <c r="G626" s="1" t="str">
        <f>TEXT(Table1[[#This Row],[Enrollment date]], "mmm")</f>
        <v>Mar</v>
      </c>
      <c r="H626" t="s">
        <v>360</v>
      </c>
      <c r="I626" t="s">
        <v>660</v>
      </c>
      <c r="J626" t="str">
        <f>_xlfn.XLOOKUP(Table1[[#This Row],[Course ]], CCF!B:B, CCF!A:A)</f>
        <v>DA202</v>
      </c>
      <c r="K626" t="s">
        <v>363</v>
      </c>
      <c r="L626">
        <f>_xlfn.XLOOKUP(K626, CCF!B:B, CCF!C:C)</f>
        <v>79999</v>
      </c>
      <c r="M626" t="s">
        <v>91</v>
      </c>
    </row>
    <row r="627" spans="1:13" x14ac:dyDescent="0.3">
      <c r="A627">
        <v>626</v>
      </c>
      <c r="B627" t="s">
        <v>1292</v>
      </c>
      <c r="C627" s="3">
        <v>28180</v>
      </c>
      <c r="D627" t="s">
        <v>666</v>
      </c>
      <c r="E627">
        <v>18</v>
      </c>
      <c r="F627" s="1">
        <v>45381</v>
      </c>
      <c r="G627" s="1" t="str">
        <f>TEXT(Table1[[#This Row],[Enrollment date]], "mmm")</f>
        <v>Mar</v>
      </c>
      <c r="H627" t="s">
        <v>360</v>
      </c>
      <c r="I627" t="s">
        <v>660</v>
      </c>
      <c r="J627" t="str">
        <f>_xlfn.XLOOKUP(Table1[[#This Row],[Course ]], CCF!B:B, CCF!A:A)</f>
        <v>FSD103</v>
      </c>
      <c r="K627" t="s">
        <v>366</v>
      </c>
      <c r="L627">
        <f>_xlfn.XLOOKUP(K627, CCF!B:B, CCF!C:C)</f>
        <v>109990</v>
      </c>
      <c r="M627" t="s">
        <v>451</v>
      </c>
    </row>
    <row r="628" spans="1:13" x14ac:dyDescent="0.3">
      <c r="A628">
        <v>627</v>
      </c>
      <c r="B628" t="s">
        <v>1293</v>
      </c>
      <c r="C628" s="3">
        <v>37210</v>
      </c>
      <c r="D628" t="s">
        <v>667</v>
      </c>
      <c r="E628">
        <v>59</v>
      </c>
      <c r="F628" s="1">
        <v>45381</v>
      </c>
      <c r="G628" s="1" t="str">
        <f>TEXT(Table1[[#This Row],[Enrollment date]], "mmm")</f>
        <v>Mar</v>
      </c>
      <c r="H628" t="s">
        <v>360</v>
      </c>
      <c r="I628" t="s">
        <v>660</v>
      </c>
      <c r="J628" t="str">
        <f>_xlfn.XLOOKUP(Table1[[#This Row],[Course ]], CCF!B:B, CCF!A:A)</f>
        <v>BA301</v>
      </c>
      <c r="K628" t="s">
        <v>364</v>
      </c>
      <c r="L628">
        <f>_xlfn.XLOOKUP(K628, CCF!B:B, CCF!C:C)</f>
        <v>59999</v>
      </c>
      <c r="M628" t="s">
        <v>269</v>
      </c>
    </row>
    <row r="629" spans="1:13" x14ac:dyDescent="0.3">
      <c r="A629">
        <v>628</v>
      </c>
      <c r="B629" t="s">
        <v>1294</v>
      </c>
      <c r="C629" s="3">
        <v>59788</v>
      </c>
      <c r="D629" t="s">
        <v>666</v>
      </c>
      <c r="E629">
        <v>49</v>
      </c>
      <c r="F629" s="1">
        <v>45381</v>
      </c>
      <c r="G629" s="1" t="str">
        <f>TEXT(Table1[[#This Row],[Enrollment date]], "mmm")</f>
        <v>Mar</v>
      </c>
      <c r="H629" t="s">
        <v>360</v>
      </c>
      <c r="I629" t="s">
        <v>664</v>
      </c>
      <c r="J629" t="str">
        <f>_xlfn.XLOOKUP(Table1[[#This Row],[Course ]], CCF!B:B, CCF!A:A)</f>
        <v>FSD103</v>
      </c>
      <c r="K629" t="s">
        <v>366</v>
      </c>
      <c r="L629">
        <f>_xlfn.XLOOKUP(K629, CCF!B:B, CCF!C:C)</f>
        <v>109990</v>
      </c>
      <c r="M629" t="s">
        <v>452</v>
      </c>
    </row>
    <row r="630" spans="1:13" x14ac:dyDescent="0.3">
      <c r="A630">
        <v>629</v>
      </c>
      <c r="B630" t="s">
        <v>1295</v>
      </c>
      <c r="C630" s="3">
        <v>31778</v>
      </c>
      <c r="D630" t="s">
        <v>667</v>
      </c>
      <c r="E630">
        <v>67</v>
      </c>
      <c r="F630" s="1">
        <v>45381</v>
      </c>
      <c r="G630" s="1" t="str">
        <f>TEXT(Table1[[#This Row],[Enrollment date]], "mmm")</f>
        <v>Mar</v>
      </c>
      <c r="H630" t="s">
        <v>360</v>
      </c>
      <c r="I630" t="s">
        <v>661</v>
      </c>
      <c r="J630" t="str">
        <f>_xlfn.XLOOKUP(Table1[[#This Row],[Course ]], CCF!B:B, CCF!A:A)</f>
        <v>DA202</v>
      </c>
      <c r="K630" t="s">
        <v>363</v>
      </c>
      <c r="L630">
        <f>_xlfn.XLOOKUP(K630, CCF!B:B, CCF!C:C)</f>
        <v>79999</v>
      </c>
      <c r="M630" t="s">
        <v>148</v>
      </c>
    </row>
    <row r="631" spans="1:13" x14ac:dyDescent="0.3">
      <c r="A631">
        <v>630</v>
      </c>
      <c r="B631" t="s">
        <v>1296</v>
      </c>
      <c r="C631" s="3">
        <v>96693</v>
      </c>
      <c r="D631" t="s">
        <v>667</v>
      </c>
      <c r="E631">
        <v>51</v>
      </c>
      <c r="F631" s="1">
        <v>45382</v>
      </c>
      <c r="G631" s="1" t="str">
        <f>TEXT(Table1[[#This Row],[Enrollment date]], "mmm")</f>
        <v>Mar</v>
      </c>
      <c r="H631" t="s">
        <v>360</v>
      </c>
      <c r="I631" t="s">
        <v>660</v>
      </c>
      <c r="J631" t="str">
        <f>_xlfn.XLOOKUP(Table1[[#This Row],[Course ]], CCF!B:B, CCF!A:A)</f>
        <v>DA202</v>
      </c>
      <c r="K631" t="s">
        <v>363</v>
      </c>
      <c r="L631">
        <f>_xlfn.XLOOKUP(K631, CCF!B:B, CCF!C:C)</f>
        <v>79999</v>
      </c>
      <c r="M631" t="s">
        <v>181</v>
      </c>
    </row>
    <row r="632" spans="1:13" x14ac:dyDescent="0.3">
      <c r="A632">
        <v>631</v>
      </c>
      <c r="B632" t="s">
        <v>1297</v>
      </c>
      <c r="C632" s="3">
        <v>31018</v>
      </c>
      <c r="D632" t="s">
        <v>666</v>
      </c>
      <c r="E632">
        <v>40</v>
      </c>
      <c r="F632" s="1">
        <v>45382</v>
      </c>
      <c r="G632" s="1" t="str">
        <f>TEXT(Table1[[#This Row],[Enrollment date]], "mmm")</f>
        <v>Mar</v>
      </c>
      <c r="H632" t="s">
        <v>360</v>
      </c>
      <c r="I632" t="s">
        <v>663</v>
      </c>
      <c r="J632" t="str">
        <f>_xlfn.XLOOKUP(Table1[[#This Row],[Course ]], CCF!B:B, CCF!A:A)</f>
        <v>FSD103</v>
      </c>
      <c r="K632" t="s">
        <v>366</v>
      </c>
      <c r="L632">
        <f>_xlfn.XLOOKUP(K632, CCF!B:B, CCF!C:C)</f>
        <v>109990</v>
      </c>
      <c r="M632" t="s">
        <v>20</v>
      </c>
    </row>
    <row r="633" spans="1:13" x14ac:dyDescent="0.3">
      <c r="A633">
        <v>632</v>
      </c>
      <c r="B633" t="s">
        <v>1298</v>
      </c>
      <c r="C633" s="3">
        <v>57687</v>
      </c>
      <c r="D633" t="s">
        <v>666</v>
      </c>
      <c r="E633">
        <v>25</v>
      </c>
      <c r="F633" s="1">
        <v>45382</v>
      </c>
      <c r="G633" s="1" t="str">
        <f>TEXT(Table1[[#This Row],[Enrollment date]], "mmm")</f>
        <v>Mar</v>
      </c>
      <c r="H633" t="s">
        <v>360</v>
      </c>
      <c r="I633" t="s">
        <v>660</v>
      </c>
      <c r="J633" t="str">
        <f>_xlfn.XLOOKUP(Table1[[#This Row],[Course ]], CCF!B:B, CCF!A:A)</f>
        <v>DM101</v>
      </c>
      <c r="K633" t="s">
        <v>365</v>
      </c>
      <c r="L633">
        <f>_xlfn.XLOOKUP(K633, CCF!B:B, CCF!C:C)</f>
        <v>85499</v>
      </c>
      <c r="M633" t="s">
        <v>317</v>
      </c>
    </row>
    <row r="634" spans="1:13" x14ac:dyDescent="0.3">
      <c r="A634">
        <v>633</v>
      </c>
      <c r="B634" t="s">
        <v>1299</v>
      </c>
      <c r="C634" s="3">
        <v>25410</v>
      </c>
      <c r="D634" t="s">
        <v>666</v>
      </c>
      <c r="E634">
        <v>43</v>
      </c>
      <c r="F634" s="1">
        <v>45382</v>
      </c>
      <c r="G634" s="1" t="str">
        <f>TEXT(Table1[[#This Row],[Enrollment date]], "mmm")</f>
        <v>Mar</v>
      </c>
      <c r="H634" t="s">
        <v>360</v>
      </c>
      <c r="I634" t="s">
        <v>660</v>
      </c>
      <c r="J634" t="str">
        <f>_xlfn.XLOOKUP(Table1[[#This Row],[Course ]], CCF!B:B, CCF!A:A)</f>
        <v>DM101</v>
      </c>
      <c r="K634" t="s">
        <v>365</v>
      </c>
      <c r="L634">
        <f>_xlfn.XLOOKUP(K634, CCF!B:B, CCF!C:C)</f>
        <v>85499</v>
      </c>
      <c r="M634" t="s">
        <v>30</v>
      </c>
    </row>
    <row r="635" spans="1:13" x14ac:dyDescent="0.3">
      <c r="A635">
        <v>634</v>
      </c>
      <c r="B635" t="s">
        <v>1300</v>
      </c>
      <c r="C635" s="3">
        <v>96812</v>
      </c>
      <c r="D635" t="s">
        <v>666</v>
      </c>
      <c r="E635">
        <v>45</v>
      </c>
      <c r="F635" s="1">
        <v>45382</v>
      </c>
      <c r="G635" s="1" t="str">
        <f>TEXT(Table1[[#This Row],[Enrollment date]], "mmm")</f>
        <v>Mar</v>
      </c>
      <c r="H635" t="s">
        <v>360</v>
      </c>
      <c r="I635" t="s">
        <v>662</v>
      </c>
      <c r="J635" t="str">
        <f>_xlfn.XLOOKUP(Table1[[#This Row],[Course ]], CCF!B:B, CCF!A:A)</f>
        <v>DA202</v>
      </c>
      <c r="K635" t="s">
        <v>363</v>
      </c>
      <c r="L635">
        <f>_xlfn.XLOOKUP(K635, CCF!B:B, CCF!C:C)</f>
        <v>79999</v>
      </c>
      <c r="M635" t="s">
        <v>453</v>
      </c>
    </row>
    <row r="636" spans="1:13" x14ac:dyDescent="0.3">
      <c r="A636">
        <v>635</v>
      </c>
      <c r="B636" t="s">
        <v>1301</v>
      </c>
      <c r="C636" s="3">
        <v>65470</v>
      </c>
      <c r="D636" t="s">
        <v>666</v>
      </c>
      <c r="E636">
        <v>44</v>
      </c>
      <c r="F636" s="1">
        <v>45382</v>
      </c>
      <c r="G636" s="1" t="str">
        <f>TEXT(Table1[[#This Row],[Enrollment date]], "mmm")</f>
        <v>Mar</v>
      </c>
      <c r="H636" t="s">
        <v>3</v>
      </c>
      <c r="I636" t="s">
        <v>660</v>
      </c>
      <c r="J636" t="str">
        <f>_xlfn.XLOOKUP(Table1[[#This Row],[Course ]], CCF!B:B, CCF!A:A)</f>
        <v>DM101</v>
      </c>
      <c r="K636" t="s">
        <v>365</v>
      </c>
      <c r="L636">
        <f>_xlfn.XLOOKUP(K636, CCF!B:B, CCF!C:C)</f>
        <v>85499</v>
      </c>
      <c r="M636" t="s">
        <v>160</v>
      </c>
    </row>
    <row r="637" spans="1:13" x14ac:dyDescent="0.3">
      <c r="A637">
        <v>636</v>
      </c>
      <c r="B637" t="s">
        <v>1302</v>
      </c>
      <c r="C637" s="3">
        <v>45168</v>
      </c>
      <c r="D637" t="s">
        <v>666</v>
      </c>
      <c r="E637">
        <v>59</v>
      </c>
      <c r="F637" s="1">
        <v>45382</v>
      </c>
      <c r="G637" s="1" t="str">
        <f>TEXT(Table1[[#This Row],[Enrollment date]], "mmm")</f>
        <v>Mar</v>
      </c>
      <c r="H637" t="s">
        <v>360</v>
      </c>
      <c r="I637" t="s">
        <v>660</v>
      </c>
      <c r="J637" t="str">
        <f>_xlfn.XLOOKUP(Table1[[#This Row],[Course ]], CCF!B:B, CCF!A:A)</f>
        <v>FSD103</v>
      </c>
      <c r="K637" t="s">
        <v>366</v>
      </c>
      <c r="L637">
        <f>_xlfn.XLOOKUP(K637, CCF!B:B, CCF!C:C)</f>
        <v>109990</v>
      </c>
      <c r="M637" t="s">
        <v>20</v>
      </c>
    </row>
    <row r="638" spans="1:13" x14ac:dyDescent="0.3">
      <c r="A638">
        <v>637</v>
      </c>
      <c r="B638" t="s">
        <v>1303</v>
      </c>
      <c r="C638" s="3">
        <v>26512</v>
      </c>
      <c r="D638" t="s">
        <v>666</v>
      </c>
      <c r="E638">
        <v>25</v>
      </c>
      <c r="F638" s="1">
        <v>45382</v>
      </c>
      <c r="G638" s="1" t="str">
        <f>TEXT(Table1[[#This Row],[Enrollment date]], "mmm")</f>
        <v>Mar</v>
      </c>
      <c r="H638" t="s">
        <v>360</v>
      </c>
      <c r="I638" t="s">
        <v>663</v>
      </c>
      <c r="J638" t="str">
        <f>_xlfn.XLOOKUP(Table1[[#This Row],[Course ]], CCF!B:B, CCF!A:A)</f>
        <v>FSD103</v>
      </c>
      <c r="K638" t="s">
        <v>366</v>
      </c>
      <c r="L638">
        <f>_xlfn.XLOOKUP(K638, CCF!B:B, CCF!C:C)</f>
        <v>109990</v>
      </c>
      <c r="M638" t="s">
        <v>16</v>
      </c>
    </row>
    <row r="639" spans="1:13" x14ac:dyDescent="0.3">
      <c r="A639">
        <v>638</v>
      </c>
      <c r="B639" t="s">
        <v>1304</v>
      </c>
      <c r="C639" s="3">
        <v>41918</v>
      </c>
      <c r="D639" t="s">
        <v>666</v>
      </c>
      <c r="E639">
        <v>51</v>
      </c>
      <c r="F639" s="1">
        <v>45383</v>
      </c>
      <c r="G639" s="1" t="str">
        <f>TEXT(Table1[[#This Row],[Enrollment date]], "mmm")</f>
        <v>Apr</v>
      </c>
      <c r="H639" t="s">
        <v>360</v>
      </c>
      <c r="I639" t="s">
        <v>659</v>
      </c>
      <c r="J639" t="str">
        <f>_xlfn.XLOOKUP(Table1[[#This Row],[Course ]], CCF!B:B, CCF!A:A)</f>
        <v>BA301</v>
      </c>
      <c r="K639" t="s">
        <v>364</v>
      </c>
      <c r="L639">
        <f>_xlfn.XLOOKUP(K639, CCF!B:B, CCF!C:C)</f>
        <v>59999</v>
      </c>
      <c r="M639" t="s">
        <v>16</v>
      </c>
    </row>
    <row r="640" spans="1:13" x14ac:dyDescent="0.3">
      <c r="A640">
        <v>639</v>
      </c>
      <c r="B640" t="s">
        <v>1305</v>
      </c>
      <c r="C640" s="3">
        <v>90397</v>
      </c>
      <c r="D640" t="s">
        <v>666</v>
      </c>
      <c r="E640">
        <v>59</v>
      </c>
      <c r="F640" s="1">
        <v>45383</v>
      </c>
      <c r="G640" s="1" t="str">
        <f>TEXT(Table1[[#This Row],[Enrollment date]], "mmm")</f>
        <v>Apr</v>
      </c>
      <c r="H640" t="s">
        <v>360</v>
      </c>
      <c r="I640" t="s">
        <v>661</v>
      </c>
      <c r="J640" t="str">
        <f>_xlfn.XLOOKUP(Table1[[#This Row],[Course ]], CCF!B:B, CCF!A:A)</f>
        <v>BA301</v>
      </c>
      <c r="K640" t="s">
        <v>364</v>
      </c>
      <c r="L640">
        <f>_xlfn.XLOOKUP(K640, CCF!B:B, CCF!C:C)</f>
        <v>59999</v>
      </c>
      <c r="M640" t="s">
        <v>50</v>
      </c>
    </row>
    <row r="641" spans="1:13" x14ac:dyDescent="0.3">
      <c r="A641">
        <v>640</v>
      </c>
      <c r="B641" t="s">
        <v>1306</v>
      </c>
      <c r="C641" s="3">
        <v>68473</v>
      </c>
      <c r="D641" t="s">
        <v>666</v>
      </c>
      <c r="E641">
        <v>36</v>
      </c>
      <c r="F641" s="1">
        <v>45383</v>
      </c>
      <c r="G641" s="1" t="str">
        <f>TEXT(Table1[[#This Row],[Enrollment date]], "mmm")</f>
        <v>Apr</v>
      </c>
      <c r="H641" t="s">
        <v>360</v>
      </c>
      <c r="I641" t="s">
        <v>660</v>
      </c>
      <c r="J641" t="str">
        <f>_xlfn.XLOOKUP(Table1[[#This Row],[Course ]], CCF!B:B, CCF!A:A)</f>
        <v>DA202</v>
      </c>
      <c r="K641" t="s">
        <v>363</v>
      </c>
      <c r="L641">
        <f>_xlfn.XLOOKUP(K641, CCF!B:B, CCF!C:C)</f>
        <v>79999</v>
      </c>
      <c r="M641" t="s">
        <v>177</v>
      </c>
    </row>
    <row r="642" spans="1:13" x14ac:dyDescent="0.3">
      <c r="A642">
        <v>641</v>
      </c>
      <c r="B642" t="s">
        <v>1307</v>
      </c>
      <c r="C642" s="3">
        <v>42817</v>
      </c>
      <c r="D642" t="s">
        <v>667</v>
      </c>
      <c r="E642">
        <v>27</v>
      </c>
      <c r="F642" s="1">
        <v>45383</v>
      </c>
      <c r="G642" s="1" t="str">
        <f>TEXT(Table1[[#This Row],[Enrollment date]], "mmm")</f>
        <v>Apr</v>
      </c>
      <c r="H642" t="s">
        <v>360</v>
      </c>
      <c r="I642" t="s">
        <v>660</v>
      </c>
      <c r="J642" t="str">
        <f>_xlfn.XLOOKUP(Table1[[#This Row],[Course ]], CCF!B:B, CCF!A:A)</f>
        <v>DM101</v>
      </c>
      <c r="K642" t="s">
        <v>365</v>
      </c>
      <c r="L642">
        <f>_xlfn.XLOOKUP(K642, CCF!B:B, CCF!C:C)</f>
        <v>85499</v>
      </c>
      <c r="M642" t="s">
        <v>9</v>
      </c>
    </row>
    <row r="643" spans="1:13" x14ac:dyDescent="0.3">
      <c r="A643">
        <v>642</v>
      </c>
      <c r="B643" t="s">
        <v>1308</v>
      </c>
      <c r="C643" s="3">
        <v>60250</v>
      </c>
      <c r="D643" t="s">
        <v>666</v>
      </c>
      <c r="E643">
        <v>32</v>
      </c>
      <c r="F643" s="1">
        <v>45383</v>
      </c>
      <c r="G643" s="1" t="str">
        <f>TEXT(Table1[[#This Row],[Enrollment date]], "mmm")</f>
        <v>Apr</v>
      </c>
      <c r="H643" t="s">
        <v>360</v>
      </c>
      <c r="I643" t="s">
        <v>659</v>
      </c>
      <c r="J643" t="str">
        <f>_xlfn.XLOOKUP(Table1[[#This Row],[Course ]], CCF!B:B, CCF!A:A)</f>
        <v>DM101</v>
      </c>
      <c r="K643" t="s">
        <v>365</v>
      </c>
      <c r="L643">
        <f>_xlfn.XLOOKUP(K643, CCF!B:B, CCF!C:C)</f>
        <v>85499</v>
      </c>
      <c r="M643" t="s">
        <v>27</v>
      </c>
    </row>
    <row r="644" spans="1:13" x14ac:dyDescent="0.3">
      <c r="A644">
        <v>643</v>
      </c>
      <c r="B644" t="s">
        <v>1309</v>
      </c>
      <c r="C644" s="3">
        <v>84689</v>
      </c>
      <c r="D644" t="s">
        <v>667</v>
      </c>
      <c r="E644">
        <v>46</v>
      </c>
      <c r="F644" s="1">
        <v>45383</v>
      </c>
      <c r="G644" s="1" t="str">
        <f>TEXT(Table1[[#This Row],[Enrollment date]], "mmm")</f>
        <v>Apr</v>
      </c>
      <c r="H644" t="s">
        <v>360</v>
      </c>
      <c r="I644" t="s">
        <v>660</v>
      </c>
      <c r="J644" t="str">
        <f>_xlfn.XLOOKUP(Table1[[#This Row],[Course ]], CCF!B:B, CCF!A:A)</f>
        <v>DA202</v>
      </c>
      <c r="K644" t="s">
        <v>363</v>
      </c>
      <c r="L644">
        <f>_xlfn.XLOOKUP(K644, CCF!B:B, CCF!C:C)</f>
        <v>79999</v>
      </c>
      <c r="M644" t="s">
        <v>454</v>
      </c>
    </row>
    <row r="645" spans="1:13" x14ac:dyDescent="0.3">
      <c r="A645">
        <v>644</v>
      </c>
      <c r="B645" t="s">
        <v>1310</v>
      </c>
      <c r="C645" s="3">
        <v>97554</v>
      </c>
      <c r="D645" t="s">
        <v>667</v>
      </c>
      <c r="E645">
        <v>55</v>
      </c>
      <c r="F645" s="1">
        <v>45383</v>
      </c>
      <c r="G645" s="1" t="str">
        <f>TEXT(Table1[[#This Row],[Enrollment date]], "mmm")</f>
        <v>Apr</v>
      </c>
      <c r="H645" t="s">
        <v>3</v>
      </c>
      <c r="I645" t="s">
        <v>659</v>
      </c>
      <c r="J645" t="str">
        <f>_xlfn.XLOOKUP(Table1[[#This Row],[Course ]], CCF!B:B, CCF!A:A)</f>
        <v>DA202</v>
      </c>
      <c r="K645" t="s">
        <v>363</v>
      </c>
      <c r="L645">
        <f>_xlfn.XLOOKUP(K645, CCF!B:B, CCF!C:C)</f>
        <v>79999</v>
      </c>
      <c r="M645" t="s">
        <v>83</v>
      </c>
    </row>
    <row r="646" spans="1:13" x14ac:dyDescent="0.3">
      <c r="A646">
        <v>645</v>
      </c>
      <c r="B646" t="s">
        <v>1311</v>
      </c>
      <c r="C646" s="3">
        <v>29216</v>
      </c>
      <c r="D646" t="s">
        <v>666</v>
      </c>
      <c r="E646">
        <v>22</v>
      </c>
      <c r="F646" s="1">
        <v>45383</v>
      </c>
      <c r="G646" s="1" t="str">
        <f>TEXT(Table1[[#This Row],[Enrollment date]], "mmm")</f>
        <v>Apr</v>
      </c>
      <c r="H646" t="s">
        <v>360</v>
      </c>
      <c r="I646" t="s">
        <v>661</v>
      </c>
      <c r="J646" t="str">
        <f>_xlfn.XLOOKUP(Table1[[#This Row],[Course ]], CCF!B:B, CCF!A:A)</f>
        <v>CC002</v>
      </c>
      <c r="K646" t="s">
        <v>658</v>
      </c>
      <c r="L646">
        <f>_xlfn.XLOOKUP(K646, CCF!B:B, CCF!C:C)</f>
        <v>99990</v>
      </c>
      <c r="M646" t="s">
        <v>29</v>
      </c>
    </row>
    <row r="647" spans="1:13" x14ac:dyDescent="0.3">
      <c r="A647">
        <v>646</v>
      </c>
      <c r="B647" t="s">
        <v>1312</v>
      </c>
      <c r="C647" s="3">
        <v>72916</v>
      </c>
      <c r="D647" t="s">
        <v>666</v>
      </c>
      <c r="E647">
        <v>40</v>
      </c>
      <c r="F647" s="1">
        <v>45384</v>
      </c>
      <c r="G647" s="1" t="str">
        <f>TEXT(Table1[[#This Row],[Enrollment date]], "mmm")</f>
        <v>Apr</v>
      </c>
      <c r="H647" t="s">
        <v>360</v>
      </c>
      <c r="I647" t="s">
        <v>660</v>
      </c>
      <c r="J647" t="str">
        <f>_xlfn.XLOOKUP(Table1[[#This Row],[Course ]], CCF!B:B, CCF!A:A)</f>
        <v>FSD103</v>
      </c>
      <c r="K647" t="s">
        <v>366</v>
      </c>
      <c r="L647">
        <f>_xlfn.XLOOKUP(K647, CCF!B:B, CCF!C:C)</f>
        <v>109990</v>
      </c>
      <c r="M647" t="s">
        <v>27</v>
      </c>
    </row>
    <row r="648" spans="1:13" x14ac:dyDescent="0.3">
      <c r="A648">
        <v>647</v>
      </c>
      <c r="B648" t="s">
        <v>1313</v>
      </c>
      <c r="C648" s="3">
        <v>72086</v>
      </c>
      <c r="D648" t="s">
        <v>666</v>
      </c>
      <c r="E648">
        <v>28</v>
      </c>
      <c r="F648" s="1">
        <v>45384</v>
      </c>
      <c r="G648" s="1" t="str">
        <f>TEXT(Table1[[#This Row],[Enrollment date]], "mmm")</f>
        <v>Apr</v>
      </c>
      <c r="H648" t="s">
        <v>3</v>
      </c>
      <c r="I648" t="s">
        <v>659</v>
      </c>
      <c r="J648" t="str">
        <f>_xlfn.XLOOKUP(Table1[[#This Row],[Course ]], CCF!B:B, CCF!A:A)</f>
        <v>FSD103</v>
      </c>
      <c r="K648" t="s">
        <v>366</v>
      </c>
      <c r="L648">
        <f>_xlfn.XLOOKUP(K648, CCF!B:B, CCF!C:C)</f>
        <v>109990</v>
      </c>
      <c r="M648" t="s">
        <v>30</v>
      </c>
    </row>
    <row r="649" spans="1:13" x14ac:dyDescent="0.3">
      <c r="A649">
        <v>648</v>
      </c>
      <c r="B649" t="s">
        <v>1314</v>
      </c>
      <c r="C649" s="3">
        <v>67499</v>
      </c>
      <c r="D649" t="s">
        <v>666</v>
      </c>
      <c r="E649">
        <v>78</v>
      </c>
      <c r="F649" s="1">
        <v>45384</v>
      </c>
      <c r="G649" s="1" t="str">
        <f>TEXT(Table1[[#This Row],[Enrollment date]], "mmm")</f>
        <v>Apr</v>
      </c>
      <c r="H649" t="s">
        <v>360</v>
      </c>
      <c r="I649" t="s">
        <v>660</v>
      </c>
      <c r="J649" t="str">
        <f>_xlfn.XLOOKUP(Table1[[#This Row],[Course ]], CCF!B:B, CCF!A:A)</f>
        <v>DA202</v>
      </c>
      <c r="K649" t="s">
        <v>363</v>
      </c>
      <c r="L649">
        <f>_xlfn.XLOOKUP(K649, CCF!B:B, CCF!C:C)</f>
        <v>79999</v>
      </c>
      <c r="M649" t="s">
        <v>219</v>
      </c>
    </row>
    <row r="650" spans="1:13" x14ac:dyDescent="0.3">
      <c r="A650">
        <v>649</v>
      </c>
      <c r="B650" t="s">
        <v>1315</v>
      </c>
      <c r="C650" s="3">
        <v>97955</v>
      </c>
      <c r="D650" t="s">
        <v>666</v>
      </c>
      <c r="E650">
        <v>37</v>
      </c>
      <c r="F650" s="1">
        <v>45384</v>
      </c>
      <c r="G650" s="1" t="str">
        <f>TEXT(Table1[[#This Row],[Enrollment date]], "mmm")</f>
        <v>Apr</v>
      </c>
      <c r="H650" t="s">
        <v>360</v>
      </c>
      <c r="I650" t="s">
        <v>659</v>
      </c>
      <c r="J650" t="str">
        <f>_xlfn.XLOOKUP(Table1[[#This Row],[Course ]], CCF!B:B, CCF!A:A)</f>
        <v>DA202</v>
      </c>
      <c r="K650" t="s">
        <v>363</v>
      </c>
      <c r="L650">
        <f>_xlfn.XLOOKUP(K650, CCF!B:B, CCF!C:C)</f>
        <v>79999</v>
      </c>
      <c r="M650" t="s">
        <v>91</v>
      </c>
    </row>
    <row r="651" spans="1:13" x14ac:dyDescent="0.3">
      <c r="A651">
        <v>650</v>
      </c>
      <c r="B651" t="s">
        <v>1316</v>
      </c>
      <c r="C651" s="3">
        <v>85494</v>
      </c>
      <c r="D651" t="s">
        <v>666</v>
      </c>
      <c r="E651">
        <v>21</v>
      </c>
      <c r="F651" s="1">
        <v>45385</v>
      </c>
      <c r="G651" s="1" t="str">
        <f>TEXT(Table1[[#This Row],[Enrollment date]], "mmm")</f>
        <v>Apr</v>
      </c>
      <c r="H651" t="s">
        <v>360</v>
      </c>
      <c r="I651" t="s">
        <v>662</v>
      </c>
      <c r="J651" t="str">
        <f>_xlfn.XLOOKUP(Table1[[#This Row],[Course ]], CCF!B:B, CCF!A:A)</f>
        <v>BA301</v>
      </c>
      <c r="K651" t="s">
        <v>364</v>
      </c>
      <c r="L651">
        <f>_xlfn.XLOOKUP(K651, CCF!B:B, CCF!C:C)</f>
        <v>59999</v>
      </c>
      <c r="M651" t="s">
        <v>38</v>
      </c>
    </row>
    <row r="652" spans="1:13" x14ac:dyDescent="0.3">
      <c r="A652">
        <v>651</v>
      </c>
      <c r="B652" t="s">
        <v>1317</v>
      </c>
      <c r="C652" s="3">
        <v>12511</v>
      </c>
      <c r="D652" t="s">
        <v>667</v>
      </c>
      <c r="E652">
        <v>38</v>
      </c>
      <c r="F652" s="1">
        <v>45385</v>
      </c>
      <c r="G652" s="1" t="str">
        <f>TEXT(Table1[[#This Row],[Enrollment date]], "mmm")</f>
        <v>Apr</v>
      </c>
      <c r="H652" t="s">
        <v>360</v>
      </c>
      <c r="I652" t="s">
        <v>661</v>
      </c>
      <c r="J652" t="str">
        <f>_xlfn.XLOOKUP(Table1[[#This Row],[Course ]], CCF!B:B, CCF!A:A)</f>
        <v>DM101</v>
      </c>
      <c r="K652" t="s">
        <v>365</v>
      </c>
      <c r="L652">
        <f>_xlfn.XLOOKUP(K652, CCF!B:B, CCF!C:C)</f>
        <v>85499</v>
      </c>
      <c r="M652" t="s">
        <v>455</v>
      </c>
    </row>
    <row r="653" spans="1:13" x14ac:dyDescent="0.3">
      <c r="A653">
        <v>652</v>
      </c>
      <c r="B653" t="s">
        <v>1318</v>
      </c>
      <c r="C653" s="3">
        <v>90138</v>
      </c>
      <c r="D653" t="s">
        <v>666</v>
      </c>
      <c r="E653">
        <v>30</v>
      </c>
      <c r="F653" s="1">
        <v>45385</v>
      </c>
      <c r="G653" s="1" t="str">
        <f>TEXT(Table1[[#This Row],[Enrollment date]], "mmm")</f>
        <v>Apr</v>
      </c>
      <c r="H653" t="s">
        <v>360</v>
      </c>
      <c r="I653" t="s">
        <v>661</v>
      </c>
      <c r="J653" t="str">
        <f>_xlfn.XLOOKUP(Table1[[#This Row],[Course ]], CCF!B:B, CCF!A:A)</f>
        <v>BA301</v>
      </c>
      <c r="K653" t="s">
        <v>364</v>
      </c>
      <c r="L653">
        <f>_xlfn.XLOOKUP(K653, CCF!B:B, CCF!C:C)</f>
        <v>59999</v>
      </c>
      <c r="M653" t="s">
        <v>20</v>
      </c>
    </row>
    <row r="654" spans="1:13" x14ac:dyDescent="0.3">
      <c r="A654">
        <v>653</v>
      </c>
      <c r="B654" t="s">
        <v>1319</v>
      </c>
      <c r="C654" s="3">
        <v>10354</v>
      </c>
      <c r="D654" t="s">
        <v>667</v>
      </c>
      <c r="E654">
        <v>44</v>
      </c>
      <c r="F654" s="1">
        <v>45385</v>
      </c>
      <c r="G654" s="1" t="str">
        <f>TEXT(Table1[[#This Row],[Enrollment date]], "mmm")</f>
        <v>Apr</v>
      </c>
      <c r="H654" t="s">
        <v>360</v>
      </c>
      <c r="I654" t="s">
        <v>660</v>
      </c>
      <c r="J654" t="str">
        <f>_xlfn.XLOOKUP(Table1[[#This Row],[Course ]], CCF!B:B, CCF!A:A)</f>
        <v>DM101</v>
      </c>
      <c r="K654" t="s">
        <v>365</v>
      </c>
      <c r="L654">
        <f>_xlfn.XLOOKUP(K654, CCF!B:B, CCF!C:C)</f>
        <v>85499</v>
      </c>
      <c r="M654" t="s">
        <v>203</v>
      </c>
    </row>
    <row r="655" spans="1:13" x14ac:dyDescent="0.3">
      <c r="A655">
        <v>654</v>
      </c>
      <c r="B655" t="s">
        <v>1320</v>
      </c>
      <c r="C655" s="3">
        <v>89562</v>
      </c>
      <c r="D655" t="s">
        <v>666</v>
      </c>
      <c r="E655">
        <v>43</v>
      </c>
      <c r="F655" s="1">
        <v>45385</v>
      </c>
      <c r="G655" s="1" t="str">
        <f>TEXT(Table1[[#This Row],[Enrollment date]], "mmm")</f>
        <v>Apr</v>
      </c>
      <c r="H655" t="s">
        <v>360</v>
      </c>
      <c r="I655" t="s">
        <v>660</v>
      </c>
      <c r="J655" t="str">
        <f>_xlfn.XLOOKUP(Table1[[#This Row],[Course ]], CCF!B:B, CCF!A:A)</f>
        <v>DM101</v>
      </c>
      <c r="K655" t="s">
        <v>365</v>
      </c>
      <c r="L655">
        <f>_xlfn.XLOOKUP(K655, CCF!B:B, CCF!C:C)</f>
        <v>85499</v>
      </c>
      <c r="M655" t="s">
        <v>456</v>
      </c>
    </row>
    <row r="656" spans="1:13" x14ac:dyDescent="0.3">
      <c r="A656">
        <v>655</v>
      </c>
      <c r="B656" t="s">
        <v>1321</v>
      </c>
      <c r="C656" s="3">
        <v>25473</v>
      </c>
      <c r="D656" t="s">
        <v>666</v>
      </c>
      <c r="E656">
        <v>20</v>
      </c>
      <c r="F656" s="1">
        <v>45385</v>
      </c>
      <c r="G656" s="1" t="str">
        <f>TEXT(Table1[[#This Row],[Enrollment date]], "mmm")</f>
        <v>Apr</v>
      </c>
      <c r="H656" t="s">
        <v>360</v>
      </c>
      <c r="I656" t="s">
        <v>662</v>
      </c>
      <c r="J656" t="str">
        <f>_xlfn.XLOOKUP(Table1[[#This Row],[Course ]], CCF!B:B, CCF!A:A)</f>
        <v>DM101</v>
      </c>
      <c r="K656" t="s">
        <v>365</v>
      </c>
      <c r="L656">
        <f>_xlfn.XLOOKUP(K656, CCF!B:B, CCF!C:C)</f>
        <v>85499</v>
      </c>
      <c r="M656" t="s">
        <v>84</v>
      </c>
    </row>
    <row r="657" spans="1:13" x14ac:dyDescent="0.3">
      <c r="A657">
        <v>656</v>
      </c>
      <c r="B657" t="s">
        <v>1322</v>
      </c>
      <c r="C657" s="3">
        <v>38106</v>
      </c>
      <c r="D657" t="s">
        <v>667</v>
      </c>
      <c r="E657">
        <v>72</v>
      </c>
      <c r="F657" s="1">
        <v>45386</v>
      </c>
      <c r="G657" s="1" t="str">
        <f>TEXT(Table1[[#This Row],[Enrollment date]], "mmm")</f>
        <v>Apr</v>
      </c>
      <c r="H657" t="s">
        <v>360</v>
      </c>
      <c r="I657" t="s">
        <v>659</v>
      </c>
      <c r="J657" t="str">
        <f>_xlfn.XLOOKUP(Table1[[#This Row],[Course ]], CCF!B:B, CCF!A:A)</f>
        <v>DM101</v>
      </c>
      <c r="K657" t="s">
        <v>365</v>
      </c>
      <c r="L657">
        <f>_xlfn.XLOOKUP(K657, CCF!B:B, CCF!C:C)</f>
        <v>85499</v>
      </c>
      <c r="M657" t="s">
        <v>7</v>
      </c>
    </row>
    <row r="658" spans="1:13" x14ac:dyDescent="0.3">
      <c r="A658">
        <v>657</v>
      </c>
      <c r="B658" t="s">
        <v>1323</v>
      </c>
      <c r="C658" s="3">
        <v>52326</v>
      </c>
      <c r="D658" t="s">
        <v>666</v>
      </c>
      <c r="E658">
        <v>24</v>
      </c>
      <c r="F658" s="1">
        <v>45386</v>
      </c>
      <c r="G658" s="1" t="str">
        <f>TEXT(Table1[[#This Row],[Enrollment date]], "mmm")</f>
        <v>Apr</v>
      </c>
      <c r="H658" t="s">
        <v>360</v>
      </c>
      <c r="I658" t="s">
        <v>660</v>
      </c>
      <c r="J658" t="str">
        <f>_xlfn.XLOOKUP(Table1[[#This Row],[Course ]], CCF!B:B, CCF!A:A)</f>
        <v>DA202</v>
      </c>
      <c r="K658" t="s">
        <v>363</v>
      </c>
      <c r="L658">
        <f>_xlfn.XLOOKUP(K658, CCF!B:B, CCF!C:C)</f>
        <v>79999</v>
      </c>
      <c r="M658" t="s">
        <v>457</v>
      </c>
    </row>
    <row r="659" spans="1:13" x14ac:dyDescent="0.3">
      <c r="A659">
        <v>658</v>
      </c>
      <c r="B659" t="s">
        <v>1324</v>
      </c>
      <c r="C659" s="3">
        <v>33212</v>
      </c>
      <c r="D659" t="s">
        <v>667</v>
      </c>
      <c r="E659">
        <v>20</v>
      </c>
      <c r="F659" s="1">
        <v>45386</v>
      </c>
      <c r="G659" s="1" t="str">
        <f>TEXT(Table1[[#This Row],[Enrollment date]], "mmm")</f>
        <v>Apr</v>
      </c>
      <c r="H659" t="s">
        <v>360</v>
      </c>
      <c r="I659" t="s">
        <v>660</v>
      </c>
      <c r="J659" t="str">
        <f>_xlfn.XLOOKUP(Table1[[#This Row],[Course ]], CCF!B:B, CCF!A:A)</f>
        <v>DA202</v>
      </c>
      <c r="K659" t="s">
        <v>363</v>
      </c>
      <c r="L659">
        <f>_xlfn.XLOOKUP(K659, CCF!B:B, CCF!C:C)</f>
        <v>79999</v>
      </c>
      <c r="M659" t="s">
        <v>226</v>
      </c>
    </row>
    <row r="660" spans="1:13" x14ac:dyDescent="0.3">
      <c r="A660">
        <v>659</v>
      </c>
      <c r="B660" t="s">
        <v>1325</v>
      </c>
      <c r="C660" s="3">
        <v>44740</v>
      </c>
      <c r="D660" t="s">
        <v>667</v>
      </c>
      <c r="E660">
        <v>70</v>
      </c>
      <c r="F660" s="1">
        <v>45386</v>
      </c>
      <c r="G660" s="1" t="str">
        <f>TEXT(Table1[[#This Row],[Enrollment date]], "mmm")</f>
        <v>Apr</v>
      </c>
      <c r="H660" t="s">
        <v>360</v>
      </c>
      <c r="I660" t="s">
        <v>659</v>
      </c>
      <c r="J660" t="str">
        <f>_xlfn.XLOOKUP(Table1[[#This Row],[Course ]], CCF!B:B, CCF!A:A)</f>
        <v>DA202</v>
      </c>
      <c r="K660" t="s">
        <v>363</v>
      </c>
      <c r="L660">
        <f>_xlfn.XLOOKUP(K660, CCF!B:B, CCF!C:C)</f>
        <v>79999</v>
      </c>
      <c r="M660" t="s">
        <v>16</v>
      </c>
    </row>
    <row r="661" spans="1:13" x14ac:dyDescent="0.3">
      <c r="A661">
        <v>660</v>
      </c>
      <c r="B661" t="s">
        <v>1326</v>
      </c>
      <c r="C661" s="3">
        <v>76063</v>
      </c>
      <c r="D661" t="s">
        <v>667</v>
      </c>
      <c r="E661">
        <v>26</v>
      </c>
      <c r="F661" s="1">
        <v>45386</v>
      </c>
      <c r="G661" s="1" t="str">
        <f>TEXT(Table1[[#This Row],[Enrollment date]], "mmm")</f>
        <v>Apr</v>
      </c>
      <c r="H661" t="s">
        <v>360</v>
      </c>
      <c r="I661" t="s">
        <v>661</v>
      </c>
      <c r="J661" t="str">
        <f>_xlfn.XLOOKUP(Table1[[#This Row],[Course ]], CCF!B:B, CCF!A:A)</f>
        <v>DM101</v>
      </c>
      <c r="K661" t="s">
        <v>365</v>
      </c>
      <c r="L661">
        <f>_xlfn.XLOOKUP(K661, CCF!B:B, CCF!C:C)</f>
        <v>85499</v>
      </c>
      <c r="M661" t="s">
        <v>9</v>
      </c>
    </row>
    <row r="662" spans="1:13" x14ac:dyDescent="0.3">
      <c r="A662">
        <v>661</v>
      </c>
      <c r="B662" t="s">
        <v>1327</v>
      </c>
      <c r="C662" s="3">
        <v>89422</v>
      </c>
      <c r="D662" t="s">
        <v>666</v>
      </c>
      <c r="E662">
        <v>24</v>
      </c>
      <c r="F662" s="1">
        <v>45386</v>
      </c>
      <c r="G662" s="1" t="str">
        <f>TEXT(Table1[[#This Row],[Enrollment date]], "mmm")</f>
        <v>Apr</v>
      </c>
      <c r="H662" t="s">
        <v>360</v>
      </c>
      <c r="I662" t="s">
        <v>660</v>
      </c>
      <c r="J662" t="str">
        <f>_xlfn.XLOOKUP(Table1[[#This Row],[Course ]], CCF!B:B, CCF!A:A)</f>
        <v>DM101</v>
      </c>
      <c r="K662" t="s">
        <v>365</v>
      </c>
      <c r="L662">
        <f>_xlfn.XLOOKUP(K662, CCF!B:B, CCF!C:C)</f>
        <v>85499</v>
      </c>
      <c r="M662" t="s">
        <v>322</v>
      </c>
    </row>
    <row r="663" spans="1:13" x14ac:dyDescent="0.3">
      <c r="A663">
        <v>662</v>
      </c>
      <c r="B663" t="s">
        <v>1328</v>
      </c>
      <c r="C663" s="3">
        <v>61309</v>
      </c>
      <c r="D663" t="s">
        <v>666</v>
      </c>
      <c r="E663">
        <v>18</v>
      </c>
      <c r="F663" s="1">
        <v>45386</v>
      </c>
      <c r="G663" s="1" t="str">
        <f>TEXT(Table1[[#This Row],[Enrollment date]], "mmm")</f>
        <v>Apr</v>
      </c>
      <c r="H663" t="s">
        <v>3</v>
      </c>
      <c r="I663" t="s">
        <v>659</v>
      </c>
      <c r="J663" t="str">
        <f>_xlfn.XLOOKUP(Table1[[#This Row],[Course ]], CCF!B:B, CCF!A:A)</f>
        <v>AI001</v>
      </c>
      <c r="K663" t="s">
        <v>368</v>
      </c>
      <c r="L663">
        <f>_xlfn.XLOOKUP(K663, CCF!B:B, CCF!C:C)</f>
        <v>119990</v>
      </c>
      <c r="M663" t="s">
        <v>458</v>
      </c>
    </row>
    <row r="664" spans="1:13" x14ac:dyDescent="0.3">
      <c r="A664">
        <v>663</v>
      </c>
      <c r="B664" t="s">
        <v>1329</v>
      </c>
      <c r="C664" s="3">
        <v>99134</v>
      </c>
      <c r="D664" t="s">
        <v>666</v>
      </c>
      <c r="E664">
        <v>49</v>
      </c>
      <c r="F664" s="1">
        <v>45386</v>
      </c>
      <c r="G664" s="1" t="str">
        <f>TEXT(Table1[[#This Row],[Enrollment date]], "mmm")</f>
        <v>Apr</v>
      </c>
      <c r="H664" t="s">
        <v>360</v>
      </c>
      <c r="I664" t="s">
        <v>660</v>
      </c>
      <c r="J664" t="str">
        <f>_xlfn.XLOOKUP(Table1[[#This Row],[Course ]], CCF!B:B, CCF!A:A)</f>
        <v>DA202</v>
      </c>
      <c r="K664" t="s">
        <v>363</v>
      </c>
      <c r="L664">
        <f>_xlfn.XLOOKUP(K664, CCF!B:B, CCF!C:C)</f>
        <v>79999</v>
      </c>
      <c r="M664" t="s">
        <v>12</v>
      </c>
    </row>
    <row r="665" spans="1:13" x14ac:dyDescent="0.3">
      <c r="A665">
        <v>664</v>
      </c>
      <c r="B665" t="s">
        <v>1330</v>
      </c>
      <c r="C665" s="3">
        <v>99612</v>
      </c>
      <c r="D665" t="s">
        <v>666</v>
      </c>
      <c r="E665">
        <v>29</v>
      </c>
      <c r="F665" s="1">
        <v>45387</v>
      </c>
      <c r="G665" s="1" t="str">
        <f>TEXT(Table1[[#This Row],[Enrollment date]], "mmm")</f>
        <v>Apr</v>
      </c>
      <c r="H665" t="s">
        <v>360</v>
      </c>
      <c r="I665" t="s">
        <v>660</v>
      </c>
      <c r="J665" t="str">
        <f>_xlfn.XLOOKUP(Table1[[#This Row],[Course ]], CCF!B:B, CCF!A:A)</f>
        <v>DM101</v>
      </c>
      <c r="K665" t="s">
        <v>365</v>
      </c>
      <c r="L665">
        <f>_xlfn.XLOOKUP(K665, CCF!B:B, CCF!C:C)</f>
        <v>85499</v>
      </c>
      <c r="M665" t="s">
        <v>12</v>
      </c>
    </row>
    <row r="666" spans="1:13" x14ac:dyDescent="0.3">
      <c r="A666">
        <v>665</v>
      </c>
      <c r="B666" t="s">
        <v>1331</v>
      </c>
      <c r="C666" s="3">
        <v>75319</v>
      </c>
      <c r="D666" t="s">
        <v>666</v>
      </c>
      <c r="E666">
        <v>61</v>
      </c>
      <c r="F666" s="1">
        <v>45387</v>
      </c>
      <c r="G666" s="1" t="str">
        <f>TEXT(Table1[[#This Row],[Enrollment date]], "mmm")</f>
        <v>Apr</v>
      </c>
      <c r="H666" t="s">
        <v>360</v>
      </c>
      <c r="I666" t="s">
        <v>659</v>
      </c>
      <c r="J666" t="str">
        <f>_xlfn.XLOOKUP(Table1[[#This Row],[Course ]], CCF!B:B, CCF!A:A)</f>
        <v>DA202</v>
      </c>
      <c r="K666" t="s">
        <v>363</v>
      </c>
      <c r="L666">
        <f>_xlfn.XLOOKUP(K666, CCF!B:B, CCF!C:C)</f>
        <v>79999</v>
      </c>
      <c r="M666" t="s">
        <v>453</v>
      </c>
    </row>
    <row r="667" spans="1:13" x14ac:dyDescent="0.3">
      <c r="A667">
        <v>666</v>
      </c>
      <c r="B667" t="s">
        <v>1332</v>
      </c>
      <c r="C667" s="3">
        <v>31203</v>
      </c>
      <c r="D667" t="s">
        <v>666</v>
      </c>
      <c r="E667">
        <v>31</v>
      </c>
      <c r="F667" s="1">
        <v>45387</v>
      </c>
      <c r="G667" s="1" t="str">
        <f>TEXT(Table1[[#This Row],[Enrollment date]], "mmm")</f>
        <v>Apr</v>
      </c>
      <c r="H667" t="s">
        <v>361</v>
      </c>
      <c r="I667" t="s">
        <v>660</v>
      </c>
      <c r="J667" t="str">
        <f>_xlfn.XLOOKUP(Table1[[#This Row],[Course ]], CCF!B:B, CCF!A:A)</f>
        <v>DM101</v>
      </c>
      <c r="K667" t="s">
        <v>365</v>
      </c>
      <c r="L667">
        <f>_xlfn.XLOOKUP(K667, CCF!B:B, CCF!C:C)</f>
        <v>85499</v>
      </c>
      <c r="M667" t="s">
        <v>30</v>
      </c>
    </row>
    <row r="668" spans="1:13" x14ac:dyDescent="0.3">
      <c r="A668">
        <v>667</v>
      </c>
      <c r="B668" t="s">
        <v>1333</v>
      </c>
      <c r="C668" s="3">
        <v>50149</v>
      </c>
      <c r="D668" t="s">
        <v>666</v>
      </c>
      <c r="E668">
        <v>21</v>
      </c>
      <c r="F668" s="1">
        <v>45387</v>
      </c>
      <c r="G668" s="1" t="str">
        <f>TEXT(Table1[[#This Row],[Enrollment date]], "mmm")</f>
        <v>Apr</v>
      </c>
      <c r="H668" t="s">
        <v>360</v>
      </c>
      <c r="I668" t="s">
        <v>665</v>
      </c>
      <c r="J668" t="str">
        <f>_xlfn.XLOOKUP(Table1[[#This Row],[Course ]], CCF!B:B, CCF!A:A)</f>
        <v>DM101</v>
      </c>
      <c r="K668" t="s">
        <v>365</v>
      </c>
      <c r="L668">
        <f>_xlfn.XLOOKUP(K668, CCF!B:B, CCF!C:C)</f>
        <v>85499</v>
      </c>
      <c r="M668" t="s">
        <v>298</v>
      </c>
    </row>
    <row r="669" spans="1:13" x14ac:dyDescent="0.3">
      <c r="A669">
        <v>668</v>
      </c>
      <c r="B669" t="s">
        <v>1334</v>
      </c>
      <c r="C669" s="3">
        <v>19339</v>
      </c>
      <c r="D669" t="s">
        <v>666</v>
      </c>
      <c r="E669">
        <v>32</v>
      </c>
      <c r="F669" s="1">
        <v>45387</v>
      </c>
      <c r="G669" s="1" t="str">
        <f>TEXT(Table1[[#This Row],[Enrollment date]], "mmm")</f>
        <v>Apr</v>
      </c>
      <c r="H669" t="s">
        <v>360</v>
      </c>
      <c r="I669" t="s">
        <v>662</v>
      </c>
      <c r="J669" t="str">
        <f>_xlfn.XLOOKUP(Table1[[#This Row],[Course ]], CCF!B:B, CCF!A:A)</f>
        <v>DA202</v>
      </c>
      <c r="K669" t="s">
        <v>363</v>
      </c>
      <c r="L669">
        <f>_xlfn.XLOOKUP(K669, CCF!B:B, CCF!C:C)</f>
        <v>79999</v>
      </c>
      <c r="M669" t="s">
        <v>6</v>
      </c>
    </row>
    <row r="670" spans="1:13" x14ac:dyDescent="0.3">
      <c r="A670">
        <v>669</v>
      </c>
      <c r="B670" t="s">
        <v>1335</v>
      </c>
      <c r="C670" s="3">
        <v>49937</v>
      </c>
      <c r="D670" t="s">
        <v>666</v>
      </c>
      <c r="E670">
        <v>48</v>
      </c>
      <c r="F670" s="1">
        <v>45387</v>
      </c>
      <c r="G670" s="1" t="str">
        <f>TEXT(Table1[[#This Row],[Enrollment date]], "mmm")</f>
        <v>Apr</v>
      </c>
      <c r="H670" t="s">
        <v>360</v>
      </c>
      <c r="I670" t="s">
        <v>659</v>
      </c>
      <c r="J670" t="str">
        <f>_xlfn.XLOOKUP(Table1[[#This Row],[Course ]], CCF!B:B, CCF!A:A)</f>
        <v>DM101</v>
      </c>
      <c r="K670" t="s">
        <v>365</v>
      </c>
      <c r="L670">
        <f>_xlfn.XLOOKUP(K670, CCF!B:B, CCF!C:C)</f>
        <v>85499</v>
      </c>
      <c r="M670" t="s">
        <v>134</v>
      </c>
    </row>
    <row r="671" spans="1:13" x14ac:dyDescent="0.3">
      <c r="A671">
        <v>670</v>
      </c>
      <c r="B671" t="s">
        <v>1336</v>
      </c>
      <c r="C671" s="3">
        <v>95395</v>
      </c>
      <c r="D671" t="s">
        <v>666</v>
      </c>
      <c r="E671">
        <v>21</v>
      </c>
      <c r="F671" s="1">
        <v>45387</v>
      </c>
      <c r="G671" s="1" t="str">
        <f>TEXT(Table1[[#This Row],[Enrollment date]], "mmm")</f>
        <v>Apr</v>
      </c>
      <c r="H671" t="s">
        <v>360</v>
      </c>
      <c r="I671" t="s">
        <v>660</v>
      </c>
      <c r="J671" t="str">
        <f>_xlfn.XLOOKUP(Table1[[#This Row],[Course ]], CCF!B:B, CCF!A:A)</f>
        <v>BA301</v>
      </c>
      <c r="K671" t="s">
        <v>364</v>
      </c>
      <c r="L671">
        <f>_xlfn.XLOOKUP(K671, CCF!B:B, CCF!C:C)</f>
        <v>59999</v>
      </c>
      <c r="M671" t="s">
        <v>182</v>
      </c>
    </row>
    <row r="672" spans="1:13" x14ac:dyDescent="0.3">
      <c r="A672">
        <v>671</v>
      </c>
      <c r="B672" t="s">
        <v>1337</v>
      </c>
      <c r="C672" s="3">
        <v>87513</v>
      </c>
      <c r="D672" t="s">
        <v>666</v>
      </c>
      <c r="E672">
        <v>34</v>
      </c>
      <c r="F672" s="1">
        <v>45388</v>
      </c>
      <c r="G672" s="1" t="str">
        <f>TEXT(Table1[[#This Row],[Enrollment date]], "mmm")</f>
        <v>Apr</v>
      </c>
      <c r="H672" t="s">
        <v>360</v>
      </c>
      <c r="I672" t="s">
        <v>661</v>
      </c>
      <c r="J672" t="str">
        <f>_xlfn.XLOOKUP(Table1[[#This Row],[Course ]], CCF!B:B, CCF!A:A)</f>
        <v>DM101</v>
      </c>
      <c r="K672" t="s">
        <v>365</v>
      </c>
      <c r="L672">
        <f>_xlfn.XLOOKUP(K672, CCF!B:B, CCF!C:C)</f>
        <v>85499</v>
      </c>
      <c r="M672" t="s">
        <v>186</v>
      </c>
    </row>
    <row r="673" spans="1:13" x14ac:dyDescent="0.3">
      <c r="A673">
        <v>672</v>
      </c>
      <c r="B673" t="s">
        <v>1338</v>
      </c>
      <c r="C673" s="3">
        <v>58181</v>
      </c>
      <c r="D673" t="s">
        <v>666</v>
      </c>
      <c r="E673">
        <v>46</v>
      </c>
      <c r="F673" s="1">
        <v>45388</v>
      </c>
      <c r="G673" s="1" t="str">
        <f>TEXT(Table1[[#This Row],[Enrollment date]], "mmm")</f>
        <v>Apr</v>
      </c>
      <c r="H673" t="s">
        <v>360</v>
      </c>
      <c r="I673" t="s">
        <v>660</v>
      </c>
      <c r="J673" t="str">
        <f>_xlfn.XLOOKUP(Table1[[#This Row],[Course ]], CCF!B:B, CCF!A:A)</f>
        <v>DA202</v>
      </c>
      <c r="K673" t="s">
        <v>363</v>
      </c>
      <c r="L673">
        <f>_xlfn.XLOOKUP(K673, CCF!B:B, CCF!C:C)</f>
        <v>79999</v>
      </c>
      <c r="M673" t="s">
        <v>53</v>
      </c>
    </row>
    <row r="674" spans="1:13" x14ac:dyDescent="0.3">
      <c r="A674">
        <v>673</v>
      </c>
      <c r="B674" t="s">
        <v>1339</v>
      </c>
      <c r="C674" s="3">
        <v>18537</v>
      </c>
      <c r="D674" t="s">
        <v>666</v>
      </c>
      <c r="E674">
        <v>40</v>
      </c>
      <c r="F674" s="1">
        <v>45389</v>
      </c>
      <c r="G674" s="1" t="str">
        <f>TEXT(Table1[[#This Row],[Enrollment date]], "mmm")</f>
        <v>Apr</v>
      </c>
      <c r="H674" t="s">
        <v>360</v>
      </c>
      <c r="I674" t="s">
        <v>663</v>
      </c>
      <c r="J674" t="str">
        <f>_xlfn.XLOOKUP(Table1[[#This Row],[Course ]], CCF!B:B, CCF!A:A)</f>
        <v>DA202</v>
      </c>
      <c r="K674" t="s">
        <v>363</v>
      </c>
      <c r="L674">
        <f>_xlfn.XLOOKUP(K674, CCF!B:B, CCF!C:C)</f>
        <v>79999</v>
      </c>
      <c r="M674" t="s">
        <v>27</v>
      </c>
    </row>
    <row r="675" spans="1:13" x14ac:dyDescent="0.3">
      <c r="A675">
        <v>674</v>
      </c>
      <c r="B675" t="s">
        <v>885</v>
      </c>
      <c r="C675" s="3">
        <v>44228</v>
      </c>
      <c r="D675" t="s">
        <v>666</v>
      </c>
      <c r="E675">
        <v>44</v>
      </c>
      <c r="F675" s="1">
        <v>45389</v>
      </c>
      <c r="G675" s="1" t="str">
        <f>TEXT(Table1[[#This Row],[Enrollment date]], "mmm")</f>
        <v>Apr</v>
      </c>
      <c r="H675" t="s">
        <v>360</v>
      </c>
      <c r="I675" t="s">
        <v>660</v>
      </c>
      <c r="J675" t="str">
        <f>_xlfn.XLOOKUP(Table1[[#This Row],[Course ]], CCF!B:B, CCF!A:A)</f>
        <v>DM101</v>
      </c>
      <c r="K675" t="s">
        <v>365</v>
      </c>
      <c r="L675">
        <f>_xlfn.XLOOKUP(K675, CCF!B:B, CCF!C:C)</f>
        <v>85499</v>
      </c>
      <c r="M675" t="s">
        <v>188</v>
      </c>
    </row>
    <row r="676" spans="1:13" x14ac:dyDescent="0.3">
      <c r="A676">
        <v>675</v>
      </c>
      <c r="B676" t="s">
        <v>1340</v>
      </c>
      <c r="C676" s="3">
        <v>61356</v>
      </c>
      <c r="D676" t="s">
        <v>666</v>
      </c>
      <c r="E676">
        <v>69</v>
      </c>
      <c r="F676" s="1">
        <v>45389</v>
      </c>
      <c r="G676" s="1" t="str">
        <f>TEXT(Table1[[#This Row],[Enrollment date]], "mmm")</f>
        <v>Apr</v>
      </c>
      <c r="H676" t="s">
        <v>360</v>
      </c>
      <c r="I676" t="s">
        <v>661</v>
      </c>
      <c r="J676" t="str">
        <f>_xlfn.XLOOKUP(Table1[[#This Row],[Course ]], CCF!B:B, CCF!A:A)</f>
        <v>UX401</v>
      </c>
      <c r="K676" t="s">
        <v>367</v>
      </c>
      <c r="L676">
        <f>_xlfn.XLOOKUP(K676, CCF!B:B, CCF!C:C)</f>
        <v>67990</v>
      </c>
      <c r="M676" t="s">
        <v>9</v>
      </c>
    </row>
    <row r="677" spans="1:13" x14ac:dyDescent="0.3">
      <c r="A677">
        <v>676</v>
      </c>
      <c r="B677" t="s">
        <v>1341</v>
      </c>
      <c r="C677" s="3">
        <v>46504</v>
      </c>
      <c r="D677" t="s">
        <v>666</v>
      </c>
      <c r="E677">
        <v>20</v>
      </c>
      <c r="F677" s="1">
        <v>45389</v>
      </c>
      <c r="G677" s="1" t="str">
        <f>TEXT(Table1[[#This Row],[Enrollment date]], "mmm")</f>
        <v>Apr</v>
      </c>
      <c r="H677" t="s">
        <v>360</v>
      </c>
      <c r="I677" t="s">
        <v>660</v>
      </c>
      <c r="J677" t="str">
        <f>_xlfn.XLOOKUP(Table1[[#This Row],[Course ]], CCF!B:B, CCF!A:A)</f>
        <v>DM101</v>
      </c>
      <c r="K677" t="s">
        <v>365</v>
      </c>
      <c r="L677">
        <f>_xlfn.XLOOKUP(K677, CCF!B:B, CCF!C:C)</f>
        <v>85499</v>
      </c>
      <c r="M677" t="s">
        <v>9</v>
      </c>
    </row>
    <row r="678" spans="1:13" x14ac:dyDescent="0.3">
      <c r="A678">
        <v>677</v>
      </c>
      <c r="B678" t="s">
        <v>1342</v>
      </c>
      <c r="C678" s="3">
        <v>30264</v>
      </c>
      <c r="D678" t="s">
        <v>667</v>
      </c>
      <c r="E678">
        <v>39</v>
      </c>
      <c r="F678" s="1">
        <v>45389</v>
      </c>
      <c r="G678" s="1" t="str">
        <f>TEXT(Table1[[#This Row],[Enrollment date]], "mmm")</f>
        <v>Apr</v>
      </c>
      <c r="H678" t="s">
        <v>360</v>
      </c>
      <c r="I678" t="s">
        <v>660</v>
      </c>
      <c r="J678" t="str">
        <f>_xlfn.XLOOKUP(Table1[[#This Row],[Course ]], CCF!B:B, CCF!A:A)</f>
        <v>BA301</v>
      </c>
      <c r="K678" t="s">
        <v>364</v>
      </c>
      <c r="L678">
        <f>_xlfn.XLOOKUP(K678, CCF!B:B, CCF!C:C)</f>
        <v>59999</v>
      </c>
      <c r="M678" t="s">
        <v>18</v>
      </c>
    </row>
    <row r="679" spans="1:13" x14ac:dyDescent="0.3">
      <c r="A679">
        <v>678</v>
      </c>
      <c r="B679" t="s">
        <v>1343</v>
      </c>
      <c r="C679" s="3">
        <v>15818</v>
      </c>
      <c r="D679" t="s">
        <v>666</v>
      </c>
      <c r="E679">
        <v>28</v>
      </c>
      <c r="F679" s="1">
        <v>45389</v>
      </c>
      <c r="G679" s="1" t="str">
        <f>TEXT(Table1[[#This Row],[Enrollment date]], "mmm")</f>
        <v>Apr</v>
      </c>
      <c r="H679" t="s">
        <v>360</v>
      </c>
      <c r="I679" t="s">
        <v>660</v>
      </c>
      <c r="J679" t="str">
        <f>_xlfn.XLOOKUP(Table1[[#This Row],[Course ]], CCF!B:B, CCF!A:A)</f>
        <v>DA202</v>
      </c>
      <c r="K679" t="s">
        <v>363</v>
      </c>
      <c r="L679">
        <f>_xlfn.XLOOKUP(K679, CCF!B:B, CCF!C:C)</f>
        <v>79999</v>
      </c>
      <c r="M679" t="s">
        <v>43</v>
      </c>
    </row>
    <row r="680" spans="1:13" x14ac:dyDescent="0.3">
      <c r="A680">
        <v>679</v>
      </c>
      <c r="B680" t="s">
        <v>1344</v>
      </c>
      <c r="C680" s="3">
        <v>97087</v>
      </c>
      <c r="D680" t="s">
        <v>667</v>
      </c>
      <c r="E680">
        <v>25</v>
      </c>
      <c r="F680" s="1">
        <v>45389</v>
      </c>
      <c r="G680" s="1" t="str">
        <f>TEXT(Table1[[#This Row],[Enrollment date]], "mmm")</f>
        <v>Apr</v>
      </c>
      <c r="H680" t="s">
        <v>360</v>
      </c>
      <c r="I680" t="s">
        <v>659</v>
      </c>
      <c r="J680" t="str">
        <f>_xlfn.XLOOKUP(Table1[[#This Row],[Course ]], CCF!B:B, CCF!A:A)</f>
        <v>DM101</v>
      </c>
      <c r="K680" t="s">
        <v>365</v>
      </c>
      <c r="L680">
        <f>_xlfn.XLOOKUP(K680, CCF!B:B, CCF!C:C)</f>
        <v>85499</v>
      </c>
      <c r="M680" t="s">
        <v>136</v>
      </c>
    </row>
    <row r="681" spans="1:13" x14ac:dyDescent="0.3">
      <c r="A681">
        <v>680</v>
      </c>
      <c r="B681" t="s">
        <v>1345</v>
      </c>
      <c r="C681" s="3">
        <v>33237</v>
      </c>
      <c r="D681" t="s">
        <v>666</v>
      </c>
      <c r="E681">
        <v>33</v>
      </c>
      <c r="F681" s="1">
        <v>45389</v>
      </c>
      <c r="G681" s="1" t="str">
        <f>TEXT(Table1[[#This Row],[Enrollment date]], "mmm")</f>
        <v>Apr</v>
      </c>
      <c r="H681" t="s">
        <v>360</v>
      </c>
      <c r="I681" t="s">
        <v>661</v>
      </c>
      <c r="J681" t="str">
        <f>_xlfn.XLOOKUP(Table1[[#This Row],[Course ]], CCF!B:B, CCF!A:A)</f>
        <v>DM101</v>
      </c>
      <c r="K681" t="s">
        <v>365</v>
      </c>
      <c r="L681">
        <f>_xlfn.XLOOKUP(K681, CCF!B:B, CCF!C:C)</f>
        <v>85499</v>
      </c>
      <c r="M681" t="s">
        <v>27</v>
      </c>
    </row>
    <row r="682" spans="1:13" x14ac:dyDescent="0.3">
      <c r="A682">
        <v>681</v>
      </c>
      <c r="B682" t="s">
        <v>1346</v>
      </c>
      <c r="C682" s="3">
        <v>85039</v>
      </c>
      <c r="D682" t="s">
        <v>666</v>
      </c>
      <c r="E682">
        <v>22</v>
      </c>
      <c r="F682" s="1">
        <v>45389</v>
      </c>
      <c r="G682" s="1" t="str">
        <f>TEXT(Table1[[#This Row],[Enrollment date]], "mmm")</f>
        <v>Apr</v>
      </c>
      <c r="H682" t="s">
        <v>360</v>
      </c>
      <c r="I682" t="s">
        <v>660</v>
      </c>
      <c r="J682" t="str">
        <f>_xlfn.XLOOKUP(Table1[[#This Row],[Course ]], CCF!B:B, CCF!A:A)</f>
        <v>DM101</v>
      </c>
      <c r="K682" t="s">
        <v>365</v>
      </c>
      <c r="L682">
        <f>_xlfn.XLOOKUP(K682, CCF!B:B, CCF!C:C)</f>
        <v>85499</v>
      </c>
      <c r="M682" t="s">
        <v>270</v>
      </c>
    </row>
    <row r="683" spans="1:13" x14ac:dyDescent="0.3">
      <c r="A683">
        <v>682</v>
      </c>
      <c r="B683" t="s">
        <v>1347</v>
      </c>
      <c r="C683" s="3">
        <v>34348</v>
      </c>
      <c r="D683" t="s">
        <v>667</v>
      </c>
      <c r="E683">
        <v>47</v>
      </c>
      <c r="F683" s="1">
        <v>45389</v>
      </c>
      <c r="G683" s="1" t="str">
        <f>TEXT(Table1[[#This Row],[Enrollment date]], "mmm")</f>
        <v>Apr</v>
      </c>
      <c r="H683" t="s">
        <v>360</v>
      </c>
      <c r="I683" t="s">
        <v>659</v>
      </c>
      <c r="J683" t="str">
        <f>_xlfn.XLOOKUP(Table1[[#This Row],[Course ]], CCF!B:B, CCF!A:A)</f>
        <v>DA202</v>
      </c>
      <c r="K683" t="s">
        <v>363</v>
      </c>
      <c r="L683">
        <f>_xlfn.XLOOKUP(K683, CCF!B:B, CCF!C:C)</f>
        <v>79999</v>
      </c>
      <c r="M683" t="s">
        <v>47</v>
      </c>
    </row>
    <row r="684" spans="1:13" x14ac:dyDescent="0.3">
      <c r="A684">
        <v>683</v>
      </c>
      <c r="B684" t="s">
        <v>1348</v>
      </c>
      <c r="C684" s="3">
        <v>64805</v>
      </c>
      <c r="D684" t="s">
        <v>666</v>
      </c>
      <c r="E684">
        <v>29</v>
      </c>
      <c r="F684" s="1">
        <v>45389</v>
      </c>
      <c r="G684" s="1" t="str">
        <f>TEXT(Table1[[#This Row],[Enrollment date]], "mmm")</f>
        <v>Apr</v>
      </c>
      <c r="H684" t="s">
        <v>360</v>
      </c>
      <c r="I684" t="s">
        <v>660</v>
      </c>
      <c r="J684" t="str">
        <f>_xlfn.XLOOKUP(Table1[[#This Row],[Course ]], CCF!B:B, CCF!A:A)</f>
        <v>DM101</v>
      </c>
      <c r="K684" t="s">
        <v>365</v>
      </c>
      <c r="L684">
        <f>_xlfn.XLOOKUP(K684, CCF!B:B, CCF!C:C)</f>
        <v>85499</v>
      </c>
      <c r="M684" t="s">
        <v>16</v>
      </c>
    </row>
    <row r="685" spans="1:13" x14ac:dyDescent="0.3">
      <c r="A685">
        <v>684</v>
      </c>
      <c r="B685" t="s">
        <v>1349</v>
      </c>
      <c r="C685" s="3">
        <v>35150</v>
      </c>
      <c r="D685" t="s">
        <v>667</v>
      </c>
      <c r="E685">
        <v>31</v>
      </c>
      <c r="F685" s="1">
        <v>45389</v>
      </c>
      <c r="G685" s="1" t="str">
        <f>TEXT(Table1[[#This Row],[Enrollment date]], "mmm")</f>
        <v>Apr</v>
      </c>
      <c r="H685" t="s">
        <v>360</v>
      </c>
      <c r="I685" t="s">
        <v>661</v>
      </c>
      <c r="J685" t="str">
        <f>_xlfn.XLOOKUP(Table1[[#This Row],[Course ]], CCF!B:B, CCF!A:A)</f>
        <v>DA202</v>
      </c>
      <c r="K685" t="s">
        <v>363</v>
      </c>
      <c r="L685">
        <f>_xlfn.XLOOKUP(K685, CCF!B:B, CCF!C:C)</f>
        <v>79999</v>
      </c>
      <c r="M685" t="s">
        <v>9</v>
      </c>
    </row>
    <row r="686" spans="1:13" x14ac:dyDescent="0.3">
      <c r="A686">
        <v>685</v>
      </c>
      <c r="B686" t="s">
        <v>1350</v>
      </c>
      <c r="C686" s="3">
        <v>21773</v>
      </c>
      <c r="D686" t="s">
        <v>666</v>
      </c>
      <c r="E686">
        <v>31</v>
      </c>
      <c r="F686" s="1">
        <v>45390</v>
      </c>
      <c r="G686" s="1" t="str">
        <f>TEXT(Table1[[#This Row],[Enrollment date]], "mmm")</f>
        <v>Apr</v>
      </c>
      <c r="H686" t="s">
        <v>360</v>
      </c>
      <c r="I686" t="s">
        <v>664</v>
      </c>
      <c r="J686" t="str">
        <f>_xlfn.XLOOKUP(Table1[[#This Row],[Course ]], CCF!B:B, CCF!A:A)</f>
        <v>DA202</v>
      </c>
      <c r="K686" t="s">
        <v>363</v>
      </c>
      <c r="L686">
        <f>_xlfn.XLOOKUP(K686, CCF!B:B, CCF!C:C)</f>
        <v>79999</v>
      </c>
      <c r="M686" t="s">
        <v>459</v>
      </c>
    </row>
    <row r="687" spans="1:13" x14ac:dyDescent="0.3">
      <c r="A687">
        <v>686</v>
      </c>
      <c r="B687" t="s">
        <v>1351</v>
      </c>
      <c r="C687" s="3">
        <v>91500</v>
      </c>
      <c r="D687" t="s">
        <v>666</v>
      </c>
      <c r="E687">
        <v>29</v>
      </c>
      <c r="F687" s="1">
        <v>45390</v>
      </c>
      <c r="G687" s="1" t="str">
        <f>TEXT(Table1[[#This Row],[Enrollment date]], "mmm")</f>
        <v>Apr</v>
      </c>
      <c r="H687" t="s">
        <v>360</v>
      </c>
      <c r="I687" t="s">
        <v>661</v>
      </c>
      <c r="J687" t="str">
        <f>_xlfn.XLOOKUP(Table1[[#This Row],[Course ]], CCF!B:B, CCF!A:A)</f>
        <v>DM101</v>
      </c>
      <c r="K687" t="s">
        <v>365</v>
      </c>
      <c r="L687">
        <f>_xlfn.XLOOKUP(K687, CCF!B:B, CCF!C:C)</f>
        <v>85499</v>
      </c>
      <c r="M687" t="s">
        <v>256</v>
      </c>
    </row>
    <row r="688" spans="1:13" x14ac:dyDescent="0.3">
      <c r="A688">
        <v>687</v>
      </c>
      <c r="B688" t="s">
        <v>1352</v>
      </c>
      <c r="C688" s="3">
        <v>25885</v>
      </c>
      <c r="D688" t="s">
        <v>666</v>
      </c>
      <c r="E688">
        <v>33</v>
      </c>
      <c r="F688" s="1">
        <v>45390</v>
      </c>
      <c r="G688" s="1" t="str">
        <f>TEXT(Table1[[#This Row],[Enrollment date]], "mmm")</f>
        <v>Apr</v>
      </c>
      <c r="H688" t="s">
        <v>360</v>
      </c>
      <c r="I688" t="s">
        <v>659</v>
      </c>
      <c r="J688" t="str">
        <f>_xlfn.XLOOKUP(Table1[[#This Row],[Course ]], CCF!B:B, CCF!A:A)</f>
        <v>DM101</v>
      </c>
      <c r="K688" t="s">
        <v>365</v>
      </c>
      <c r="L688">
        <f>_xlfn.XLOOKUP(K688, CCF!B:B, CCF!C:C)</f>
        <v>85499</v>
      </c>
      <c r="M688" t="s">
        <v>9</v>
      </c>
    </row>
    <row r="689" spans="1:13" x14ac:dyDescent="0.3">
      <c r="A689">
        <v>688</v>
      </c>
      <c r="B689" t="s">
        <v>1353</v>
      </c>
      <c r="C689" s="3">
        <v>81369</v>
      </c>
      <c r="D689" t="s">
        <v>667</v>
      </c>
      <c r="E689">
        <v>61</v>
      </c>
      <c r="F689" s="1">
        <v>45390</v>
      </c>
      <c r="G689" s="1" t="str">
        <f>TEXT(Table1[[#This Row],[Enrollment date]], "mmm")</f>
        <v>Apr</v>
      </c>
      <c r="H689" t="s">
        <v>360</v>
      </c>
      <c r="I689" t="s">
        <v>660</v>
      </c>
      <c r="J689" t="str">
        <f>_xlfn.XLOOKUP(Table1[[#This Row],[Course ]], CCF!B:B, CCF!A:A)</f>
        <v>DA202</v>
      </c>
      <c r="K689" t="s">
        <v>363</v>
      </c>
      <c r="L689">
        <f>_xlfn.XLOOKUP(K689, CCF!B:B, CCF!C:C)</f>
        <v>79999</v>
      </c>
      <c r="M689" t="s">
        <v>460</v>
      </c>
    </row>
    <row r="690" spans="1:13" x14ac:dyDescent="0.3">
      <c r="A690">
        <v>689</v>
      </c>
      <c r="B690" t="s">
        <v>1354</v>
      </c>
      <c r="C690" s="3">
        <v>28300</v>
      </c>
      <c r="D690" t="s">
        <v>666</v>
      </c>
      <c r="E690">
        <v>20</v>
      </c>
      <c r="F690" s="1">
        <v>45390</v>
      </c>
      <c r="G690" s="1" t="str">
        <f>TEXT(Table1[[#This Row],[Enrollment date]], "mmm")</f>
        <v>Apr</v>
      </c>
      <c r="H690" t="s">
        <v>360</v>
      </c>
      <c r="I690" t="s">
        <v>659</v>
      </c>
      <c r="J690" t="str">
        <f>_xlfn.XLOOKUP(Table1[[#This Row],[Course ]], CCF!B:B, CCF!A:A)</f>
        <v>DA202</v>
      </c>
      <c r="K690" t="s">
        <v>363</v>
      </c>
      <c r="L690">
        <f>_xlfn.XLOOKUP(K690, CCF!B:B, CCF!C:C)</f>
        <v>79999</v>
      </c>
      <c r="M690" t="s">
        <v>18</v>
      </c>
    </row>
    <row r="691" spans="1:13" x14ac:dyDescent="0.3">
      <c r="A691">
        <v>690</v>
      </c>
      <c r="B691" t="s">
        <v>1355</v>
      </c>
      <c r="C691" s="3">
        <v>81518</v>
      </c>
      <c r="D691" t="s">
        <v>667</v>
      </c>
      <c r="E691">
        <v>26</v>
      </c>
      <c r="F691" s="1">
        <v>45390</v>
      </c>
      <c r="G691" s="1" t="str">
        <f>TEXT(Table1[[#This Row],[Enrollment date]], "mmm")</f>
        <v>Apr</v>
      </c>
      <c r="H691" t="s">
        <v>360</v>
      </c>
      <c r="I691" t="s">
        <v>659</v>
      </c>
      <c r="J691" t="str">
        <f>_xlfn.XLOOKUP(Table1[[#This Row],[Course ]], CCF!B:B, CCF!A:A)</f>
        <v>DM101</v>
      </c>
      <c r="K691" t="s">
        <v>365</v>
      </c>
      <c r="L691">
        <f>_xlfn.XLOOKUP(K691, CCF!B:B, CCF!C:C)</f>
        <v>85499</v>
      </c>
      <c r="M691" t="s">
        <v>141</v>
      </c>
    </row>
    <row r="692" spans="1:13" x14ac:dyDescent="0.3">
      <c r="A692">
        <v>691</v>
      </c>
      <c r="B692" t="s">
        <v>1356</v>
      </c>
      <c r="C692" s="3">
        <v>47679</v>
      </c>
      <c r="D692" t="s">
        <v>666</v>
      </c>
      <c r="E692">
        <v>43</v>
      </c>
      <c r="F692" s="1">
        <v>45390</v>
      </c>
      <c r="G692" s="1" t="str">
        <f>TEXT(Table1[[#This Row],[Enrollment date]], "mmm")</f>
        <v>Apr</v>
      </c>
      <c r="H692" t="s">
        <v>360</v>
      </c>
      <c r="I692" t="s">
        <v>660</v>
      </c>
      <c r="J692" t="str">
        <f>_xlfn.XLOOKUP(Table1[[#This Row],[Course ]], CCF!B:B, CCF!A:A)</f>
        <v>DM101</v>
      </c>
      <c r="K692" t="s">
        <v>365</v>
      </c>
      <c r="L692">
        <f>_xlfn.XLOOKUP(K692, CCF!B:B, CCF!C:C)</f>
        <v>85499</v>
      </c>
      <c r="M692" t="s">
        <v>321</v>
      </c>
    </row>
    <row r="693" spans="1:13" x14ac:dyDescent="0.3">
      <c r="A693">
        <v>692</v>
      </c>
      <c r="B693" t="s">
        <v>1357</v>
      </c>
      <c r="C693" s="3">
        <v>89099</v>
      </c>
      <c r="D693" t="s">
        <v>667</v>
      </c>
      <c r="E693">
        <v>68</v>
      </c>
      <c r="F693" s="1">
        <v>45391</v>
      </c>
      <c r="G693" s="1" t="str">
        <f>TEXT(Table1[[#This Row],[Enrollment date]], "mmm")</f>
        <v>Apr</v>
      </c>
      <c r="H693" t="s">
        <v>360</v>
      </c>
      <c r="I693" t="s">
        <v>661</v>
      </c>
      <c r="J693" t="str">
        <f>_xlfn.XLOOKUP(Table1[[#This Row],[Course ]], CCF!B:B, CCF!A:A)</f>
        <v>DM101</v>
      </c>
      <c r="K693" t="s">
        <v>365</v>
      </c>
      <c r="L693">
        <f>_xlfn.XLOOKUP(K693, CCF!B:B, CCF!C:C)</f>
        <v>85499</v>
      </c>
      <c r="M693" t="s">
        <v>27</v>
      </c>
    </row>
    <row r="694" spans="1:13" x14ac:dyDescent="0.3">
      <c r="A694">
        <v>693</v>
      </c>
      <c r="B694" t="s">
        <v>1358</v>
      </c>
      <c r="C694" s="3">
        <v>36706</v>
      </c>
      <c r="D694" t="s">
        <v>666</v>
      </c>
      <c r="E694">
        <v>48</v>
      </c>
      <c r="F694" s="1">
        <v>45391</v>
      </c>
      <c r="G694" s="1" t="str">
        <f>TEXT(Table1[[#This Row],[Enrollment date]], "mmm")</f>
        <v>Apr</v>
      </c>
      <c r="H694" t="s">
        <v>360</v>
      </c>
      <c r="I694" t="s">
        <v>661</v>
      </c>
      <c r="J694" t="str">
        <f>_xlfn.XLOOKUP(Table1[[#This Row],[Course ]], CCF!B:B, CCF!A:A)</f>
        <v>DA202</v>
      </c>
      <c r="K694" t="s">
        <v>363</v>
      </c>
      <c r="L694">
        <f>_xlfn.XLOOKUP(K694, CCF!B:B, CCF!C:C)</f>
        <v>79999</v>
      </c>
      <c r="M694" t="s">
        <v>346</v>
      </c>
    </row>
    <row r="695" spans="1:13" x14ac:dyDescent="0.3">
      <c r="A695">
        <v>694</v>
      </c>
      <c r="B695" t="s">
        <v>1359</v>
      </c>
      <c r="C695" s="3">
        <v>7003</v>
      </c>
      <c r="D695" t="s">
        <v>666</v>
      </c>
      <c r="E695">
        <v>33</v>
      </c>
      <c r="F695" s="1">
        <v>45391</v>
      </c>
      <c r="G695" s="1" t="str">
        <f>TEXT(Table1[[#This Row],[Enrollment date]], "mmm")</f>
        <v>Apr</v>
      </c>
      <c r="H695" t="s">
        <v>360</v>
      </c>
      <c r="I695" t="s">
        <v>659</v>
      </c>
      <c r="J695" t="str">
        <f>_xlfn.XLOOKUP(Table1[[#This Row],[Course ]], CCF!B:B, CCF!A:A)</f>
        <v>DA202</v>
      </c>
      <c r="K695" t="s">
        <v>363</v>
      </c>
      <c r="L695">
        <f>_xlfn.XLOOKUP(K695, CCF!B:B, CCF!C:C)</f>
        <v>79999</v>
      </c>
      <c r="M695" t="s">
        <v>172</v>
      </c>
    </row>
    <row r="696" spans="1:13" x14ac:dyDescent="0.3">
      <c r="A696">
        <v>695</v>
      </c>
      <c r="B696" t="s">
        <v>1360</v>
      </c>
      <c r="C696" s="3">
        <v>22202</v>
      </c>
      <c r="D696" t="s">
        <v>667</v>
      </c>
      <c r="E696">
        <v>41</v>
      </c>
      <c r="F696" s="1">
        <v>45391</v>
      </c>
      <c r="G696" s="1" t="str">
        <f>TEXT(Table1[[#This Row],[Enrollment date]], "mmm")</f>
        <v>Apr</v>
      </c>
      <c r="H696" t="s">
        <v>361</v>
      </c>
      <c r="I696" t="s">
        <v>660</v>
      </c>
      <c r="J696" t="str">
        <f>_xlfn.XLOOKUP(Table1[[#This Row],[Course ]], CCF!B:B, CCF!A:A)</f>
        <v>DM101</v>
      </c>
      <c r="K696" t="s">
        <v>365</v>
      </c>
      <c r="L696">
        <f>_xlfn.XLOOKUP(K696, CCF!B:B, CCF!C:C)</f>
        <v>85499</v>
      </c>
      <c r="M696" t="s">
        <v>461</v>
      </c>
    </row>
    <row r="697" spans="1:13" x14ac:dyDescent="0.3">
      <c r="A697">
        <v>696</v>
      </c>
      <c r="B697" t="s">
        <v>1361</v>
      </c>
      <c r="C697" s="3">
        <v>72595</v>
      </c>
      <c r="D697" t="s">
        <v>666</v>
      </c>
      <c r="E697">
        <v>48</v>
      </c>
      <c r="F697" s="1">
        <v>45391</v>
      </c>
      <c r="G697" s="1" t="str">
        <f>TEXT(Table1[[#This Row],[Enrollment date]], "mmm")</f>
        <v>Apr</v>
      </c>
      <c r="H697" t="s">
        <v>360</v>
      </c>
      <c r="I697" t="s">
        <v>661</v>
      </c>
      <c r="J697" t="str">
        <f>_xlfn.XLOOKUP(Table1[[#This Row],[Course ]], CCF!B:B, CCF!A:A)</f>
        <v>DA202</v>
      </c>
      <c r="K697" t="s">
        <v>363</v>
      </c>
      <c r="L697">
        <f>_xlfn.XLOOKUP(K697, CCF!B:B, CCF!C:C)</f>
        <v>79999</v>
      </c>
      <c r="M697" t="s">
        <v>462</v>
      </c>
    </row>
    <row r="698" spans="1:13" x14ac:dyDescent="0.3">
      <c r="A698">
        <v>697</v>
      </c>
      <c r="B698" t="s">
        <v>1362</v>
      </c>
      <c r="C698" s="3">
        <v>33882</v>
      </c>
      <c r="D698" t="s">
        <v>666</v>
      </c>
      <c r="E698">
        <v>45</v>
      </c>
      <c r="F698" s="1">
        <v>45391</v>
      </c>
      <c r="G698" s="1" t="str">
        <f>TEXT(Table1[[#This Row],[Enrollment date]], "mmm")</f>
        <v>Apr</v>
      </c>
      <c r="H698" t="s">
        <v>360</v>
      </c>
      <c r="I698" t="s">
        <v>662</v>
      </c>
      <c r="J698" t="str">
        <f>_xlfn.XLOOKUP(Table1[[#This Row],[Course ]], CCF!B:B, CCF!A:A)</f>
        <v>DM101</v>
      </c>
      <c r="K698" t="s">
        <v>365</v>
      </c>
      <c r="L698">
        <f>_xlfn.XLOOKUP(K698, CCF!B:B, CCF!C:C)</f>
        <v>85499</v>
      </c>
      <c r="M698" t="s">
        <v>323</v>
      </c>
    </row>
    <row r="699" spans="1:13" x14ac:dyDescent="0.3">
      <c r="A699">
        <v>698</v>
      </c>
      <c r="B699" t="s">
        <v>1363</v>
      </c>
      <c r="C699" s="3">
        <v>73583</v>
      </c>
      <c r="D699" t="s">
        <v>667</v>
      </c>
      <c r="E699">
        <v>23</v>
      </c>
      <c r="F699" s="1">
        <v>45391</v>
      </c>
      <c r="G699" s="1" t="str">
        <f>TEXT(Table1[[#This Row],[Enrollment date]], "mmm")</f>
        <v>Apr</v>
      </c>
      <c r="H699" t="s">
        <v>360</v>
      </c>
      <c r="I699" t="s">
        <v>660</v>
      </c>
      <c r="J699" t="str">
        <f>_xlfn.XLOOKUP(Table1[[#This Row],[Course ]], CCF!B:B, CCF!A:A)</f>
        <v>DM101</v>
      </c>
      <c r="K699" t="s">
        <v>365</v>
      </c>
      <c r="L699">
        <f>_xlfn.XLOOKUP(K699, CCF!B:B, CCF!C:C)</f>
        <v>85499</v>
      </c>
      <c r="M699" t="s">
        <v>463</v>
      </c>
    </row>
    <row r="700" spans="1:13" x14ac:dyDescent="0.3">
      <c r="A700">
        <v>699</v>
      </c>
      <c r="B700" t="s">
        <v>1364</v>
      </c>
      <c r="C700" s="3">
        <v>67507</v>
      </c>
      <c r="D700" t="s">
        <v>666</v>
      </c>
      <c r="E700">
        <v>33</v>
      </c>
      <c r="F700" s="1">
        <v>45392</v>
      </c>
      <c r="G700" s="1" t="str">
        <f>TEXT(Table1[[#This Row],[Enrollment date]], "mmm")</f>
        <v>Apr</v>
      </c>
      <c r="H700" t="s">
        <v>360</v>
      </c>
      <c r="I700" t="s">
        <v>660</v>
      </c>
      <c r="J700" t="str">
        <f>_xlfn.XLOOKUP(Table1[[#This Row],[Course ]], CCF!B:B, CCF!A:A)</f>
        <v>DM101</v>
      </c>
      <c r="K700" t="s">
        <v>365</v>
      </c>
      <c r="L700">
        <f>_xlfn.XLOOKUP(K700, CCF!B:B, CCF!C:C)</f>
        <v>85499</v>
      </c>
      <c r="M700" t="s">
        <v>327</v>
      </c>
    </row>
    <row r="701" spans="1:13" x14ac:dyDescent="0.3">
      <c r="A701">
        <v>700</v>
      </c>
      <c r="B701" t="s">
        <v>1365</v>
      </c>
      <c r="C701" s="3">
        <v>64755</v>
      </c>
      <c r="D701" t="s">
        <v>666</v>
      </c>
      <c r="E701">
        <v>19</v>
      </c>
      <c r="F701" s="1">
        <v>45392</v>
      </c>
      <c r="G701" s="1" t="str">
        <f>TEXT(Table1[[#This Row],[Enrollment date]], "mmm")</f>
        <v>Apr</v>
      </c>
      <c r="H701" t="s">
        <v>360</v>
      </c>
      <c r="I701" t="s">
        <v>661</v>
      </c>
      <c r="J701" t="str">
        <f>_xlfn.XLOOKUP(Table1[[#This Row],[Course ]], CCF!B:B, CCF!A:A)</f>
        <v>BA301</v>
      </c>
      <c r="K701" t="s">
        <v>364</v>
      </c>
      <c r="L701">
        <f>_xlfn.XLOOKUP(K701, CCF!B:B, CCF!C:C)</f>
        <v>59999</v>
      </c>
      <c r="M701" t="s">
        <v>433</v>
      </c>
    </row>
    <row r="702" spans="1:13" x14ac:dyDescent="0.3">
      <c r="A702">
        <v>701</v>
      </c>
      <c r="B702" t="s">
        <v>1366</v>
      </c>
      <c r="C702" s="3">
        <v>34248</v>
      </c>
      <c r="D702" t="s">
        <v>666</v>
      </c>
      <c r="E702">
        <v>29</v>
      </c>
      <c r="F702" s="1">
        <v>45392</v>
      </c>
      <c r="G702" s="1" t="str">
        <f>TEXT(Table1[[#This Row],[Enrollment date]], "mmm")</f>
        <v>Apr</v>
      </c>
      <c r="H702" t="s">
        <v>3</v>
      </c>
      <c r="I702" t="s">
        <v>661</v>
      </c>
      <c r="J702" t="str">
        <f>_xlfn.XLOOKUP(Table1[[#This Row],[Course ]], CCF!B:B, CCF!A:A)</f>
        <v>DA202</v>
      </c>
      <c r="K702" t="s">
        <v>363</v>
      </c>
      <c r="L702">
        <f>_xlfn.XLOOKUP(K702, CCF!B:B, CCF!C:C)</f>
        <v>79999</v>
      </c>
      <c r="M702" t="s">
        <v>54</v>
      </c>
    </row>
    <row r="703" spans="1:13" x14ac:dyDescent="0.3">
      <c r="A703">
        <v>702</v>
      </c>
      <c r="B703" t="s">
        <v>1367</v>
      </c>
      <c r="C703" s="3">
        <v>15828</v>
      </c>
      <c r="D703" t="s">
        <v>666</v>
      </c>
      <c r="E703">
        <v>21</v>
      </c>
      <c r="F703" s="1">
        <v>45392</v>
      </c>
      <c r="G703" s="1" t="str">
        <f>TEXT(Table1[[#This Row],[Enrollment date]], "mmm")</f>
        <v>Apr</v>
      </c>
      <c r="H703" t="s">
        <v>360</v>
      </c>
      <c r="I703" t="s">
        <v>662</v>
      </c>
      <c r="J703" t="str">
        <f>_xlfn.XLOOKUP(Table1[[#This Row],[Course ]], CCF!B:B, CCF!A:A)</f>
        <v>DA202</v>
      </c>
      <c r="K703" t="s">
        <v>363</v>
      </c>
      <c r="L703">
        <f>_xlfn.XLOOKUP(K703, CCF!B:B, CCF!C:C)</f>
        <v>79999</v>
      </c>
      <c r="M703" t="s">
        <v>464</v>
      </c>
    </row>
    <row r="704" spans="1:13" x14ac:dyDescent="0.3">
      <c r="A704">
        <v>703</v>
      </c>
      <c r="B704" t="s">
        <v>1368</v>
      </c>
      <c r="C704" s="3">
        <v>70113</v>
      </c>
      <c r="D704" t="s">
        <v>666</v>
      </c>
      <c r="E704">
        <v>42</v>
      </c>
      <c r="F704" s="1">
        <v>45392</v>
      </c>
      <c r="G704" s="1" t="str">
        <f>TEXT(Table1[[#This Row],[Enrollment date]], "mmm")</f>
        <v>Apr</v>
      </c>
      <c r="H704" t="s">
        <v>360</v>
      </c>
      <c r="I704" t="s">
        <v>659</v>
      </c>
      <c r="J704" t="str">
        <f>_xlfn.XLOOKUP(Table1[[#This Row],[Course ]], CCF!B:B, CCF!A:A)</f>
        <v>BA301</v>
      </c>
      <c r="K704" t="s">
        <v>364</v>
      </c>
      <c r="L704">
        <f>_xlfn.XLOOKUP(K704, CCF!B:B, CCF!C:C)</f>
        <v>59999</v>
      </c>
      <c r="M704" t="s">
        <v>141</v>
      </c>
    </row>
    <row r="705" spans="1:13" x14ac:dyDescent="0.3">
      <c r="A705">
        <v>704</v>
      </c>
      <c r="B705" t="s">
        <v>1369</v>
      </c>
      <c r="C705" s="3">
        <v>68923</v>
      </c>
      <c r="D705" t="s">
        <v>666</v>
      </c>
      <c r="E705">
        <v>26</v>
      </c>
      <c r="F705" s="1">
        <v>45392</v>
      </c>
      <c r="G705" s="1" t="str">
        <f>TEXT(Table1[[#This Row],[Enrollment date]], "mmm")</f>
        <v>Apr</v>
      </c>
      <c r="H705" t="s">
        <v>360</v>
      </c>
      <c r="I705" t="s">
        <v>664</v>
      </c>
      <c r="J705" t="str">
        <f>_xlfn.XLOOKUP(Table1[[#This Row],[Course ]], CCF!B:B, CCF!A:A)</f>
        <v>DM101</v>
      </c>
      <c r="K705" t="s">
        <v>365</v>
      </c>
      <c r="L705">
        <f>_xlfn.XLOOKUP(K705, CCF!B:B, CCF!C:C)</f>
        <v>85499</v>
      </c>
      <c r="M705" t="s">
        <v>7</v>
      </c>
    </row>
    <row r="706" spans="1:13" x14ac:dyDescent="0.3">
      <c r="A706">
        <v>705</v>
      </c>
      <c r="B706" t="s">
        <v>1370</v>
      </c>
      <c r="C706" s="3">
        <v>77036</v>
      </c>
      <c r="D706" t="s">
        <v>667</v>
      </c>
      <c r="E706">
        <v>33</v>
      </c>
      <c r="F706" s="1">
        <v>45392</v>
      </c>
      <c r="G706" s="1" t="str">
        <f>TEXT(Table1[[#This Row],[Enrollment date]], "mmm")</f>
        <v>Apr</v>
      </c>
      <c r="H706" t="s">
        <v>360</v>
      </c>
      <c r="I706" t="s">
        <v>661</v>
      </c>
      <c r="J706" t="str">
        <f>_xlfn.XLOOKUP(Table1[[#This Row],[Course ]], CCF!B:B, CCF!A:A)</f>
        <v>DA202</v>
      </c>
      <c r="K706" t="s">
        <v>363</v>
      </c>
      <c r="L706">
        <f>_xlfn.XLOOKUP(K706, CCF!B:B, CCF!C:C)</f>
        <v>79999</v>
      </c>
      <c r="M706" t="s">
        <v>177</v>
      </c>
    </row>
    <row r="707" spans="1:13" x14ac:dyDescent="0.3">
      <c r="A707">
        <v>706</v>
      </c>
      <c r="B707" t="s">
        <v>1371</v>
      </c>
      <c r="C707" s="3">
        <v>14838</v>
      </c>
      <c r="D707" t="s">
        <v>667</v>
      </c>
      <c r="E707">
        <v>48</v>
      </c>
      <c r="F707" s="1">
        <v>45393</v>
      </c>
      <c r="G707" s="1" t="str">
        <f>TEXT(Table1[[#This Row],[Enrollment date]], "mmm")</f>
        <v>Apr</v>
      </c>
      <c r="H707" t="s">
        <v>360</v>
      </c>
      <c r="I707" t="s">
        <v>661</v>
      </c>
      <c r="J707" t="str">
        <f>_xlfn.XLOOKUP(Table1[[#This Row],[Course ]], CCF!B:B, CCF!A:A)</f>
        <v>FSD103</v>
      </c>
      <c r="K707" t="s">
        <v>366</v>
      </c>
      <c r="L707">
        <f>_xlfn.XLOOKUP(K707, CCF!B:B, CCF!C:C)</f>
        <v>109990</v>
      </c>
      <c r="M707" t="s">
        <v>304</v>
      </c>
    </row>
    <row r="708" spans="1:13" x14ac:dyDescent="0.3">
      <c r="A708">
        <v>707</v>
      </c>
      <c r="B708" t="s">
        <v>1372</v>
      </c>
      <c r="C708" s="3">
        <v>89981</v>
      </c>
      <c r="D708" t="s">
        <v>666</v>
      </c>
      <c r="E708">
        <v>31</v>
      </c>
      <c r="F708" s="1">
        <v>45393</v>
      </c>
      <c r="G708" s="1" t="str">
        <f>TEXT(Table1[[#This Row],[Enrollment date]], "mmm")</f>
        <v>Apr</v>
      </c>
      <c r="H708" t="s">
        <v>360</v>
      </c>
      <c r="I708" t="s">
        <v>659</v>
      </c>
      <c r="J708" t="str">
        <f>_xlfn.XLOOKUP(Table1[[#This Row],[Course ]], CCF!B:B, CCF!A:A)</f>
        <v>FSD103</v>
      </c>
      <c r="K708" t="s">
        <v>366</v>
      </c>
      <c r="L708">
        <f>_xlfn.XLOOKUP(K708, CCF!B:B, CCF!C:C)</f>
        <v>109990</v>
      </c>
      <c r="M708" t="s">
        <v>25</v>
      </c>
    </row>
    <row r="709" spans="1:13" x14ac:dyDescent="0.3">
      <c r="A709">
        <v>708</v>
      </c>
      <c r="B709" t="s">
        <v>1373</v>
      </c>
      <c r="C709" s="3">
        <v>66689</v>
      </c>
      <c r="D709" t="s">
        <v>666</v>
      </c>
      <c r="E709">
        <v>63</v>
      </c>
      <c r="F709" s="1">
        <v>45393</v>
      </c>
      <c r="G709" s="1" t="str">
        <f>TEXT(Table1[[#This Row],[Enrollment date]], "mmm")</f>
        <v>Apr</v>
      </c>
      <c r="H709" t="s">
        <v>360</v>
      </c>
      <c r="I709" t="s">
        <v>664</v>
      </c>
      <c r="J709" t="str">
        <f>_xlfn.XLOOKUP(Table1[[#This Row],[Course ]], CCF!B:B, CCF!A:A)</f>
        <v>DA202</v>
      </c>
      <c r="K709" t="s">
        <v>363</v>
      </c>
      <c r="L709">
        <f>_xlfn.XLOOKUP(K709, CCF!B:B, CCF!C:C)</f>
        <v>79999</v>
      </c>
      <c r="M709" t="s">
        <v>465</v>
      </c>
    </row>
    <row r="710" spans="1:13" x14ac:dyDescent="0.3">
      <c r="A710">
        <v>709</v>
      </c>
      <c r="B710" t="s">
        <v>1374</v>
      </c>
      <c r="C710" s="3">
        <v>52715</v>
      </c>
      <c r="D710" t="s">
        <v>666</v>
      </c>
      <c r="E710">
        <v>35</v>
      </c>
      <c r="F710" s="1">
        <v>45393</v>
      </c>
      <c r="G710" s="1" t="str">
        <f>TEXT(Table1[[#This Row],[Enrollment date]], "mmm")</f>
        <v>Apr</v>
      </c>
      <c r="H710" t="s">
        <v>360</v>
      </c>
      <c r="I710" t="s">
        <v>659</v>
      </c>
      <c r="J710" t="str">
        <f>_xlfn.XLOOKUP(Table1[[#This Row],[Course ]], CCF!B:B, CCF!A:A)</f>
        <v>DA202</v>
      </c>
      <c r="K710" t="s">
        <v>363</v>
      </c>
      <c r="L710">
        <f>_xlfn.XLOOKUP(K710, CCF!B:B, CCF!C:C)</f>
        <v>79999</v>
      </c>
      <c r="M710" t="s">
        <v>337</v>
      </c>
    </row>
    <row r="711" spans="1:13" x14ac:dyDescent="0.3">
      <c r="A711">
        <v>710</v>
      </c>
      <c r="B711" t="s">
        <v>1375</v>
      </c>
      <c r="C711" s="3">
        <v>16081</v>
      </c>
      <c r="D711" t="s">
        <v>666</v>
      </c>
      <c r="E711">
        <v>24</v>
      </c>
      <c r="F711" s="1">
        <v>45393</v>
      </c>
      <c r="G711" s="1" t="str">
        <f>TEXT(Table1[[#This Row],[Enrollment date]], "mmm")</f>
        <v>Apr</v>
      </c>
      <c r="H711" t="s">
        <v>360</v>
      </c>
      <c r="I711" t="s">
        <v>661</v>
      </c>
      <c r="J711" t="str">
        <f>_xlfn.XLOOKUP(Table1[[#This Row],[Course ]], CCF!B:B, CCF!A:A)</f>
        <v>DA202</v>
      </c>
      <c r="K711" t="s">
        <v>363</v>
      </c>
      <c r="L711">
        <f>_xlfn.XLOOKUP(K711, CCF!B:B, CCF!C:C)</f>
        <v>79999</v>
      </c>
      <c r="M711" t="s">
        <v>466</v>
      </c>
    </row>
    <row r="712" spans="1:13" x14ac:dyDescent="0.3">
      <c r="A712">
        <v>711</v>
      </c>
      <c r="B712" t="s">
        <v>1376</v>
      </c>
      <c r="C712" s="3">
        <v>48956</v>
      </c>
      <c r="D712" t="s">
        <v>666</v>
      </c>
      <c r="E712">
        <v>35</v>
      </c>
      <c r="F712" s="1">
        <v>45393</v>
      </c>
      <c r="G712" s="1" t="str">
        <f>TEXT(Table1[[#This Row],[Enrollment date]], "mmm")</f>
        <v>Apr</v>
      </c>
      <c r="H712" t="s">
        <v>360</v>
      </c>
      <c r="I712" t="s">
        <v>659</v>
      </c>
      <c r="J712" t="str">
        <f>_xlfn.XLOOKUP(Table1[[#This Row],[Course ]], CCF!B:B, CCF!A:A)</f>
        <v>DM101</v>
      </c>
      <c r="K712" t="s">
        <v>365</v>
      </c>
      <c r="L712">
        <f>_xlfn.XLOOKUP(K712, CCF!B:B, CCF!C:C)</f>
        <v>85499</v>
      </c>
      <c r="M712" t="s">
        <v>30</v>
      </c>
    </row>
    <row r="713" spans="1:13" x14ac:dyDescent="0.3">
      <c r="A713">
        <v>712</v>
      </c>
      <c r="B713" t="s">
        <v>1377</v>
      </c>
      <c r="C713" s="3">
        <v>50065</v>
      </c>
      <c r="D713" t="s">
        <v>666</v>
      </c>
      <c r="E713">
        <v>34</v>
      </c>
      <c r="F713" s="1">
        <v>45394</v>
      </c>
      <c r="G713" s="1" t="str">
        <f>TEXT(Table1[[#This Row],[Enrollment date]], "mmm")</f>
        <v>Apr</v>
      </c>
      <c r="H713" t="s">
        <v>360</v>
      </c>
      <c r="I713" t="s">
        <v>664</v>
      </c>
      <c r="J713" t="str">
        <f>_xlfn.XLOOKUP(Table1[[#This Row],[Course ]], CCF!B:B, CCF!A:A)</f>
        <v>DM101</v>
      </c>
      <c r="K713" t="s">
        <v>365</v>
      </c>
      <c r="L713">
        <f>_xlfn.XLOOKUP(K713, CCF!B:B, CCF!C:C)</f>
        <v>85499</v>
      </c>
      <c r="M713" t="s">
        <v>288</v>
      </c>
    </row>
    <row r="714" spans="1:13" x14ac:dyDescent="0.3">
      <c r="A714">
        <v>713</v>
      </c>
      <c r="B714" t="s">
        <v>1378</v>
      </c>
      <c r="C714" s="3">
        <v>99437</v>
      </c>
      <c r="D714" t="s">
        <v>666</v>
      </c>
      <c r="E714">
        <v>29</v>
      </c>
      <c r="F714" s="1">
        <v>45394</v>
      </c>
      <c r="G714" s="1" t="str">
        <f>TEXT(Table1[[#This Row],[Enrollment date]], "mmm")</f>
        <v>Apr</v>
      </c>
      <c r="H714" t="s">
        <v>360</v>
      </c>
      <c r="I714" t="s">
        <v>659</v>
      </c>
      <c r="J714" t="str">
        <f>_xlfn.XLOOKUP(Table1[[#This Row],[Course ]], CCF!B:B, CCF!A:A)</f>
        <v>DM101</v>
      </c>
      <c r="K714" t="s">
        <v>365</v>
      </c>
      <c r="L714">
        <f>_xlfn.XLOOKUP(K714, CCF!B:B, CCF!C:C)</f>
        <v>85499</v>
      </c>
      <c r="M714" t="s">
        <v>134</v>
      </c>
    </row>
    <row r="715" spans="1:13" x14ac:dyDescent="0.3">
      <c r="A715">
        <v>714</v>
      </c>
      <c r="B715" t="s">
        <v>1379</v>
      </c>
      <c r="C715" s="3">
        <v>19107</v>
      </c>
      <c r="D715" t="s">
        <v>667</v>
      </c>
      <c r="E715">
        <v>71</v>
      </c>
      <c r="F715" s="1">
        <v>45394</v>
      </c>
      <c r="G715" s="1" t="str">
        <f>TEXT(Table1[[#This Row],[Enrollment date]], "mmm")</f>
        <v>Apr</v>
      </c>
      <c r="H715" t="s">
        <v>360</v>
      </c>
      <c r="I715" t="s">
        <v>660</v>
      </c>
      <c r="J715" t="str">
        <f>_xlfn.XLOOKUP(Table1[[#This Row],[Course ]], CCF!B:B, CCF!A:A)</f>
        <v>DM101</v>
      </c>
      <c r="K715" t="s">
        <v>365</v>
      </c>
      <c r="L715">
        <f>_xlfn.XLOOKUP(K715, CCF!B:B, CCF!C:C)</f>
        <v>85499</v>
      </c>
      <c r="M715" t="s">
        <v>30</v>
      </c>
    </row>
    <row r="716" spans="1:13" x14ac:dyDescent="0.3">
      <c r="A716">
        <v>715</v>
      </c>
      <c r="B716" t="s">
        <v>1380</v>
      </c>
      <c r="C716" s="3">
        <v>28343</v>
      </c>
      <c r="D716" t="s">
        <v>666</v>
      </c>
      <c r="E716">
        <v>44</v>
      </c>
      <c r="F716" s="1">
        <v>45394</v>
      </c>
      <c r="G716" s="1" t="str">
        <f>TEXT(Table1[[#This Row],[Enrollment date]], "mmm")</f>
        <v>Apr</v>
      </c>
      <c r="H716" t="s">
        <v>360</v>
      </c>
      <c r="I716" t="s">
        <v>661</v>
      </c>
      <c r="J716" t="str">
        <f>_xlfn.XLOOKUP(Table1[[#This Row],[Course ]], CCF!B:B, CCF!A:A)</f>
        <v>DM101</v>
      </c>
      <c r="K716" t="s">
        <v>365</v>
      </c>
      <c r="L716">
        <f>_xlfn.XLOOKUP(K716, CCF!B:B, CCF!C:C)</f>
        <v>85499</v>
      </c>
      <c r="M716" t="s">
        <v>35</v>
      </c>
    </row>
    <row r="717" spans="1:13" x14ac:dyDescent="0.3">
      <c r="A717">
        <v>716</v>
      </c>
      <c r="B717" t="s">
        <v>1381</v>
      </c>
      <c r="C717" s="3">
        <v>60247</v>
      </c>
      <c r="D717" t="s">
        <v>667</v>
      </c>
      <c r="E717">
        <v>57</v>
      </c>
      <c r="F717" s="1">
        <v>45394</v>
      </c>
      <c r="G717" s="1" t="str">
        <f>TEXT(Table1[[#This Row],[Enrollment date]], "mmm")</f>
        <v>Apr</v>
      </c>
      <c r="H717" t="s">
        <v>360</v>
      </c>
      <c r="I717" t="s">
        <v>659</v>
      </c>
      <c r="J717" t="str">
        <f>_xlfn.XLOOKUP(Table1[[#This Row],[Course ]], CCF!B:B, CCF!A:A)</f>
        <v>DM101</v>
      </c>
      <c r="K717" t="s">
        <v>365</v>
      </c>
      <c r="L717">
        <f>_xlfn.XLOOKUP(K717, CCF!B:B, CCF!C:C)</f>
        <v>85499</v>
      </c>
      <c r="M717" t="s">
        <v>75</v>
      </c>
    </row>
    <row r="718" spans="1:13" x14ac:dyDescent="0.3">
      <c r="A718">
        <v>717</v>
      </c>
      <c r="B718" t="s">
        <v>1382</v>
      </c>
      <c r="C718" s="3">
        <v>90061</v>
      </c>
      <c r="D718" t="s">
        <v>667</v>
      </c>
      <c r="E718">
        <v>45</v>
      </c>
      <c r="F718" s="1">
        <v>45395</v>
      </c>
      <c r="G718" s="1" t="str">
        <f>TEXT(Table1[[#This Row],[Enrollment date]], "mmm")</f>
        <v>Apr</v>
      </c>
      <c r="H718" t="s">
        <v>360</v>
      </c>
      <c r="I718" t="s">
        <v>659</v>
      </c>
      <c r="J718" t="str">
        <f>_xlfn.XLOOKUP(Table1[[#This Row],[Course ]], CCF!B:B, CCF!A:A)</f>
        <v>DM101</v>
      </c>
      <c r="K718" t="s">
        <v>365</v>
      </c>
      <c r="L718">
        <f>_xlfn.XLOOKUP(K718, CCF!B:B, CCF!C:C)</f>
        <v>85499</v>
      </c>
      <c r="M718" t="s">
        <v>16</v>
      </c>
    </row>
    <row r="719" spans="1:13" x14ac:dyDescent="0.3">
      <c r="A719">
        <v>718</v>
      </c>
      <c r="B719" t="s">
        <v>1383</v>
      </c>
      <c r="C719" s="3">
        <v>54966</v>
      </c>
      <c r="D719" t="s">
        <v>667</v>
      </c>
      <c r="E719">
        <v>23</v>
      </c>
      <c r="F719" s="1">
        <v>45396</v>
      </c>
      <c r="G719" s="1" t="str">
        <f>TEXT(Table1[[#This Row],[Enrollment date]], "mmm")</f>
        <v>Apr</v>
      </c>
      <c r="H719" t="s">
        <v>360</v>
      </c>
      <c r="I719" t="s">
        <v>661</v>
      </c>
      <c r="J719" t="str">
        <f>_xlfn.XLOOKUP(Table1[[#This Row],[Course ]], CCF!B:B, CCF!A:A)</f>
        <v>BA301</v>
      </c>
      <c r="K719" t="s">
        <v>364</v>
      </c>
      <c r="L719">
        <f>_xlfn.XLOOKUP(K719, CCF!B:B, CCF!C:C)</f>
        <v>59999</v>
      </c>
      <c r="M719" t="s">
        <v>159</v>
      </c>
    </row>
    <row r="720" spans="1:13" x14ac:dyDescent="0.3">
      <c r="A720">
        <v>719</v>
      </c>
      <c r="B720" t="s">
        <v>1384</v>
      </c>
      <c r="C720" s="3">
        <v>81363</v>
      </c>
      <c r="D720" t="s">
        <v>666</v>
      </c>
      <c r="E720">
        <v>42</v>
      </c>
      <c r="F720" s="1">
        <v>45396</v>
      </c>
      <c r="G720" s="1" t="str">
        <f>TEXT(Table1[[#This Row],[Enrollment date]], "mmm")</f>
        <v>Apr</v>
      </c>
      <c r="H720" t="s">
        <v>360</v>
      </c>
      <c r="I720" t="s">
        <v>661</v>
      </c>
      <c r="J720" t="str">
        <f>_xlfn.XLOOKUP(Table1[[#This Row],[Course ]], CCF!B:B, CCF!A:A)</f>
        <v>DA202</v>
      </c>
      <c r="K720" t="s">
        <v>363</v>
      </c>
      <c r="L720">
        <f>_xlfn.XLOOKUP(K720, CCF!B:B, CCF!C:C)</f>
        <v>79999</v>
      </c>
      <c r="M720" t="s">
        <v>65</v>
      </c>
    </row>
    <row r="721" spans="1:13" x14ac:dyDescent="0.3">
      <c r="A721">
        <v>720</v>
      </c>
      <c r="B721" t="s">
        <v>1385</v>
      </c>
      <c r="C721" s="3">
        <v>58118</v>
      </c>
      <c r="D721" t="s">
        <v>666</v>
      </c>
      <c r="E721">
        <v>39</v>
      </c>
      <c r="F721" s="1">
        <v>45396</v>
      </c>
      <c r="G721" s="1" t="str">
        <f>TEXT(Table1[[#This Row],[Enrollment date]], "mmm")</f>
        <v>Apr</v>
      </c>
      <c r="H721" t="s">
        <v>360</v>
      </c>
      <c r="I721" t="s">
        <v>662</v>
      </c>
      <c r="J721" t="str">
        <f>_xlfn.XLOOKUP(Table1[[#This Row],[Course ]], CCF!B:B, CCF!A:A)</f>
        <v>DM101</v>
      </c>
      <c r="K721" t="s">
        <v>365</v>
      </c>
      <c r="L721">
        <f>_xlfn.XLOOKUP(K721, CCF!B:B, CCF!C:C)</f>
        <v>85499</v>
      </c>
      <c r="M721" t="s">
        <v>274</v>
      </c>
    </row>
    <row r="722" spans="1:13" x14ac:dyDescent="0.3">
      <c r="A722">
        <v>721</v>
      </c>
      <c r="B722" t="s">
        <v>1386</v>
      </c>
      <c r="C722" s="3">
        <v>73486</v>
      </c>
      <c r="D722" t="s">
        <v>666</v>
      </c>
      <c r="E722">
        <v>25</v>
      </c>
      <c r="F722" s="1">
        <v>45396</v>
      </c>
      <c r="G722" s="1" t="str">
        <f>TEXT(Table1[[#This Row],[Enrollment date]], "mmm")</f>
        <v>Apr</v>
      </c>
      <c r="H722" t="s">
        <v>360</v>
      </c>
      <c r="I722" t="s">
        <v>661</v>
      </c>
      <c r="J722" t="str">
        <f>_xlfn.XLOOKUP(Table1[[#This Row],[Course ]], CCF!B:B, CCF!A:A)</f>
        <v>DM101</v>
      </c>
      <c r="K722" t="s">
        <v>365</v>
      </c>
      <c r="L722">
        <f>_xlfn.XLOOKUP(K722, CCF!B:B, CCF!C:C)</f>
        <v>85499</v>
      </c>
      <c r="M722" t="s">
        <v>9</v>
      </c>
    </row>
    <row r="723" spans="1:13" x14ac:dyDescent="0.3">
      <c r="A723">
        <v>722</v>
      </c>
      <c r="B723" t="s">
        <v>1387</v>
      </c>
      <c r="C723" s="3">
        <v>95147</v>
      </c>
      <c r="D723" t="s">
        <v>667</v>
      </c>
      <c r="E723">
        <v>42</v>
      </c>
      <c r="F723" s="1">
        <v>45396</v>
      </c>
      <c r="G723" s="1" t="str">
        <f>TEXT(Table1[[#This Row],[Enrollment date]], "mmm")</f>
        <v>Apr</v>
      </c>
      <c r="H723" t="s">
        <v>360</v>
      </c>
      <c r="I723" t="s">
        <v>663</v>
      </c>
      <c r="J723" t="str">
        <f>_xlfn.XLOOKUP(Table1[[#This Row],[Course ]], CCF!B:B, CCF!A:A)</f>
        <v>DM101</v>
      </c>
      <c r="K723" t="s">
        <v>365</v>
      </c>
      <c r="L723">
        <f>_xlfn.XLOOKUP(K723, CCF!B:B, CCF!C:C)</f>
        <v>85499</v>
      </c>
      <c r="M723" t="s">
        <v>467</v>
      </c>
    </row>
    <row r="724" spans="1:13" x14ac:dyDescent="0.3">
      <c r="A724">
        <v>723</v>
      </c>
      <c r="B724" t="s">
        <v>1388</v>
      </c>
      <c r="C724" s="3">
        <v>51103</v>
      </c>
      <c r="D724" t="s">
        <v>666</v>
      </c>
      <c r="E724">
        <v>22</v>
      </c>
      <c r="F724" s="1">
        <v>45396</v>
      </c>
      <c r="G724" s="1" t="str">
        <f>TEXT(Table1[[#This Row],[Enrollment date]], "mmm")</f>
        <v>Apr</v>
      </c>
      <c r="H724" t="s">
        <v>360</v>
      </c>
      <c r="I724" t="s">
        <v>661</v>
      </c>
      <c r="J724" t="str">
        <f>_xlfn.XLOOKUP(Table1[[#This Row],[Course ]], CCF!B:B, CCF!A:A)</f>
        <v>DM101</v>
      </c>
      <c r="K724" t="s">
        <v>365</v>
      </c>
      <c r="L724">
        <f>_xlfn.XLOOKUP(K724, CCF!B:B, CCF!C:C)</f>
        <v>85499</v>
      </c>
      <c r="M724" t="s">
        <v>468</v>
      </c>
    </row>
    <row r="725" spans="1:13" x14ac:dyDescent="0.3">
      <c r="A725">
        <v>724</v>
      </c>
      <c r="B725" t="s">
        <v>1389</v>
      </c>
      <c r="C725" s="3">
        <v>32727</v>
      </c>
      <c r="D725" t="s">
        <v>667</v>
      </c>
      <c r="E725">
        <v>39</v>
      </c>
      <c r="F725" s="1">
        <v>45396</v>
      </c>
      <c r="G725" s="1" t="str">
        <f>TEXT(Table1[[#This Row],[Enrollment date]], "mmm")</f>
        <v>Apr</v>
      </c>
      <c r="H725" t="s">
        <v>360</v>
      </c>
      <c r="I725" t="s">
        <v>660</v>
      </c>
      <c r="J725" t="str">
        <f>_xlfn.XLOOKUP(Table1[[#This Row],[Course ]], CCF!B:B, CCF!A:A)</f>
        <v>DA202</v>
      </c>
      <c r="K725" t="s">
        <v>363</v>
      </c>
      <c r="L725">
        <f>_xlfn.XLOOKUP(K725, CCF!B:B, CCF!C:C)</f>
        <v>79999</v>
      </c>
      <c r="M725" t="s">
        <v>26</v>
      </c>
    </row>
    <row r="726" spans="1:13" x14ac:dyDescent="0.3">
      <c r="A726">
        <v>725</v>
      </c>
      <c r="B726" t="s">
        <v>1390</v>
      </c>
      <c r="C726" s="3">
        <v>29099</v>
      </c>
      <c r="D726" t="s">
        <v>667</v>
      </c>
      <c r="E726">
        <v>41</v>
      </c>
      <c r="F726" s="1">
        <v>45397</v>
      </c>
      <c r="G726" s="1" t="str">
        <f>TEXT(Table1[[#This Row],[Enrollment date]], "mmm")</f>
        <v>Apr</v>
      </c>
      <c r="H726" t="s">
        <v>360</v>
      </c>
      <c r="I726" t="s">
        <v>661</v>
      </c>
      <c r="J726" t="str">
        <f>_xlfn.XLOOKUP(Table1[[#This Row],[Course ]], CCF!B:B, CCF!A:A)</f>
        <v>DA202</v>
      </c>
      <c r="K726" t="s">
        <v>363</v>
      </c>
      <c r="L726">
        <f>_xlfn.XLOOKUP(K726, CCF!B:B, CCF!C:C)</f>
        <v>79999</v>
      </c>
      <c r="M726" t="s">
        <v>469</v>
      </c>
    </row>
    <row r="727" spans="1:13" x14ac:dyDescent="0.3">
      <c r="A727">
        <v>726</v>
      </c>
      <c r="B727" t="s">
        <v>1391</v>
      </c>
      <c r="C727" s="3">
        <v>45388</v>
      </c>
      <c r="D727" t="s">
        <v>666</v>
      </c>
      <c r="E727">
        <v>20</v>
      </c>
      <c r="F727" s="1">
        <v>45397</v>
      </c>
      <c r="G727" s="1" t="str">
        <f>TEXT(Table1[[#This Row],[Enrollment date]], "mmm")</f>
        <v>Apr</v>
      </c>
      <c r="H727" t="s">
        <v>360</v>
      </c>
      <c r="I727" t="s">
        <v>661</v>
      </c>
      <c r="J727" t="str">
        <f>_xlfn.XLOOKUP(Table1[[#This Row],[Course ]], CCF!B:B, CCF!A:A)</f>
        <v>UX401</v>
      </c>
      <c r="K727" t="s">
        <v>367</v>
      </c>
      <c r="L727">
        <f>_xlfn.XLOOKUP(K727, CCF!B:B, CCF!C:C)</f>
        <v>67990</v>
      </c>
      <c r="M727" t="s">
        <v>43</v>
      </c>
    </row>
    <row r="728" spans="1:13" x14ac:dyDescent="0.3">
      <c r="A728">
        <v>727</v>
      </c>
      <c r="B728" t="s">
        <v>1392</v>
      </c>
      <c r="C728" s="3">
        <v>23025</v>
      </c>
      <c r="D728" t="s">
        <v>666</v>
      </c>
      <c r="E728">
        <v>47</v>
      </c>
      <c r="F728" s="1">
        <v>45397</v>
      </c>
      <c r="G728" s="1" t="str">
        <f>TEXT(Table1[[#This Row],[Enrollment date]], "mmm")</f>
        <v>Apr</v>
      </c>
      <c r="H728" t="s">
        <v>360</v>
      </c>
      <c r="I728" t="s">
        <v>664</v>
      </c>
      <c r="J728" t="str">
        <f>_xlfn.XLOOKUP(Table1[[#This Row],[Course ]], CCF!B:B, CCF!A:A)</f>
        <v>DM101</v>
      </c>
      <c r="K728" t="s">
        <v>365</v>
      </c>
      <c r="L728">
        <f>_xlfn.XLOOKUP(K728, CCF!B:B, CCF!C:C)</f>
        <v>85499</v>
      </c>
      <c r="M728" t="s">
        <v>16</v>
      </c>
    </row>
    <row r="729" spans="1:13" x14ac:dyDescent="0.3">
      <c r="A729">
        <v>728</v>
      </c>
      <c r="B729" t="s">
        <v>1393</v>
      </c>
      <c r="C729" s="3">
        <v>34134</v>
      </c>
      <c r="D729" t="s">
        <v>667</v>
      </c>
      <c r="E729">
        <v>37</v>
      </c>
      <c r="F729" s="1">
        <v>45397</v>
      </c>
      <c r="G729" s="1" t="str">
        <f>TEXT(Table1[[#This Row],[Enrollment date]], "mmm")</f>
        <v>Apr</v>
      </c>
      <c r="H729" t="s">
        <v>360</v>
      </c>
      <c r="I729" t="s">
        <v>662</v>
      </c>
      <c r="J729" t="str">
        <f>_xlfn.XLOOKUP(Table1[[#This Row],[Course ]], CCF!B:B, CCF!A:A)</f>
        <v>FSD103</v>
      </c>
      <c r="K729" t="s">
        <v>366</v>
      </c>
      <c r="L729">
        <f>_xlfn.XLOOKUP(K729, CCF!B:B, CCF!C:C)</f>
        <v>109990</v>
      </c>
      <c r="M729" t="s">
        <v>15</v>
      </c>
    </row>
    <row r="730" spans="1:13" x14ac:dyDescent="0.3">
      <c r="A730">
        <v>729</v>
      </c>
      <c r="B730" t="s">
        <v>1394</v>
      </c>
      <c r="C730" s="3">
        <v>91621</v>
      </c>
      <c r="D730" t="s">
        <v>667</v>
      </c>
      <c r="E730">
        <v>29</v>
      </c>
      <c r="F730" s="1">
        <v>45397</v>
      </c>
      <c r="G730" s="1" t="str">
        <f>TEXT(Table1[[#This Row],[Enrollment date]], "mmm")</f>
        <v>Apr</v>
      </c>
      <c r="H730" t="s">
        <v>360</v>
      </c>
      <c r="I730" t="s">
        <v>659</v>
      </c>
      <c r="J730" t="str">
        <f>_xlfn.XLOOKUP(Table1[[#This Row],[Course ]], CCF!B:B, CCF!A:A)</f>
        <v>DA202</v>
      </c>
      <c r="K730" t="s">
        <v>363</v>
      </c>
      <c r="L730">
        <f>_xlfn.XLOOKUP(K730, CCF!B:B, CCF!C:C)</f>
        <v>79999</v>
      </c>
      <c r="M730" t="s">
        <v>17</v>
      </c>
    </row>
    <row r="731" spans="1:13" x14ac:dyDescent="0.3">
      <c r="A731">
        <v>730</v>
      </c>
      <c r="B731" t="s">
        <v>1395</v>
      </c>
      <c r="C731" s="3">
        <v>65433</v>
      </c>
      <c r="D731" t="s">
        <v>666</v>
      </c>
      <c r="E731">
        <v>40</v>
      </c>
      <c r="F731" s="1">
        <v>45397</v>
      </c>
      <c r="G731" s="1" t="str">
        <f>TEXT(Table1[[#This Row],[Enrollment date]], "mmm")</f>
        <v>Apr</v>
      </c>
      <c r="H731" t="s">
        <v>360</v>
      </c>
      <c r="I731" t="s">
        <v>660</v>
      </c>
      <c r="J731" t="str">
        <f>_xlfn.XLOOKUP(Table1[[#This Row],[Course ]], CCF!B:B, CCF!A:A)</f>
        <v>DM101</v>
      </c>
      <c r="K731" t="s">
        <v>365</v>
      </c>
      <c r="L731">
        <f>_xlfn.XLOOKUP(K731, CCF!B:B, CCF!C:C)</f>
        <v>85499</v>
      </c>
      <c r="M731" t="s">
        <v>16</v>
      </c>
    </row>
    <row r="732" spans="1:13" x14ac:dyDescent="0.3">
      <c r="A732">
        <v>731</v>
      </c>
      <c r="B732" t="s">
        <v>1396</v>
      </c>
      <c r="C732" s="3">
        <v>66285</v>
      </c>
      <c r="D732" t="s">
        <v>666</v>
      </c>
      <c r="E732">
        <v>21</v>
      </c>
      <c r="F732" s="1">
        <v>45397</v>
      </c>
      <c r="G732" s="1" t="str">
        <f>TEXT(Table1[[#This Row],[Enrollment date]], "mmm")</f>
        <v>Apr</v>
      </c>
      <c r="H732" t="s">
        <v>360</v>
      </c>
      <c r="I732" t="s">
        <v>661</v>
      </c>
      <c r="J732" t="str">
        <f>_xlfn.XLOOKUP(Table1[[#This Row],[Course ]], CCF!B:B, CCF!A:A)</f>
        <v>FSD103</v>
      </c>
      <c r="K732" t="s">
        <v>366</v>
      </c>
      <c r="L732">
        <f>_xlfn.XLOOKUP(K732, CCF!B:B, CCF!C:C)</f>
        <v>109990</v>
      </c>
      <c r="M732" t="s">
        <v>80</v>
      </c>
    </row>
    <row r="733" spans="1:13" x14ac:dyDescent="0.3">
      <c r="A733">
        <v>732</v>
      </c>
      <c r="B733" t="s">
        <v>1397</v>
      </c>
      <c r="C733" s="3">
        <v>11980</v>
      </c>
      <c r="D733" t="s">
        <v>667</v>
      </c>
      <c r="E733">
        <v>53</v>
      </c>
      <c r="F733" s="1">
        <v>45397</v>
      </c>
      <c r="G733" s="1" t="str">
        <f>TEXT(Table1[[#This Row],[Enrollment date]], "mmm")</f>
        <v>Apr</v>
      </c>
      <c r="H733" t="s">
        <v>360</v>
      </c>
      <c r="I733" t="s">
        <v>661</v>
      </c>
      <c r="J733" t="str">
        <f>_xlfn.XLOOKUP(Table1[[#This Row],[Course ]], CCF!B:B, CCF!A:A)</f>
        <v>BA301</v>
      </c>
      <c r="K733" t="s">
        <v>364</v>
      </c>
      <c r="L733">
        <f>_xlfn.XLOOKUP(K733, CCF!B:B, CCF!C:C)</f>
        <v>59999</v>
      </c>
      <c r="M733" t="s">
        <v>30</v>
      </c>
    </row>
    <row r="734" spans="1:13" x14ac:dyDescent="0.3">
      <c r="A734">
        <v>733</v>
      </c>
      <c r="B734" t="s">
        <v>1398</v>
      </c>
      <c r="C734" s="3">
        <v>56982</v>
      </c>
      <c r="D734" t="s">
        <v>666</v>
      </c>
      <c r="E734">
        <v>27</v>
      </c>
      <c r="F734" s="1">
        <v>45398</v>
      </c>
      <c r="G734" s="1" t="str">
        <f>TEXT(Table1[[#This Row],[Enrollment date]], "mmm")</f>
        <v>Apr</v>
      </c>
      <c r="H734" t="s">
        <v>360</v>
      </c>
      <c r="I734" t="s">
        <v>660</v>
      </c>
      <c r="J734" t="str">
        <f>_xlfn.XLOOKUP(Table1[[#This Row],[Course ]], CCF!B:B, CCF!A:A)</f>
        <v>DM101</v>
      </c>
      <c r="K734" t="s">
        <v>365</v>
      </c>
      <c r="L734">
        <f>_xlfn.XLOOKUP(K734, CCF!B:B, CCF!C:C)</f>
        <v>85499</v>
      </c>
      <c r="M734" t="s">
        <v>9</v>
      </c>
    </row>
    <row r="735" spans="1:13" x14ac:dyDescent="0.3">
      <c r="A735">
        <v>734</v>
      </c>
      <c r="B735" t="s">
        <v>1399</v>
      </c>
      <c r="C735" s="3">
        <v>87496</v>
      </c>
      <c r="D735" t="s">
        <v>666</v>
      </c>
      <c r="E735">
        <v>32</v>
      </c>
      <c r="F735" s="1">
        <v>45398</v>
      </c>
      <c r="G735" s="1" t="str">
        <f>TEXT(Table1[[#This Row],[Enrollment date]], "mmm")</f>
        <v>Apr</v>
      </c>
      <c r="H735" t="s">
        <v>360</v>
      </c>
      <c r="I735" t="s">
        <v>661</v>
      </c>
      <c r="J735" t="str">
        <f>_xlfn.XLOOKUP(Table1[[#This Row],[Course ]], CCF!B:B, CCF!A:A)</f>
        <v>DM101</v>
      </c>
      <c r="K735" t="s">
        <v>365</v>
      </c>
      <c r="L735">
        <f>_xlfn.XLOOKUP(K735, CCF!B:B, CCF!C:C)</f>
        <v>85499</v>
      </c>
      <c r="M735" t="s">
        <v>27</v>
      </c>
    </row>
    <row r="736" spans="1:13" x14ac:dyDescent="0.3">
      <c r="A736">
        <v>735</v>
      </c>
      <c r="B736" t="s">
        <v>1400</v>
      </c>
      <c r="C736" s="3">
        <v>60767</v>
      </c>
      <c r="D736" t="s">
        <v>666</v>
      </c>
      <c r="E736">
        <v>38</v>
      </c>
      <c r="F736" s="1">
        <v>45399</v>
      </c>
      <c r="G736" s="1" t="str">
        <f>TEXT(Table1[[#This Row],[Enrollment date]], "mmm")</f>
        <v>Apr</v>
      </c>
      <c r="H736" t="s">
        <v>360</v>
      </c>
      <c r="I736" t="s">
        <v>660</v>
      </c>
      <c r="J736" t="str">
        <f>_xlfn.XLOOKUP(Table1[[#This Row],[Course ]], CCF!B:B, CCF!A:A)</f>
        <v>DM101</v>
      </c>
      <c r="K736" t="s">
        <v>365</v>
      </c>
      <c r="L736">
        <f>_xlfn.XLOOKUP(K736, CCF!B:B, CCF!C:C)</f>
        <v>85499</v>
      </c>
      <c r="M736" t="s">
        <v>18</v>
      </c>
    </row>
    <row r="737" spans="1:13" x14ac:dyDescent="0.3">
      <c r="A737">
        <v>736</v>
      </c>
      <c r="B737" t="s">
        <v>1401</v>
      </c>
      <c r="C737" s="3">
        <v>32663</v>
      </c>
      <c r="D737" t="s">
        <v>666</v>
      </c>
      <c r="E737">
        <v>33</v>
      </c>
      <c r="F737" s="1">
        <v>45399</v>
      </c>
      <c r="G737" s="1" t="str">
        <f>TEXT(Table1[[#This Row],[Enrollment date]], "mmm")</f>
        <v>Apr</v>
      </c>
      <c r="H737" t="s">
        <v>360</v>
      </c>
      <c r="I737" t="s">
        <v>663</v>
      </c>
      <c r="J737" t="str">
        <f>_xlfn.XLOOKUP(Table1[[#This Row],[Course ]], CCF!B:B, CCF!A:A)</f>
        <v>DM101</v>
      </c>
      <c r="K737" t="s">
        <v>365</v>
      </c>
      <c r="L737">
        <f>_xlfn.XLOOKUP(K737, CCF!B:B, CCF!C:C)</f>
        <v>85499</v>
      </c>
      <c r="M737" t="s">
        <v>215</v>
      </c>
    </row>
    <row r="738" spans="1:13" x14ac:dyDescent="0.3">
      <c r="A738">
        <v>737</v>
      </c>
      <c r="B738" t="s">
        <v>1402</v>
      </c>
      <c r="C738" s="3">
        <v>52509</v>
      </c>
      <c r="D738" t="s">
        <v>666</v>
      </c>
      <c r="E738">
        <v>49</v>
      </c>
      <c r="F738" s="1">
        <v>45399</v>
      </c>
      <c r="G738" s="1" t="str">
        <f>TEXT(Table1[[#This Row],[Enrollment date]], "mmm")</f>
        <v>Apr</v>
      </c>
      <c r="H738" t="s">
        <v>360</v>
      </c>
      <c r="I738" t="s">
        <v>659</v>
      </c>
      <c r="J738" t="str">
        <f>_xlfn.XLOOKUP(Table1[[#This Row],[Course ]], CCF!B:B, CCF!A:A)</f>
        <v>DA202</v>
      </c>
      <c r="K738" t="s">
        <v>363</v>
      </c>
      <c r="L738">
        <f>_xlfn.XLOOKUP(K738, CCF!B:B, CCF!C:C)</f>
        <v>79999</v>
      </c>
      <c r="M738" t="s">
        <v>62</v>
      </c>
    </row>
    <row r="739" spans="1:13" x14ac:dyDescent="0.3">
      <c r="A739">
        <v>738</v>
      </c>
      <c r="B739" t="s">
        <v>1403</v>
      </c>
      <c r="C739" s="3">
        <v>16768</v>
      </c>
      <c r="D739" t="s">
        <v>666</v>
      </c>
      <c r="E739">
        <v>26</v>
      </c>
      <c r="F739" s="1">
        <v>45399</v>
      </c>
      <c r="G739" s="1" t="str">
        <f>TEXT(Table1[[#This Row],[Enrollment date]], "mmm")</f>
        <v>Apr</v>
      </c>
      <c r="H739" t="s">
        <v>360</v>
      </c>
      <c r="I739" t="s">
        <v>660</v>
      </c>
      <c r="J739" t="str">
        <f>_xlfn.XLOOKUP(Table1[[#This Row],[Course ]], CCF!B:B, CCF!A:A)</f>
        <v>DM101</v>
      </c>
      <c r="K739" t="s">
        <v>365</v>
      </c>
      <c r="L739">
        <f>_xlfn.XLOOKUP(K739, CCF!B:B, CCF!C:C)</f>
        <v>85499</v>
      </c>
      <c r="M739" t="s">
        <v>470</v>
      </c>
    </row>
    <row r="740" spans="1:13" x14ac:dyDescent="0.3">
      <c r="A740">
        <v>739</v>
      </c>
      <c r="B740" t="s">
        <v>1404</v>
      </c>
      <c r="C740" s="3">
        <v>99076</v>
      </c>
      <c r="D740" t="s">
        <v>667</v>
      </c>
      <c r="E740">
        <v>41</v>
      </c>
      <c r="F740" s="1">
        <v>45400</v>
      </c>
      <c r="G740" s="1" t="str">
        <f>TEXT(Table1[[#This Row],[Enrollment date]], "mmm")</f>
        <v>Apr</v>
      </c>
      <c r="H740" t="s">
        <v>360</v>
      </c>
      <c r="I740" t="s">
        <v>659</v>
      </c>
      <c r="J740" t="str">
        <f>_xlfn.XLOOKUP(Table1[[#This Row],[Course ]], CCF!B:B, CCF!A:A)</f>
        <v>BA301</v>
      </c>
      <c r="K740" t="s">
        <v>364</v>
      </c>
      <c r="L740">
        <f>_xlfn.XLOOKUP(K740, CCF!B:B, CCF!C:C)</f>
        <v>59999</v>
      </c>
      <c r="M740" t="s">
        <v>175</v>
      </c>
    </row>
    <row r="741" spans="1:13" x14ac:dyDescent="0.3">
      <c r="A741">
        <v>740</v>
      </c>
      <c r="B741" t="s">
        <v>1405</v>
      </c>
      <c r="C741" s="3">
        <v>5430</v>
      </c>
      <c r="D741" t="s">
        <v>667</v>
      </c>
      <c r="E741">
        <v>44</v>
      </c>
      <c r="F741" s="1">
        <v>45400</v>
      </c>
      <c r="G741" s="1" t="str">
        <f>TEXT(Table1[[#This Row],[Enrollment date]], "mmm")</f>
        <v>Apr</v>
      </c>
      <c r="H741" t="s">
        <v>360</v>
      </c>
      <c r="I741" t="s">
        <v>660</v>
      </c>
      <c r="J741" t="str">
        <f>_xlfn.XLOOKUP(Table1[[#This Row],[Course ]], CCF!B:B, CCF!A:A)</f>
        <v>FSD103</v>
      </c>
      <c r="K741" t="s">
        <v>366</v>
      </c>
      <c r="L741">
        <f>_xlfn.XLOOKUP(K741, CCF!B:B, CCF!C:C)</f>
        <v>109990</v>
      </c>
      <c r="M741" t="s">
        <v>151</v>
      </c>
    </row>
    <row r="742" spans="1:13" x14ac:dyDescent="0.3">
      <c r="A742">
        <v>741</v>
      </c>
      <c r="B742" t="s">
        <v>1138</v>
      </c>
      <c r="C742" s="3">
        <v>13776</v>
      </c>
      <c r="D742" t="s">
        <v>666</v>
      </c>
      <c r="E742">
        <v>53</v>
      </c>
      <c r="F742" s="1">
        <v>45400</v>
      </c>
      <c r="G742" s="1" t="str">
        <f>TEXT(Table1[[#This Row],[Enrollment date]], "mmm")</f>
        <v>Apr</v>
      </c>
      <c r="H742" t="s">
        <v>360</v>
      </c>
      <c r="I742" t="s">
        <v>659</v>
      </c>
      <c r="J742" t="str">
        <f>_xlfn.XLOOKUP(Table1[[#This Row],[Course ]], CCF!B:B, CCF!A:A)</f>
        <v>DM101</v>
      </c>
      <c r="K742" t="s">
        <v>365</v>
      </c>
      <c r="L742">
        <f>_xlfn.XLOOKUP(K742, CCF!B:B, CCF!C:C)</f>
        <v>85499</v>
      </c>
      <c r="M742" t="s">
        <v>7</v>
      </c>
    </row>
    <row r="743" spans="1:13" x14ac:dyDescent="0.3">
      <c r="A743">
        <v>742</v>
      </c>
      <c r="B743" t="s">
        <v>1406</v>
      </c>
      <c r="C743" s="3">
        <v>95839</v>
      </c>
      <c r="D743" t="s">
        <v>666</v>
      </c>
      <c r="E743">
        <v>31</v>
      </c>
      <c r="F743" s="1">
        <v>45400</v>
      </c>
      <c r="G743" s="1" t="str">
        <f>TEXT(Table1[[#This Row],[Enrollment date]], "mmm")</f>
        <v>Apr</v>
      </c>
      <c r="H743" t="s">
        <v>361</v>
      </c>
      <c r="I743" t="s">
        <v>661</v>
      </c>
      <c r="J743" t="str">
        <f>_xlfn.XLOOKUP(Table1[[#This Row],[Course ]], CCF!B:B, CCF!A:A)</f>
        <v>DA202</v>
      </c>
      <c r="K743" t="s">
        <v>363</v>
      </c>
      <c r="L743">
        <f>_xlfn.XLOOKUP(K743, CCF!B:B, CCF!C:C)</f>
        <v>79999</v>
      </c>
      <c r="M743" t="s">
        <v>209</v>
      </c>
    </row>
    <row r="744" spans="1:13" x14ac:dyDescent="0.3">
      <c r="A744">
        <v>743</v>
      </c>
      <c r="B744" t="s">
        <v>1407</v>
      </c>
      <c r="C744" s="3">
        <v>81585</v>
      </c>
      <c r="D744" t="s">
        <v>667</v>
      </c>
      <c r="E744">
        <v>26</v>
      </c>
      <c r="F744" s="1">
        <v>45400</v>
      </c>
      <c r="G744" s="1" t="str">
        <f>TEXT(Table1[[#This Row],[Enrollment date]], "mmm")</f>
        <v>Apr</v>
      </c>
      <c r="H744" t="s">
        <v>360</v>
      </c>
      <c r="I744" t="s">
        <v>665</v>
      </c>
      <c r="J744" t="str">
        <f>_xlfn.XLOOKUP(Table1[[#This Row],[Course ]], CCF!B:B, CCF!A:A)</f>
        <v>DM101</v>
      </c>
      <c r="K744" t="s">
        <v>365</v>
      </c>
      <c r="L744">
        <f>_xlfn.XLOOKUP(K744, CCF!B:B, CCF!C:C)</f>
        <v>85499</v>
      </c>
      <c r="M744" t="s">
        <v>238</v>
      </c>
    </row>
    <row r="745" spans="1:13" x14ac:dyDescent="0.3">
      <c r="A745">
        <v>744</v>
      </c>
      <c r="B745" t="s">
        <v>1408</v>
      </c>
      <c r="C745" s="3">
        <v>79755</v>
      </c>
      <c r="D745" t="s">
        <v>666</v>
      </c>
      <c r="E745">
        <v>69</v>
      </c>
      <c r="F745" s="1">
        <v>45400</v>
      </c>
      <c r="G745" s="1" t="str">
        <f>TEXT(Table1[[#This Row],[Enrollment date]], "mmm")</f>
        <v>Apr</v>
      </c>
      <c r="H745" t="s">
        <v>360</v>
      </c>
      <c r="I745" t="s">
        <v>661</v>
      </c>
      <c r="J745" t="str">
        <f>_xlfn.XLOOKUP(Table1[[#This Row],[Course ]], CCF!B:B, CCF!A:A)</f>
        <v>DM101</v>
      </c>
      <c r="K745" t="s">
        <v>365</v>
      </c>
      <c r="L745">
        <f>_xlfn.XLOOKUP(K745, CCF!B:B, CCF!C:C)</f>
        <v>85499</v>
      </c>
      <c r="M745" t="s">
        <v>112</v>
      </c>
    </row>
    <row r="746" spans="1:13" x14ac:dyDescent="0.3">
      <c r="A746">
        <v>745</v>
      </c>
      <c r="B746" t="s">
        <v>1409</v>
      </c>
      <c r="C746" s="3">
        <v>53232</v>
      </c>
      <c r="D746" t="s">
        <v>666</v>
      </c>
      <c r="E746">
        <v>26</v>
      </c>
      <c r="F746" s="1">
        <v>45400</v>
      </c>
      <c r="G746" s="1" t="str">
        <f>TEXT(Table1[[#This Row],[Enrollment date]], "mmm")</f>
        <v>Apr</v>
      </c>
      <c r="H746" t="s">
        <v>360</v>
      </c>
      <c r="I746" t="s">
        <v>659</v>
      </c>
      <c r="J746" t="str">
        <f>_xlfn.XLOOKUP(Table1[[#This Row],[Course ]], CCF!B:B, CCF!A:A)</f>
        <v>DA202</v>
      </c>
      <c r="K746" t="s">
        <v>363</v>
      </c>
      <c r="L746">
        <f>_xlfn.XLOOKUP(K746, CCF!B:B, CCF!C:C)</f>
        <v>79999</v>
      </c>
      <c r="M746" t="s">
        <v>9</v>
      </c>
    </row>
    <row r="747" spans="1:13" x14ac:dyDescent="0.3">
      <c r="A747">
        <v>746</v>
      </c>
      <c r="B747" t="s">
        <v>1410</v>
      </c>
      <c r="C747" s="3">
        <v>22524</v>
      </c>
      <c r="D747" t="s">
        <v>666</v>
      </c>
      <c r="E747">
        <v>24</v>
      </c>
      <c r="F747" s="1">
        <v>45400</v>
      </c>
      <c r="G747" s="1" t="str">
        <f>TEXT(Table1[[#This Row],[Enrollment date]], "mmm")</f>
        <v>Apr</v>
      </c>
      <c r="H747" t="s">
        <v>360</v>
      </c>
      <c r="I747" t="s">
        <v>659</v>
      </c>
      <c r="J747" t="str">
        <f>_xlfn.XLOOKUP(Table1[[#This Row],[Course ]], CCF!B:B, CCF!A:A)</f>
        <v>DA202</v>
      </c>
      <c r="K747" t="s">
        <v>363</v>
      </c>
      <c r="L747">
        <f>_xlfn.XLOOKUP(K747, CCF!B:B, CCF!C:C)</f>
        <v>79999</v>
      </c>
      <c r="M747" t="s">
        <v>9</v>
      </c>
    </row>
    <row r="748" spans="1:13" x14ac:dyDescent="0.3">
      <c r="A748">
        <v>747</v>
      </c>
      <c r="B748" t="s">
        <v>1411</v>
      </c>
      <c r="C748" s="3">
        <v>63829</v>
      </c>
      <c r="D748" t="s">
        <v>666</v>
      </c>
      <c r="E748">
        <v>38</v>
      </c>
      <c r="F748" s="1">
        <v>45401</v>
      </c>
      <c r="G748" s="1" t="str">
        <f>TEXT(Table1[[#This Row],[Enrollment date]], "mmm")</f>
        <v>Apr</v>
      </c>
      <c r="H748" t="s">
        <v>360</v>
      </c>
      <c r="I748" t="s">
        <v>660</v>
      </c>
      <c r="J748" t="str">
        <f>_xlfn.XLOOKUP(Table1[[#This Row],[Course ]], CCF!B:B, CCF!A:A)</f>
        <v>DA202</v>
      </c>
      <c r="K748" t="s">
        <v>363</v>
      </c>
      <c r="L748">
        <f>_xlfn.XLOOKUP(K748, CCF!B:B, CCF!C:C)</f>
        <v>79999</v>
      </c>
      <c r="M748" t="s">
        <v>18</v>
      </c>
    </row>
    <row r="749" spans="1:13" x14ac:dyDescent="0.3">
      <c r="A749">
        <v>748</v>
      </c>
      <c r="B749" t="s">
        <v>1412</v>
      </c>
      <c r="C749" s="3">
        <v>19193</v>
      </c>
      <c r="D749" t="s">
        <v>666</v>
      </c>
      <c r="E749">
        <v>42</v>
      </c>
      <c r="F749" s="1">
        <v>45401</v>
      </c>
      <c r="G749" s="1" t="str">
        <f>TEXT(Table1[[#This Row],[Enrollment date]], "mmm")</f>
        <v>Apr</v>
      </c>
      <c r="H749" t="s">
        <v>360</v>
      </c>
      <c r="I749" t="s">
        <v>660</v>
      </c>
      <c r="J749" t="str">
        <f>_xlfn.XLOOKUP(Table1[[#This Row],[Course ]], CCF!B:B, CCF!A:A)</f>
        <v>DM101</v>
      </c>
      <c r="K749" t="s">
        <v>365</v>
      </c>
      <c r="L749">
        <f>_xlfn.XLOOKUP(K749, CCF!B:B, CCF!C:C)</f>
        <v>85499</v>
      </c>
      <c r="M749" t="s">
        <v>160</v>
      </c>
    </row>
    <row r="750" spans="1:13" x14ac:dyDescent="0.3">
      <c r="A750">
        <v>749</v>
      </c>
      <c r="B750" t="s">
        <v>1413</v>
      </c>
      <c r="C750" s="3">
        <v>35311</v>
      </c>
      <c r="D750" t="s">
        <v>667</v>
      </c>
      <c r="E750">
        <v>31</v>
      </c>
      <c r="F750" s="1">
        <v>45401</v>
      </c>
      <c r="G750" s="1" t="str">
        <f>TEXT(Table1[[#This Row],[Enrollment date]], "mmm")</f>
        <v>Apr</v>
      </c>
      <c r="H750" t="s">
        <v>360</v>
      </c>
      <c r="I750" t="s">
        <v>661</v>
      </c>
      <c r="J750" t="str">
        <f>_xlfn.XLOOKUP(Table1[[#This Row],[Course ]], CCF!B:B, CCF!A:A)</f>
        <v>DM101</v>
      </c>
      <c r="K750" t="s">
        <v>365</v>
      </c>
      <c r="L750">
        <f>_xlfn.XLOOKUP(K750, CCF!B:B, CCF!C:C)</f>
        <v>85499</v>
      </c>
      <c r="M750" t="s">
        <v>27</v>
      </c>
    </row>
    <row r="751" spans="1:13" x14ac:dyDescent="0.3">
      <c r="A751">
        <v>750</v>
      </c>
      <c r="B751" t="s">
        <v>1414</v>
      </c>
      <c r="C751" s="3">
        <v>85297</v>
      </c>
      <c r="D751" t="s">
        <v>667</v>
      </c>
      <c r="E751">
        <v>35</v>
      </c>
      <c r="F751" s="1">
        <v>45401</v>
      </c>
      <c r="G751" s="1" t="str">
        <f>TEXT(Table1[[#This Row],[Enrollment date]], "mmm")</f>
        <v>Apr</v>
      </c>
      <c r="H751" t="s">
        <v>360</v>
      </c>
      <c r="I751" t="s">
        <v>663</v>
      </c>
      <c r="J751" t="str">
        <f>_xlfn.XLOOKUP(Table1[[#This Row],[Course ]], CCF!B:B, CCF!A:A)</f>
        <v>BA301</v>
      </c>
      <c r="K751" t="s">
        <v>364</v>
      </c>
      <c r="L751">
        <f>_xlfn.XLOOKUP(K751, CCF!B:B, CCF!C:C)</f>
        <v>59999</v>
      </c>
      <c r="M751" t="s">
        <v>471</v>
      </c>
    </row>
    <row r="752" spans="1:13" x14ac:dyDescent="0.3">
      <c r="A752">
        <v>751</v>
      </c>
      <c r="B752" t="s">
        <v>1415</v>
      </c>
      <c r="C752" s="3">
        <v>38612</v>
      </c>
      <c r="D752" t="s">
        <v>666</v>
      </c>
      <c r="E752">
        <v>40</v>
      </c>
      <c r="F752" s="1">
        <v>45401</v>
      </c>
      <c r="G752" s="1" t="str">
        <f>TEXT(Table1[[#This Row],[Enrollment date]], "mmm")</f>
        <v>Apr</v>
      </c>
      <c r="H752" t="s">
        <v>360</v>
      </c>
      <c r="I752" t="s">
        <v>660</v>
      </c>
      <c r="J752" t="str">
        <f>_xlfn.XLOOKUP(Table1[[#This Row],[Course ]], CCF!B:B, CCF!A:A)</f>
        <v>DM101</v>
      </c>
      <c r="K752" t="s">
        <v>365</v>
      </c>
      <c r="L752">
        <f>_xlfn.XLOOKUP(K752, CCF!B:B, CCF!C:C)</f>
        <v>85499</v>
      </c>
      <c r="M752" t="s">
        <v>124</v>
      </c>
    </row>
    <row r="753" spans="1:13" x14ac:dyDescent="0.3">
      <c r="A753">
        <v>752</v>
      </c>
      <c r="B753" t="s">
        <v>1416</v>
      </c>
      <c r="C753" s="3">
        <v>40948</v>
      </c>
      <c r="D753" t="s">
        <v>667</v>
      </c>
      <c r="E753">
        <v>22</v>
      </c>
      <c r="F753" s="1">
        <v>45401</v>
      </c>
      <c r="G753" s="1" t="str">
        <f>TEXT(Table1[[#This Row],[Enrollment date]], "mmm")</f>
        <v>Apr</v>
      </c>
      <c r="H753" t="s">
        <v>360</v>
      </c>
      <c r="I753" t="s">
        <v>664</v>
      </c>
      <c r="J753" t="str">
        <f>_xlfn.XLOOKUP(Table1[[#This Row],[Course ]], CCF!B:B, CCF!A:A)</f>
        <v>DA202</v>
      </c>
      <c r="K753" t="s">
        <v>363</v>
      </c>
      <c r="L753">
        <f>_xlfn.XLOOKUP(K753, CCF!B:B, CCF!C:C)</f>
        <v>79999</v>
      </c>
      <c r="M753" t="s">
        <v>141</v>
      </c>
    </row>
    <row r="754" spans="1:13" x14ac:dyDescent="0.3">
      <c r="A754">
        <v>753</v>
      </c>
      <c r="B754" t="s">
        <v>1417</v>
      </c>
      <c r="C754" s="3">
        <v>94323</v>
      </c>
      <c r="D754" t="s">
        <v>667</v>
      </c>
      <c r="E754">
        <v>24</v>
      </c>
      <c r="F754" s="1">
        <v>45401</v>
      </c>
      <c r="G754" s="1" t="str">
        <f>TEXT(Table1[[#This Row],[Enrollment date]], "mmm")</f>
        <v>Apr</v>
      </c>
      <c r="H754" t="s">
        <v>360</v>
      </c>
      <c r="I754" t="s">
        <v>660</v>
      </c>
      <c r="J754" t="str">
        <f>_xlfn.XLOOKUP(Table1[[#This Row],[Course ]], CCF!B:B, CCF!A:A)</f>
        <v>DM101</v>
      </c>
      <c r="K754" t="s">
        <v>365</v>
      </c>
      <c r="L754">
        <f>_xlfn.XLOOKUP(K754, CCF!B:B, CCF!C:C)</f>
        <v>85499</v>
      </c>
      <c r="M754" t="s">
        <v>20</v>
      </c>
    </row>
    <row r="755" spans="1:13" x14ac:dyDescent="0.3">
      <c r="A755">
        <v>754</v>
      </c>
      <c r="B755" t="s">
        <v>1418</v>
      </c>
      <c r="C755" s="3">
        <v>64292</v>
      </c>
      <c r="D755" t="s">
        <v>666</v>
      </c>
      <c r="E755">
        <v>58</v>
      </c>
      <c r="F755" s="1">
        <v>45401</v>
      </c>
      <c r="G755" s="1" t="str">
        <f>TEXT(Table1[[#This Row],[Enrollment date]], "mmm")</f>
        <v>Apr</v>
      </c>
      <c r="H755" t="s">
        <v>360</v>
      </c>
      <c r="I755" t="s">
        <v>659</v>
      </c>
      <c r="J755" t="str">
        <f>_xlfn.XLOOKUP(Table1[[#This Row],[Course ]], CCF!B:B, CCF!A:A)</f>
        <v>BA301</v>
      </c>
      <c r="K755" t="s">
        <v>364</v>
      </c>
      <c r="L755">
        <f>_xlfn.XLOOKUP(K755, CCF!B:B, CCF!C:C)</f>
        <v>59999</v>
      </c>
      <c r="M755" t="s">
        <v>17</v>
      </c>
    </row>
    <row r="756" spans="1:13" x14ac:dyDescent="0.3">
      <c r="A756">
        <v>755</v>
      </c>
      <c r="B756" t="s">
        <v>1419</v>
      </c>
      <c r="C756" s="3">
        <v>30225</v>
      </c>
      <c r="D756" t="s">
        <v>666</v>
      </c>
      <c r="E756">
        <v>69</v>
      </c>
      <c r="F756" s="1">
        <v>45401</v>
      </c>
      <c r="G756" s="1" t="str">
        <f>TEXT(Table1[[#This Row],[Enrollment date]], "mmm")</f>
        <v>Apr</v>
      </c>
      <c r="H756" t="s">
        <v>360</v>
      </c>
      <c r="I756" t="s">
        <v>661</v>
      </c>
      <c r="J756" t="str">
        <f>_xlfn.XLOOKUP(Table1[[#This Row],[Course ]], CCF!B:B, CCF!A:A)</f>
        <v>DA202</v>
      </c>
      <c r="K756" t="s">
        <v>363</v>
      </c>
      <c r="L756">
        <f>_xlfn.XLOOKUP(K756, CCF!B:B, CCF!C:C)</f>
        <v>79999</v>
      </c>
      <c r="M756" t="s">
        <v>472</v>
      </c>
    </row>
    <row r="757" spans="1:13" x14ac:dyDescent="0.3">
      <c r="A757">
        <v>756</v>
      </c>
      <c r="B757" t="s">
        <v>1420</v>
      </c>
      <c r="C757" s="3">
        <v>81255</v>
      </c>
      <c r="D757" t="s">
        <v>666</v>
      </c>
      <c r="E757">
        <v>23</v>
      </c>
      <c r="F757" s="1">
        <v>45402</v>
      </c>
      <c r="G757" s="1" t="str">
        <f>TEXT(Table1[[#This Row],[Enrollment date]], "mmm")</f>
        <v>Apr</v>
      </c>
      <c r="H757" t="s">
        <v>360</v>
      </c>
      <c r="I757" t="s">
        <v>660</v>
      </c>
      <c r="J757" t="str">
        <f>_xlfn.XLOOKUP(Table1[[#This Row],[Course ]], CCF!B:B, CCF!A:A)</f>
        <v>DA202</v>
      </c>
      <c r="K757" t="s">
        <v>363</v>
      </c>
      <c r="L757">
        <f>_xlfn.XLOOKUP(K757, CCF!B:B, CCF!C:C)</f>
        <v>79999</v>
      </c>
      <c r="M757" t="s">
        <v>473</v>
      </c>
    </row>
    <row r="758" spans="1:13" x14ac:dyDescent="0.3">
      <c r="A758">
        <v>757</v>
      </c>
      <c r="B758" t="s">
        <v>1421</v>
      </c>
      <c r="C758" s="3">
        <v>80197</v>
      </c>
      <c r="D758" t="s">
        <v>666</v>
      </c>
      <c r="E758">
        <v>26</v>
      </c>
      <c r="F758" s="1">
        <v>45402</v>
      </c>
      <c r="G758" s="1" t="str">
        <f>TEXT(Table1[[#This Row],[Enrollment date]], "mmm")</f>
        <v>Apr</v>
      </c>
      <c r="H758" t="s">
        <v>360</v>
      </c>
      <c r="I758" t="s">
        <v>660</v>
      </c>
      <c r="J758" t="str">
        <f>_xlfn.XLOOKUP(Table1[[#This Row],[Course ]], CCF!B:B, CCF!A:A)</f>
        <v>DM101</v>
      </c>
      <c r="K758" t="s">
        <v>365</v>
      </c>
      <c r="L758">
        <f>_xlfn.XLOOKUP(K758, CCF!B:B, CCF!C:C)</f>
        <v>85499</v>
      </c>
      <c r="M758" t="s">
        <v>30</v>
      </c>
    </row>
    <row r="759" spans="1:13" x14ac:dyDescent="0.3">
      <c r="A759">
        <v>758</v>
      </c>
      <c r="B759" t="s">
        <v>1422</v>
      </c>
      <c r="C759" s="3">
        <v>62651</v>
      </c>
      <c r="D759" t="s">
        <v>666</v>
      </c>
      <c r="E759">
        <v>37</v>
      </c>
      <c r="F759" s="1">
        <v>45402</v>
      </c>
      <c r="G759" s="1" t="str">
        <f>TEXT(Table1[[#This Row],[Enrollment date]], "mmm")</f>
        <v>Apr</v>
      </c>
      <c r="H759" t="s">
        <v>360</v>
      </c>
      <c r="I759" t="s">
        <v>661</v>
      </c>
      <c r="J759" t="str">
        <f>_xlfn.XLOOKUP(Table1[[#This Row],[Course ]], CCF!B:B, CCF!A:A)</f>
        <v>DM101</v>
      </c>
      <c r="K759" t="s">
        <v>365</v>
      </c>
      <c r="L759">
        <f>_xlfn.XLOOKUP(K759, CCF!B:B, CCF!C:C)</f>
        <v>85499</v>
      </c>
      <c r="M759" t="s">
        <v>9</v>
      </c>
    </row>
    <row r="760" spans="1:13" x14ac:dyDescent="0.3">
      <c r="A760">
        <v>759</v>
      </c>
      <c r="B760" t="s">
        <v>1423</v>
      </c>
      <c r="C760" s="3">
        <v>34508</v>
      </c>
      <c r="D760" t="s">
        <v>667</v>
      </c>
      <c r="E760">
        <v>27</v>
      </c>
      <c r="F760" s="1">
        <v>45402</v>
      </c>
      <c r="G760" s="1" t="str">
        <f>TEXT(Table1[[#This Row],[Enrollment date]], "mmm")</f>
        <v>Apr</v>
      </c>
      <c r="H760" t="s">
        <v>360</v>
      </c>
      <c r="I760" t="s">
        <v>665</v>
      </c>
      <c r="J760" t="str">
        <f>_xlfn.XLOOKUP(Table1[[#This Row],[Course ]], CCF!B:B, CCF!A:A)</f>
        <v>BA301</v>
      </c>
      <c r="K760" t="s">
        <v>364</v>
      </c>
      <c r="L760">
        <f>_xlfn.XLOOKUP(K760, CCF!B:B, CCF!C:C)</f>
        <v>59999</v>
      </c>
      <c r="M760" t="s">
        <v>25</v>
      </c>
    </row>
    <row r="761" spans="1:13" x14ac:dyDescent="0.3">
      <c r="A761">
        <v>760</v>
      </c>
      <c r="B761" t="s">
        <v>1424</v>
      </c>
      <c r="C761" s="3">
        <v>15751</v>
      </c>
      <c r="D761" t="s">
        <v>666</v>
      </c>
      <c r="E761">
        <v>67</v>
      </c>
      <c r="F761" s="1">
        <v>45402</v>
      </c>
      <c r="G761" s="1" t="str">
        <f>TEXT(Table1[[#This Row],[Enrollment date]], "mmm")</f>
        <v>Apr</v>
      </c>
      <c r="H761" t="s">
        <v>360</v>
      </c>
      <c r="I761" t="s">
        <v>661</v>
      </c>
      <c r="J761" t="str">
        <f>_xlfn.XLOOKUP(Table1[[#This Row],[Course ]], CCF!B:B, CCF!A:A)</f>
        <v>DA202</v>
      </c>
      <c r="K761" t="s">
        <v>363</v>
      </c>
      <c r="L761">
        <f>_xlfn.XLOOKUP(K761, CCF!B:B, CCF!C:C)</f>
        <v>79999</v>
      </c>
      <c r="M761" t="s">
        <v>27</v>
      </c>
    </row>
    <row r="762" spans="1:13" x14ac:dyDescent="0.3">
      <c r="A762">
        <v>761</v>
      </c>
      <c r="B762" t="s">
        <v>1425</v>
      </c>
      <c r="C762" s="3">
        <v>80019</v>
      </c>
      <c r="D762" t="s">
        <v>666</v>
      </c>
      <c r="E762">
        <v>25</v>
      </c>
      <c r="F762" s="1">
        <v>45403</v>
      </c>
      <c r="G762" s="1" t="str">
        <f>TEXT(Table1[[#This Row],[Enrollment date]], "mmm")</f>
        <v>Apr</v>
      </c>
      <c r="H762" t="s">
        <v>361</v>
      </c>
      <c r="I762" t="s">
        <v>659</v>
      </c>
      <c r="J762" t="str">
        <f>_xlfn.XLOOKUP(Table1[[#This Row],[Course ]], CCF!B:B, CCF!A:A)</f>
        <v>DM101</v>
      </c>
      <c r="K762" t="s">
        <v>365</v>
      </c>
      <c r="L762">
        <f>_xlfn.XLOOKUP(K762, CCF!B:B, CCF!C:C)</f>
        <v>85499</v>
      </c>
      <c r="M762" t="s">
        <v>155</v>
      </c>
    </row>
    <row r="763" spans="1:13" x14ac:dyDescent="0.3">
      <c r="A763">
        <v>762</v>
      </c>
      <c r="B763" t="s">
        <v>1426</v>
      </c>
      <c r="C763" s="3">
        <v>63968</v>
      </c>
      <c r="D763" t="s">
        <v>666</v>
      </c>
      <c r="E763">
        <v>76</v>
      </c>
      <c r="F763" s="1">
        <v>45403</v>
      </c>
      <c r="G763" s="1" t="str">
        <f>TEXT(Table1[[#This Row],[Enrollment date]], "mmm")</f>
        <v>Apr</v>
      </c>
      <c r="H763" t="s">
        <v>360</v>
      </c>
      <c r="I763" t="s">
        <v>660</v>
      </c>
      <c r="J763" t="str">
        <f>_xlfn.XLOOKUP(Table1[[#This Row],[Course ]], CCF!B:B, CCF!A:A)</f>
        <v>DM101</v>
      </c>
      <c r="K763" t="s">
        <v>365</v>
      </c>
      <c r="L763">
        <f>_xlfn.XLOOKUP(K763, CCF!B:B, CCF!C:C)</f>
        <v>85499</v>
      </c>
      <c r="M763" t="s">
        <v>238</v>
      </c>
    </row>
    <row r="764" spans="1:13" x14ac:dyDescent="0.3">
      <c r="A764">
        <v>763</v>
      </c>
      <c r="B764" t="s">
        <v>1427</v>
      </c>
      <c r="C764" s="3">
        <v>81429</v>
      </c>
      <c r="D764" t="s">
        <v>666</v>
      </c>
      <c r="E764">
        <v>24</v>
      </c>
      <c r="F764" s="1">
        <v>45403</v>
      </c>
      <c r="G764" s="1" t="str">
        <f>TEXT(Table1[[#This Row],[Enrollment date]], "mmm")</f>
        <v>Apr</v>
      </c>
      <c r="H764" t="s">
        <v>360</v>
      </c>
      <c r="I764" t="s">
        <v>660</v>
      </c>
      <c r="J764" t="str">
        <f>_xlfn.XLOOKUP(Table1[[#This Row],[Course ]], CCF!B:B, CCF!A:A)</f>
        <v>DA202</v>
      </c>
      <c r="K764" t="s">
        <v>363</v>
      </c>
      <c r="L764">
        <f>_xlfn.XLOOKUP(K764, CCF!B:B, CCF!C:C)</f>
        <v>79999</v>
      </c>
      <c r="M764" t="s">
        <v>20</v>
      </c>
    </row>
    <row r="765" spans="1:13" x14ac:dyDescent="0.3">
      <c r="A765">
        <v>764</v>
      </c>
      <c r="B765" t="s">
        <v>1428</v>
      </c>
      <c r="C765" s="3">
        <v>49997</v>
      </c>
      <c r="D765" t="s">
        <v>667</v>
      </c>
      <c r="E765">
        <v>26</v>
      </c>
      <c r="F765" s="1">
        <v>45403</v>
      </c>
      <c r="G765" s="1" t="str">
        <f>TEXT(Table1[[#This Row],[Enrollment date]], "mmm")</f>
        <v>Apr</v>
      </c>
      <c r="H765" t="s">
        <v>360</v>
      </c>
      <c r="I765" t="s">
        <v>660</v>
      </c>
      <c r="J765" t="str">
        <f>_xlfn.XLOOKUP(Table1[[#This Row],[Course ]], CCF!B:B, CCF!A:A)</f>
        <v>DA202</v>
      </c>
      <c r="K765" t="s">
        <v>363</v>
      </c>
      <c r="L765">
        <f>_xlfn.XLOOKUP(K765, CCF!B:B, CCF!C:C)</f>
        <v>79999</v>
      </c>
      <c r="M765" t="s">
        <v>474</v>
      </c>
    </row>
    <row r="766" spans="1:13" x14ac:dyDescent="0.3">
      <c r="A766">
        <v>765</v>
      </c>
      <c r="B766" t="s">
        <v>1429</v>
      </c>
      <c r="C766" s="3">
        <v>84158</v>
      </c>
      <c r="D766" t="s">
        <v>667</v>
      </c>
      <c r="E766">
        <v>21</v>
      </c>
      <c r="F766" s="1">
        <v>45403</v>
      </c>
      <c r="G766" s="1" t="str">
        <f>TEXT(Table1[[#This Row],[Enrollment date]], "mmm")</f>
        <v>Apr</v>
      </c>
      <c r="H766" t="s">
        <v>360</v>
      </c>
      <c r="I766" t="s">
        <v>663</v>
      </c>
      <c r="J766" t="str">
        <f>_xlfn.XLOOKUP(Table1[[#This Row],[Course ]], CCF!B:B, CCF!A:A)</f>
        <v>DM101</v>
      </c>
      <c r="K766" t="s">
        <v>365</v>
      </c>
      <c r="L766">
        <f>_xlfn.XLOOKUP(K766, CCF!B:B, CCF!C:C)</f>
        <v>85499</v>
      </c>
      <c r="M766" t="s">
        <v>104</v>
      </c>
    </row>
    <row r="767" spans="1:13" x14ac:dyDescent="0.3">
      <c r="A767">
        <v>766</v>
      </c>
      <c r="B767" t="s">
        <v>1430</v>
      </c>
      <c r="C767" s="3">
        <v>29017</v>
      </c>
      <c r="D767" t="s">
        <v>666</v>
      </c>
      <c r="E767">
        <v>31</v>
      </c>
      <c r="F767" s="1">
        <v>45403</v>
      </c>
      <c r="G767" s="1" t="str">
        <f>TEXT(Table1[[#This Row],[Enrollment date]], "mmm")</f>
        <v>Apr</v>
      </c>
      <c r="H767" t="s">
        <v>360</v>
      </c>
      <c r="I767" t="s">
        <v>660</v>
      </c>
      <c r="J767" t="str">
        <f>_xlfn.XLOOKUP(Table1[[#This Row],[Course ]], CCF!B:B, CCF!A:A)</f>
        <v>DA202</v>
      </c>
      <c r="K767" t="s">
        <v>363</v>
      </c>
      <c r="L767">
        <f>_xlfn.XLOOKUP(K767, CCF!B:B, CCF!C:C)</f>
        <v>79999</v>
      </c>
      <c r="M767" t="s">
        <v>9</v>
      </c>
    </row>
    <row r="768" spans="1:13" x14ac:dyDescent="0.3">
      <c r="A768">
        <v>767</v>
      </c>
      <c r="B768" t="s">
        <v>1431</v>
      </c>
      <c r="C768" s="3">
        <v>43421</v>
      </c>
      <c r="D768" t="s">
        <v>666</v>
      </c>
      <c r="E768">
        <v>61</v>
      </c>
      <c r="F768" s="1">
        <v>45403</v>
      </c>
      <c r="G768" s="1" t="str">
        <f>TEXT(Table1[[#This Row],[Enrollment date]], "mmm")</f>
        <v>Apr</v>
      </c>
      <c r="H768" t="s">
        <v>360</v>
      </c>
      <c r="I768" t="s">
        <v>659</v>
      </c>
      <c r="J768" t="str">
        <f>_xlfn.XLOOKUP(Table1[[#This Row],[Course ]], CCF!B:B, CCF!A:A)</f>
        <v>DA202</v>
      </c>
      <c r="K768" t="s">
        <v>363</v>
      </c>
      <c r="L768">
        <f>_xlfn.XLOOKUP(K768, CCF!B:B, CCF!C:C)</f>
        <v>79999</v>
      </c>
      <c r="M768" t="s">
        <v>72</v>
      </c>
    </row>
    <row r="769" spans="1:13" x14ac:dyDescent="0.3">
      <c r="A769">
        <v>768</v>
      </c>
      <c r="B769" t="s">
        <v>1432</v>
      </c>
      <c r="C769" s="3">
        <v>44232</v>
      </c>
      <c r="D769" t="s">
        <v>667</v>
      </c>
      <c r="E769">
        <v>19</v>
      </c>
      <c r="F769" s="1">
        <v>45403</v>
      </c>
      <c r="G769" s="1" t="str">
        <f>TEXT(Table1[[#This Row],[Enrollment date]], "mmm")</f>
        <v>Apr</v>
      </c>
      <c r="H769" t="s">
        <v>360</v>
      </c>
      <c r="I769" t="s">
        <v>661</v>
      </c>
      <c r="J769" t="str">
        <f>_xlfn.XLOOKUP(Table1[[#This Row],[Course ]], CCF!B:B, CCF!A:A)</f>
        <v>DM101</v>
      </c>
      <c r="K769" t="s">
        <v>365</v>
      </c>
      <c r="L769">
        <f>_xlfn.XLOOKUP(K769, CCF!B:B, CCF!C:C)</f>
        <v>85499</v>
      </c>
      <c r="M769" t="s">
        <v>104</v>
      </c>
    </row>
    <row r="770" spans="1:13" x14ac:dyDescent="0.3">
      <c r="A770">
        <v>769</v>
      </c>
      <c r="B770" t="s">
        <v>1433</v>
      </c>
      <c r="C770" s="3">
        <v>74409</v>
      </c>
      <c r="D770" t="s">
        <v>666</v>
      </c>
      <c r="E770">
        <v>51</v>
      </c>
      <c r="F770" s="1">
        <v>45404</v>
      </c>
      <c r="G770" s="1" t="str">
        <f>TEXT(Table1[[#This Row],[Enrollment date]], "mmm")</f>
        <v>Apr</v>
      </c>
      <c r="H770" t="s">
        <v>360</v>
      </c>
      <c r="I770" t="s">
        <v>661</v>
      </c>
      <c r="J770" t="str">
        <f>_xlfn.XLOOKUP(Table1[[#This Row],[Course ]], CCF!B:B, CCF!A:A)</f>
        <v>DM101</v>
      </c>
      <c r="K770" t="s">
        <v>365</v>
      </c>
      <c r="L770">
        <f>_xlfn.XLOOKUP(K770, CCF!B:B, CCF!C:C)</f>
        <v>85499</v>
      </c>
      <c r="M770" t="s">
        <v>78</v>
      </c>
    </row>
    <row r="771" spans="1:13" x14ac:dyDescent="0.3">
      <c r="A771">
        <v>770</v>
      </c>
      <c r="B771" t="s">
        <v>1434</v>
      </c>
      <c r="C771" s="3">
        <v>44772</v>
      </c>
      <c r="D771" t="s">
        <v>666</v>
      </c>
      <c r="E771">
        <v>40</v>
      </c>
      <c r="F771" s="1">
        <v>45404</v>
      </c>
      <c r="G771" s="1" t="str">
        <f>TEXT(Table1[[#This Row],[Enrollment date]], "mmm")</f>
        <v>Apr</v>
      </c>
      <c r="H771" t="s">
        <v>361</v>
      </c>
      <c r="I771" t="s">
        <v>659</v>
      </c>
      <c r="J771" t="str">
        <f>_xlfn.XLOOKUP(Table1[[#This Row],[Course ]], CCF!B:B, CCF!A:A)</f>
        <v>DA202</v>
      </c>
      <c r="K771" t="s">
        <v>363</v>
      </c>
      <c r="L771">
        <f>_xlfn.XLOOKUP(K771, CCF!B:B, CCF!C:C)</f>
        <v>79999</v>
      </c>
      <c r="M771" t="s">
        <v>144</v>
      </c>
    </row>
    <row r="772" spans="1:13" x14ac:dyDescent="0.3">
      <c r="A772">
        <v>771</v>
      </c>
      <c r="B772" t="s">
        <v>1435</v>
      </c>
      <c r="C772" s="3">
        <v>36468</v>
      </c>
      <c r="D772" t="s">
        <v>667</v>
      </c>
      <c r="E772">
        <v>21</v>
      </c>
      <c r="F772" s="1">
        <v>45404</v>
      </c>
      <c r="G772" s="1" t="str">
        <f>TEXT(Table1[[#This Row],[Enrollment date]], "mmm")</f>
        <v>Apr</v>
      </c>
      <c r="H772" t="s">
        <v>360</v>
      </c>
      <c r="I772" t="s">
        <v>660</v>
      </c>
      <c r="J772" t="str">
        <f>_xlfn.XLOOKUP(Table1[[#This Row],[Course ]], CCF!B:B, CCF!A:A)</f>
        <v>DM101</v>
      </c>
      <c r="K772" t="s">
        <v>365</v>
      </c>
      <c r="L772">
        <f>_xlfn.XLOOKUP(K772, CCF!B:B, CCF!C:C)</f>
        <v>85499</v>
      </c>
      <c r="M772" t="s">
        <v>9</v>
      </c>
    </row>
    <row r="773" spans="1:13" x14ac:dyDescent="0.3">
      <c r="A773">
        <v>772</v>
      </c>
      <c r="B773" t="s">
        <v>1436</v>
      </c>
      <c r="C773" s="3">
        <v>98901</v>
      </c>
      <c r="D773" t="s">
        <v>667</v>
      </c>
      <c r="E773">
        <v>38</v>
      </c>
      <c r="F773" s="1">
        <v>45404</v>
      </c>
      <c r="G773" s="1" t="str">
        <f>TEXT(Table1[[#This Row],[Enrollment date]], "mmm")</f>
        <v>Apr</v>
      </c>
      <c r="H773" t="s">
        <v>360</v>
      </c>
      <c r="I773" t="s">
        <v>665</v>
      </c>
      <c r="J773" t="str">
        <f>_xlfn.XLOOKUP(Table1[[#This Row],[Course ]], CCF!B:B, CCF!A:A)</f>
        <v>UX401</v>
      </c>
      <c r="K773" t="s">
        <v>367</v>
      </c>
      <c r="L773">
        <f>_xlfn.XLOOKUP(K773, CCF!B:B, CCF!C:C)</f>
        <v>67990</v>
      </c>
      <c r="M773" t="s">
        <v>175</v>
      </c>
    </row>
    <row r="774" spans="1:13" x14ac:dyDescent="0.3">
      <c r="A774">
        <v>773</v>
      </c>
      <c r="B774" t="s">
        <v>1437</v>
      </c>
      <c r="C774" s="3">
        <v>40480</v>
      </c>
      <c r="D774" t="s">
        <v>666</v>
      </c>
      <c r="E774">
        <v>25</v>
      </c>
      <c r="F774" s="1">
        <v>45404</v>
      </c>
      <c r="G774" s="1" t="str">
        <f>TEXT(Table1[[#This Row],[Enrollment date]], "mmm")</f>
        <v>Apr</v>
      </c>
      <c r="H774" t="s">
        <v>360</v>
      </c>
      <c r="I774" t="s">
        <v>660</v>
      </c>
      <c r="J774" t="str">
        <f>_xlfn.XLOOKUP(Table1[[#This Row],[Course ]], CCF!B:B, CCF!A:A)</f>
        <v>DA202</v>
      </c>
      <c r="K774" t="s">
        <v>363</v>
      </c>
      <c r="L774">
        <f>_xlfn.XLOOKUP(K774, CCF!B:B, CCF!C:C)</f>
        <v>79999</v>
      </c>
      <c r="M774" t="s">
        <v>17</v>
      </c>
    </row>
    <row r="775" spans="1:13" x14ac:dyDescent="0.3">
      <c r="A775">
        <v>774</v>
      </c>
      <c r="B775" t="s">
        <v>1438</v>
      </c>
      <c r="C775" s="3">
        <v>68699</v>
      </c>
      <c r="D775" t="s">
        <v>667</v>
      </c>
      <c r="E775">
        <v>23</v>
      </c>
      <c r="F775" s="1">
        <v>45404</v>
      </c>
      <c r="G775" s="1" t="str">
        <f>TEXT(Table1[[#This Row],[Enrollment date]], "mmm")</f>
        <v>Apr</v>
      </c>
      <c r="H775" t="s">
        <v>360</v>
      </c>
      <c r="I775" t="s">
        <v>663</v>
      </c>
      <c r="J775" t="str">
        <f>_xlfn.XLOOKUP(Table1[[#This Row],[Course ]], CCF!B:B, CCF!A:A)</f>
        <v>BA301</v>
      </c>
      <c r="K775" t="s">
        <v>364</v>
      </c>
      <c r="L775">
        <f>_xlfn.XLOOKUP(K775, CCF!B:B, CCF!C:C)</f>
        <v>59999</v>
      </c>
      <c r="M775" t="s">
        <v>16</v>
      </c>
    </row>
    <row r="776" spans="1:13" x14ac:dyDescent="0.3">
      <c r="A776">
        <v>775</v>
      </c>
      <c r="B776" t="s">
        <v>1439</v>
      </c>
      <c r="C776" s="3">
        <v>24499</v>
      </c>
      <c r="D776" t="s">
        <v>666</v>
      </c>
      <c r="E776">
        <v>19</v>
      </c>
      <c r="F776" s="1">
        <v>45404</v>
      </c>
      <c r="G776" s="1" t="str">
        <f>TEXT(Table1[[#This Row],[Enrollment date]], "mmm")</f>
        <v>Apr</v>
      </c>
      <c r="H776" t="s">
        <v>360</v>
      </c>
      <c r="I776" t="s">
        <v>660</v>
      </c>
      <c r="J776" t="str">
        <f>_xlfn.XLOOKUP(Table1[[#This Row],[Course ]], CCF!B:B, CCF!A:A)</f>
        <v>DA202</v>
      </c>
      <c r="K776" t="s">
        <v>363</v>
      </c>
      <c r="L776">
        <f>_xlfn.XLOOKUP(K776, CCF!B:B, CCF!C:C)</f>
        <v>79999</v>
      </c>
      <c r="M776" t="s">
        <v>202</v>
      </c>
    </row>
    <row r="777" spans="1:13" x14ac:dyDescent="0.3">
      <c r="A777">
        <v>776</v>
      </c>
      <c r="B777" t="s">
        <v>1440</v>
      </c>
      <c r="C777" s="3">
        <v>68660</v>
      </c>
      <c r="D777" t="s">
        <v>667</v>
      </c>
      <c r="E777">
        <v>48</v>
      </c>
      <c r="F777" s="1">
        <v>45404</v>
      </c>
      <c r="G777" s="1" t="str">
        <f>TEXT(Table1[[#This Row],[Enrollment date]], "mmm")</f>
        <v>Apr</v>
      </c>
      <c r="H777" t="s">
        <v>360</v>
      </c>
      <c r="I777" t="s">
        <v>659</v>
      </c>
      <c r="J777" t="str">
        <f>_xlfn.XLOOKUP(Table1[[#This Row],[Course ]], CCF!B:B, CCF!A:A)</f>
        <v>FSD103</v>
      </c>
      <c r="K777" t="s">
        <v>366</v>
      </c>
      <c r="L777">
        <f>_xlfn.XLOOKUP(K777, CCF!B:B, CCF!C:C)</f>
        <v>109990</v>
      </c>
      <c r="M777" t="s">
        <v>475</v>
      </c>
    </row>
    <row r="778" spans="1:13" x14ac:dyDescent="0.3">
      <c r="A778">
        <v>777</v>
      </c>
      <c r="B778" t="s">
        <v>1441</v>
      </c>
      <c r="C778" s="3">
        <v>76605</v>
      </c>
      <c r="D778" t="s">
        <v>666</v>
      </c>
      <c r="E778">
        <v>68</v>
      </c>
      <c r="F778" s="1">
        <v>45404</v>
      </c>
      <c r="G778" s="1" t="str">
        <f>TEXT(Table1[[#This Row],[Enrollment date]], "mmm")</f>
        <v>Apr</v>
      </c>
      <c r="H778" t="s">
        <v>360</v>
      </c>
      <c r="I778" t="s">
        <v>660</v>
      </c>
      <c r="J778" t="str">
        <f>_xlfn.XLOOKUP(Table1[[#This Row],[Course ]], CCF!B:B, CCF!A:A)</f>
        <v>BA301</v>
      </c>
      <c r="K778" t="s">
        <v>364</v>
      </c>
      <c r="L778">
        <f>_xlfn.XLOOKUP(K778, CCF!B:B, CCF!C:C)</f>
        <v>59999</v>
      </c>
      <c r="M778" t="s">
        <v>476</v>
      </c>
    </row>
    <row r="779" spans="1:13" x14ac:dyDescent="0.3">
      <c r="A779">
        <v>778</v>
      </c>
      <c r="B779" t="s">
        <v>1442</v>
      </c>
      <c r="C779" s="3">
        <v>14809</v>
      </c>
      <c r="D779" t="s">
        <v>666</v>
      </c>
      <c r="E779">
        <v>43</v>
      </c>
      <c r="F779" s="1">
        <v>45405</v>
      </c>
      <c r="G779" s="1" t="str">
        <f>TEXT(Table1[[#This Row],[Enrollment date]], "mmm")</f>
        <v>Apr</v>
      </c>
      <c r="H779" t="s">
        <v>3</v>
      </c>
      <c r="I779" t="s">
        <v>659</v>
      </c>
      <c r="J779" t="str">
        <f>_xlfn.XLOOKUP(Table1[[#This Row],[Course ]], CCF!B:B, CCF!A:A)</f>
        <v>BA301</v>
      </c>
      <c r="K779" t="s">
        <v>364</v>
      </c>
      <c r="L779">
        <f>_xlfn.XLOOKUP(K779, CCF!B:B, CCF!C:C)</f>
        <v>59999</v>
      </c>
      <c r="M779" t="s">
        <v>27</v>
      </c>
    </row>
    <row r="780" spans="1:13" x14ac:dyDescent="0.3">
      <c r="A780">
        <v>779</v>
      </c>
      <c r="B780" t="s">
        <v>1443</v>
      </c>
      <c r="C780" s="3">
        <v>86180</v>
      </c>
      <c r="D780" t="s">
        <v>666</v>
      </c>
      <c r="E780">
        <v>26</v>
      </c>
      <c r="F780" s="1">
        <v>45405</v>
      </c>
      <c r="G780" s="1" t="str">
        <f>TEXT(Table1[[#This Row],[Enrollment date]], "mmm")</f>
        <v>Apr</v>
      </c>
      <c r="H780" t="s">
        <v>360</v>
      </c>
      <c r="I780" t="s">
        <v>661</v>
      </c>
      <c r="J780" t="str">
        <f>_xlfn.XLOOKUP(Table1[[#This Row],[Course ]], CCF!B:B, CCF!A:A)</f>
        <v>DM101</v>
      </c>
      <c r="K780" t="s">
        <v>365</v>
      </c>
      <c r="L780">
        <f>_xlfn.XLOOKUP(K780, CCF!B:B, CCF!C:C)</f>
        <v>85499</v>
      </c>
      <c r="M780" t="s">
        <v>477</v>
      </c>
    </row>
    <row r="781" spans="1:13" x14ac:dyDescent="0.3">
      <c r="A781">
        <v>780</v>
      </c>
      <c r="B781" t="s">
        <v>1444</v>
      </c>
      <c r="C781" s="3">
        <v>21901</v>
      </c>
      <c r="D781" t="s">
        <v>666</v>
      </c>
      <c r="E781">
        <v>33</v>
      </c>
      <c r="F781" s="1">
        <v>45405</v>
      </c>
      <c r="G781" s="1" t="str">
        <f>TEXT(Table1[[#This Row],[Enrollment date]], "mmm")</f>
        <v>Apr</v>
      </c>
      <c r="H781" t="s">
        <v>360</v>
      </c>
      <c r="I781" t="s">
        <v>659</v>
      </c>
      <c r="J781" t="str">
        <f>_xlfn.XLOOKUP(Table1[[#This Row],[Course ]], CCF!B:B, CCF!A:A)</f>
        <v>DM101</v>
      </c>
      <c r="K781" t="s">
        <v>365</v>
      </c>
      <c r="L781">
        <f>_xlfn.XLOOKUP(K781, CCF!B:B, CCF!C:C)</f>
        <v>85499</v>
      </c>
      <c r="M781" t="s">
        <v>338</v>
      </c>
    </row>
    <row r="782" spans="1:13" x14ac:dyDescent="0.3">
      <c r="A782">
        <v>781</v>
      </c>
      <c r="B782" t="s">
        <v>1445</v>
      </c>
      <c r="C782" s="3">
        <v>52024</v>
      </c>
      <c r="D782" t="s">
        <v>667</v>
      </c>
      <c r="E782">
        <v>49</v>
      </c>
      <c r="F782" s="1">
        <v>45405</v>
      </c>
      <c r="G782" s="1" t="str">
        <f>TEXT(Table1[[#This Row],[Enrollment date]], "mmm")</f>
        <v>Apr</v>
      </c>
      <c r="H782" t="s">
        <v>360</v>
      </c>
      <c r="I782" t="s">
        <v>659</v>
      </c>
      <c r="J782" t="str">
        <f>_xlfn.XLOOKUP(Table1[[#This Row],[Course ]], CCF!B:B, CCF!A:A)</f>
        <v>DA202</v>
      </c>
      <c r="K782" t="s">
        <v>363</v>
      </c>
      <c r="L782">
        <f>_xlfn.XLOOKUP(K782, CCF!B:B, CCF!C:C)</f>
        <v>79999</v>
      </c>
      <c r="M782" t="s">
        <v>17</v>
      </c>
    </row>
    <row r="783" spans="1:13" x14ac:dyDescent="0.3">
      <c r="A783">
        <v>782</v>
      </c>
      <c r="B783" t="s">
        <v>1446</v>
      </c>
      <c r="C783" s="3">
        <v>76430</v>
      </c>
      <c r="D783" t="s">
        <v>667</v>
      </c>
      <c r="E783">
        <v>32</v>
      </c>
      <c r="F783" s="1">
        <v>45405</v>
      </c>
      <c r="G783" s="1" t="str">
        <f>TEXT(Table1[[#This Row],[Enrollment date]], "mmm")</f>
        <v>Apr</v>
      </c>
      <c r="H783" t="s">
        <v>3</v>
      </c>
      <c r="I783" t="s">
        <v>659</v>
      </c>
      <c r="J783" t="str">
        <f>_xlfn.XLOOKUP(Table1[[#This Row],[Course ]], CCF!B:B, CCF!A:A)</f>
        <v>DM101</v>
      </c>
      <c r="K783" t="s">
        <v>365</v>
      </c>
      <c r="L783">
        <f>_xlfn.XLOOKUP(K783, CCF!B:B, CCF!C:C)</f>
        <v>85499</v>
      </c>
      <c r="M783" t="s">
        <v>9</v>
      </c>
    </row>
    <row r="784" spans="1:13" x14ac:dyDescent="0.3">
      <c r="A784">
        <v>783</v>
      </c>
      <c r="B784" t="s">
        <v>1447</v>
      </c>
      <c r="C784" s="3">
        <v>94330</v>
      </c>
      <c r="D784" t="s">
        <v>666</v>
      </c>
      <c r="E784">
        <v>21</v>
      </c>
      <c r="F784" s="1">
        <v>45405</v>
      </c>
      <c r="G784" s="1" t="str">
        <f>TEXT(Table1[[#This Row],[Enrollment date]], "mmm")</f>
        <v>Apr</v>
      </c>
      <c r="H784" t="s">
        <v>361</v>
      </c>
      <c r="I784" t="s">
        <v>661</v>
      </c>
      <c r="J784" t="str">
        <f>_xlfn.XLOOKUP(Table1[[#This Row],[Course ]], CCF!B:B, CCF!A:A)</f>
        <v>BA301</v>
      </c>
      <c r="K784" t="s">
        <v>364</v>
      </c>
      <c r="L784">
        <f>_xlfn.XLOOKUP(K784, CCF!B:B, CCF!C:C)</f>
        <v>59999</v>
      </c>
      <c r="M784" t="s">
        <v>38</v>
      </c>
    </row>
    <row r="785" spans="1:13" x14ac:dyDescent="0.3">
      <c r="A785">
        <v>784</v>
      </c>
      <c r="B785" t="s">
        <v>1448</v>
      </c>
      <c r="C785" s="3">
        <v>92978</v>
      </c>
      <c r="D785" t="s">
        <v>666</v>
      </c>
      <c r="E785">
        <v>37</v>
      </c>
      <c r="F785" s="1">
        <v>45405</v>
      </c>
      <c r="G785" s="1" t="str">
        <f>TEXT(Table1[[#This Row],[Enrollment date]], "mmm")</f>
        <v>Apr</v>
      </c>
      <c r="H785" t="s">
        <v>360</v>
      </c>
      <c r="I785" t="s">
        <v>660</v>
      </c>
      <c r="J785" t="str">
        <f>_xlfn.XLOOKUP(Table1[[#This Row],[Course ]], CCF!B:B, CCF!A:A)</f>
        <v>DM101</v>
      </c>
      <c r="K785" t="s">
        <v>365</v>
      </c>
      <c r="L785">
        <f>_xlfn.XLOOKUP(K785, CCF!B:B, CCF!C:C)</f>
        <v>85499</v>
      </c>
      <c r="M785" t="s">
        <v>30</v>
      </c>
    </row>
    <row r="786" spans="1:13" x14ac:dyDescent="0.3">
      <c r="A786">
        <v>785</v>
      </c>
      <c r="B786" t="s">
        <v>1449</v>
      </c>
      <c r="C786" s="3">
        <v>30273</v>
      </c>
      <c r="D786" t="s">
        <v>667</v>
      </c>
      <c r="E786">
        <v>30</v>
      </c>
      <c r="F786" s="1">
        <v>45406</v>
      </c>
      <c r="G786" s="1" t="str">
        <f>TEXT(Table1[[#This Row],[Enrollment date]], "mmm")</f>
        <v>Apr</v>
      </c>
      <c r="H786" t="s">
        <v>360</v>
      </c>
      <c r="I786" t="s">
        <v>660</v>
      </c>
      <c r="J786" t="str">
        <f>_xlfn.XLOOKUP(Table1[[#This Row],[Course ]], CCF!B:B, CCF!A:A)</f>
        <v>DM101</v>
      </c>
      <c r="K786" t="s">
        <v>365</v>
      </c>
      <c r="L786">
        <f>_xlfn.XLOOKUP(K786, CCF!B:B, CCF!C:C)</f>
        <v>85499</v>
      </c>
      <c r="M786" t="s">
        <v>213</v>
      </c>
    </row>
    <row r="787" spans="1:13" x14ac:dyDescent="0.3">
      <c r="A787">
        <v>786</v>
      </c>
      <c r="B787" t="s">
        <v>1450</v>
      </c>
      <c r="C787" s="3">
        <v>82077</v>
      </c>
      <c r="D787" t="s">
        <v>667</v>
      </c>
      <c r="E787">
        <v>35</v>
      </c>
      <c r="F787" s="1">
        <v>45406</v>
      </c>
      <c r="G787" s="1" t="str">
        <f>TEXT(Table1[[#This Row],[Enrollment date]], "mmm")</f>
        <v>Apr</v>
      </c>
      <c r="H787" t="s">
        <v>360</v>
      </c>
      <c r="I787" t="s">
        <v>660</v>
      </c>
      <c r="J787" t="str">
        <f>_xlfn.XLOOKUP(Table1[[#This Row],[Course ]], CCF!B:B, CCF!A:A)</f>
        <v>DM101</v>
      </c>
      <c r="K787" t="s">
        <v>365</v>
      </c>
      <c r="L787">
        <f>_xlfn.XLOOKUP(K787, CCF!B:B, CCF!C:C)</f>
        <v>85499</v>
      </c>
      <c r="M787" t="s">
        <v>106</v>
      </c>
    </row>
    <row r="788" spans="1:13" x14ac:dyDescent="0.3">
      <c r="A788">
        <v>787</v>
      </c>
      <c r="B788" t="s">
        <v>1451</v>
      </c>
      <c r="C788" s="3">
        <v>54296</v>
      </c>
      <c r="D788" t="s">
        <v>666</v>
      </c>
      <c r="E788">
        <v>35</v>
      </c>
      <c r="F788" s="1">
        <v>45406</v>
      </c>
      <c r="G788" s="1" t="str">
        <f>TEXT(Table1[[#This Row],[Enrollment date]], "mmm")</f>
        <v>Apr</v>
      </c>
      <c r="H788" t="s">
        <v>360</v>
      </c>
      <c r="I788" t="s">
        <v>660</v>
      </c>
      <c r="J788" t="str">
        <f>_xlfn.XLOOKUP(Table1[[#This Row],[Course ]], CCF!B:B, CCF!A:A)</f>
        <v>DA202</v>
      </c>
      <c r="K788" t="s">
        <v>363</v>
      </c>
      <c r="L788">
        <f>_xlfn.XLOOKUP(K788, CCF!B:B, CCF!C:C)</f>
        <v>79999</v>
      </c>
      <c r="M788" t="s">
        <v>16</v>
      </c>
    </row>
    <row r="789" spans="1:13" x14ac:dyDescent="0.3">
      <c r="A789">
        <v>788</v>
      </c>
      <c r="B789" t="s">
        <v>1452</v>
      </c>
      <c r="C789" s="3">
        <v>36310</v>
      </c>
      <c r="D789" t="s">
        <v>666</v>
      </c>
      <c r="E789">
        <v>71</v>
      </c>
      <c r="F789" s="1">
        <v>45406</v>
      </c>
      <c r="G789" s="1" t="str">
        <f>TEXT(Table1[[#This Row],[Enrollment date]], "mmm")</f>
        <v>Apr</v>
      </c>
      <c r="H789" t="s">
        <v>360</v>
      </c>
      <c r="I789" t="s">
        <v>660</v>
      </c>
      <c r="J789" t="str">
        <f>_xlfn.XLOOKUP(Table1[[#This Row],[Course ]], CCF!B:B, CCF!A:A)</f>
        <v>BA301</v>
      </c>
      <c r="K789" t="s">
        <v>364</v>
      </c>
      <c r="L789">
        <f>_xlfn.XLOOKUP(K789, CCF!B:B, CCF!C:C)</f>
        <v>59999</v>
      </c>
      <c r="M789" t="s">
        <v>9</v>
      </c>
    </row>
    <row r="790" spans="1:13" x14ac:dyDescent="0.3">
      <c r="A790">
        <v>789</v>
      </c>
      <c r="B790" t="s">
        <v>1453</v>
      </c>
      <c r="C790" s="3">
        <v>76071</v>
      </c>
      <c r="D790" t="s">
        <v>666</v>
      </c>
      <c r="E790">
        <v>60</v>
      </c>
      <c r="F790" s="1">
        <v>45406</v>
      </c>
      <c r="G790" s="1" t="str">
        <f>TEXT(Table1[[#This Row],[Enrollment date]], "mmm")</f>
        <v>Apr</v>
      </c>
      <c r="H790" t="s">
        <v>360</v>
      </c>
      <c r="I790" t="s">
        <v>659</v>
      </c>
      <c r="J790" t="str">
        <f>_xlfn.XLOOKUP(Table1[[#This Row],[Course ]], CCF!B:B, CCF!A:A)</f>
        <v>DA202</v>
      </c>
      <c r="K790" t="s">
        <v>363</v>
      </c>
      <c r="L790">
        <f>_xlfn.XLOOKUP(K790, CCF!B:B, CCF!C:C)</f>
        <v>79999</v>
      </c>
      <c r="M790" t="s">
        <v>30</v>
      </c>
    </row>
    <row r="791" spans="1:13" x14ac:dyDescent="0.3">
      <c r="A791">
        <v>790</v>
      </c>
      <c r="B791" t="s">
        <v>1454</v>
      </c>
      <c r="C791" s="3">
        <v>31152</v>
      </c>
      <c r="D791" t="s">
        <v>666</v>
      </c>
      <c r="E791">
        <v>42</v>
      </c>
      <c r="F791" s="1">
        <v>45406</v>
      </c>
      <c r="G791" s="1" t="str">
        <f>TEXT(Table1[[#This Row],[Enrollment date]], "mmm")</f>
        <v>Apr</v>
      </c>
      <c r="H791" t="s">
        <v>360</v>
      </c>
      <c r="I791" t="s">
        <v>659</v>
      </c>
      <c r="J791" t="str">
        <f>_xlfn.XLOOKUP(Table1[[#This Row],[Course ]], CCF!B:B, CCF!A:A)</f>
        <v>BA301</v>
      </c>
      <c r="K791" t="s">
        <v>364</v>
      </c>
      <c r="L791">
        <f>_xlfn.XLOOKUP(K791, CCF!B:B, CCF!C:C)</f>
        <v>59999</v>
      </c>
      <c r="M791" t="s">
        <v>170</v>
      </c>
    </row>
    <row r="792" spans="1:13" x14ac:dyDescent="0.3">
      <c r="A792">
        <v>791</v>
      </c>
      <c r="B792" t="s">
        <v>1455</v>
      </c>
      <c r="C792" s="3">
        <v>29633</v>
      </c>
      <c r="D792" t="s">
        <v>667</v>
      </c>
      <c r="E792">
        <v>71</v>
      </c>
      <c r="F792" s="1">
        <v>45406</v>
      </c>
      <c r="G792" s="1" t="str">
        <f>TEXT(Table1[[#This Row],[Enrollment date]], "mmm")</f>
        <v>Apr</v>
      </c>
      <c r="H792" t="s">
        <v>360</v>
      </c>
      <c r="I792" t="s">
        <v>660</v>
      </c>
      <c r="J792" t="str">
        <f>_xlfn.XLOOKUP(Table1[[#This Row],[Course ]], CCF!B:B, CCF!A:A)</f>
        <v>DA202</v>
      </c>
      <c r="K792" t="s">
        <v>363</v>
      </c>
      <c r="L792">
        <f>_xlfn.XLOOKUP(K792, CCF!B:B, CCF!C:C)</f>
        <v>79999</v>
      </c>
      <c r="M792" t="s">
        <v>478</v>
      </c>
    </row>
    <row r="793" spans="1:13" x14ac:dyDescent="0.3">
      <c r="A793">
        <v>792</v>
      </c>
      <c r="B793" t="s">
        <v>1456</v>
      </c>
      <c r="C793" s="3">
        <v>27098</v>
      </c>
      <c r="D793" t="s">
        <v>666</v>
      </c>
      <c r="E793">
        <v>48</v>
      </c>
      <c r="F793" s="1">
        <v>45407</v>
      </c>
      <c r="G793" s="1" t="str">
        <f>TEXT(Table1[[#This Row],[Enrollment date]], "mmm")</f>
        <v>Apr</v>
      </c>
      <c r="H793" t="s">
        <v>360</v>
      </c>
      <c r="I793" t="s">
        <v>660</v>
      </c>
      <c r="J793" t="str">
        <f>_xlfn.XLOOKUP(Table1[[#This Row],[Course ]], CCF!B:B, CCF!A:A)</f>
        <v>DM101</v>
      </c>
      <c r="K793" t="s">
        <v>365</v>
      </c>
      <c r="L793">
        <f>_xlfn.XLOOKUP(K793, CCF!B:B, CCF!C:C)</f>
        <v>85499</v>
      </c>
      <c r="M793" t="s">
        <v>62</v>
      </c>
    </row>
    <row r="794" spans="1:13" x14ac:dyDescent="0.3">
      <c r="A794">
        <v>793</v>
      </c>
      <c r="B794" t="s">
        <v>1457</v>
      </c>
      <c r="C794" s="3">
        <v>94387</v>
      </c>
      <c r="D794" t="s">
        <v>666</v>
      </c>
      <c r="E794">
        <v>55</v>
      </c>
      <c r="F794" s="1">
        <v>45407</v>
      </c>
      <c r="G794" s="1" t="str">
        <f>TEXT(Table1[[#This Row],[Enrollment date]], "mmm")</f>
        <v>Apr</v>
      </c>
      <c r="H794" t="s">
        <v>360</v>
      </c>
      <c r="I794" t="s">
        <v>661</v>
      </c>
      <c r="J794" t="str">
        <f>_xlfn.XLOOKUP(Table1[[#This Row],[Course ]], CCF!B:B, CCF!A:A)</f>
        <v>BA301</v>
      </c>
      <c r="K794" t="s">
        <v>364</v>
      </c>
      <c r="L794">
        <f>_xlfn.XLOOKUP(K794, CCF!B:B, CCF!C:C)</f>
        <v>59999</v>
      </c>
      <c r="M794" t="s">
        <v>80</v>
      </c>
    </row>
    <row r="795" spans="1:13" x14ac:dyDescent="0.3">
      <c r="A795">
        <v>794</v>
      </c>
      <c r="B795" t="s">
        <v>1458</v>
      </c>
      <c r="C795" s="3">
        <v>30007</v>
      </c>
      <c r="D795" t="s">
        <v>666</v>
      </c>
      <c r="E795">
        <v>49</v>
      </c>
      <c r="F795" s="1">
        <v>45407</v>
      </c>
      <c r="G795" s="1" t="str">
        <f>TEXT(Table1[[#This Row],[Enrollment date]], "mmm")</f>
        <v>Apr</v>
      </c>
      <c r="H795" t="s">
        <v>360</v>
      </c>
      <c r="I795" t="s">
        <v>660</v>
      </c>
      <c r="J795" t="str">
        <f>_xlfn.XLOOKUP(Table1[[#This Row],[Course ]], CCF!B:B, CCF!A:A)</f>
        <v>UX401</v>
      </c>
      <c r="K795" t="s">
        <v>367</v>
      </c>
      <c r="L795">
        <f>_xlfn.XLOOKUP(K795, CCF!B:B, CCF!C:C)</f>
        <v>67990</v>
      </c>
      <c r="M795" t="s">
        <v>340</v>
      </c>
    </row>
    <row r="796" spans="1:13" x14ac:dyDescent="0.3">
      <c r="A796">
        <v>795</v>
      </c>
      <c r="B796" t="s">
        <v>1459</v>
      </c>
      <c r="C796" s="3">
        <v>45409</v>
      </c>
      <c r="D796" t="s">
        <v>666</v>
      </c>
      <c r="E796">
        <v>36</v>
      </c>
      <c r="F796" s="1">
        <v>45407</v>
      </c>
      <c r="G796" s="1" t="str">
        <f>TEXT(Table1[[#This Row],[Enrollment date]], "mmm")</f>
        <v>Apr</v>
      </c>
      <c r="H796" t="s">
        <v>360</v>
      </c>
      <c r="I796" t="s">
        <v>660</v>
      </c>
      <c r="J796" t="str">
        <f>_xlfn.XLOOKUP(Table1[[#This Row],[Course ]], CCF!B:B, CCF!A:A)</f>
        <v>BA301</v>
      </c>
      <c r="K796" t="s">
        <v>364</v>
      </c>
      <c r="L796">
        <f>_xlfn.XLOOKUP(K796, CCF!B:B, CCF!C:C)</f>
        <v>59999</v>
      </c>
      <c r="M796" t="s">
        <v>43</v>
      </c>
    </row>
    <row r="797" spans="1:13" x14ac:dyDescent="0.3">
      <c r="A797">
        <v>796</v>
      </c>
      <c r="B797" t="s">
        <v>1460</v>
      </c>
      <c r="C797" s="3">
        <v>90619</v>
      </c>
      <c r="D797" t="s">
        <v>666</v>
      </c>
      <c r="E797">
        <v>32</v>
      </c>
      <c r="F797" s="1">
        <v>45407</v>
      </c>
      <c r="G797" s="1" t="str">
        <f>TEXT(Table1[[#This Row],[Enrollment date]], "mmm")</f>
        <v>Apr</v>
      </c>
      <c r="H797" t="s">
        <v>360</v>
      </c>
      <c r="I797" t="s">
        <v>660</v>
      </c>
      <c r="J797" t="str">
        <f>_xlfn.XLOOKUP(Table1[[#This Row],[Course ]], CCF!B:B, CCF!A:A)</f>
        <v>DA202</v>
      </c>
      <c r="K797" t="s">
        <v>363</v>
      </c>
      <c r="L797">
        <f>_xlfn.XLOOKUP(K797, CCF!B:B, CCF!C:C)</f>
        <v>79999</v>
      </c>
      <c r="M797" t="s">
        <v>17</v>
      </c>
    </row>
    <row r="798" spans="1:13" x14ac:dyDescent="0.3">
      <c r="A798">
        <v>797</v>
      </c>
      <c r="B798" t="s">
        <v>1461</v>
      </c>
      <c r="C798" s="3">
        <v>30117</v>
      </c>
      <c r="D798" t="s">
        <v>666</v>
      </c>
      <c r="E798">
        <v>75</v>
      </c>
      <c r="F798" s="1">
        <v>45407</v>
      </c>
      <c r="G798" s="1" t="str">
        <f>TEXT(Table1[[#This Row],[Enrollment date]], "mmm")</f>
        <v>Apr</v>
      </c>
      <c r="H798" t="s">
        <v>360</v>
      </c>
      <c r="I798" t="s">
        <v>663</v>
      </c>
      <c r="J798" t="str">
        <f>_xlfn.XLOOKUP(Table1[[#This Row],[Course ]], CCF!B:B, CCF!A:A)</f>
        <v>DM101</v>
      </c>
      <c r="K798" t="s">
        <v>365</v>
      </c>
      <c r="L798">
        <f>_xlfn.XLOOKUP(K798, CCF!B:B, CCF!C:C)</f>
        <v>85499</v>
      </c>
      <c r="M798" t="s">
        <v>30</v>
      </c>
    </row>
    <row r="799" spans="1:13" x14ac:dyDescent="0.3">
      <c r="A799">
        <v>798</v>
      </c>
      <c r="B799" t="s">
        <v>1462</v>
      </c>
      <c r="C799" s="3">
        <v>17604</v>
      </c>
      <c r="D799" t="s">
        <v>666</v>
      </c>
      <c r="E799">
        <v>20</v>
      </c>
      <c r="F799" s="1">
        <v>45407</v>
      </c>
      <c r="G799" s="1" t="str">
        <f>TEXT(Table1[[#This Row],[Enrollment date]], "mmm")</f>
        <v>Apr</v>
      </c>
      <c r="H799" t="s">
        <v>360</v>
      </c>
      <c r="I799" t="s">
        <v>660</v>
      </c>
      <c r="J799" t="str">
        <f>_xlfn.XLOOKUP(Table1[[#This Row],[Course ]], CCF!B:B, CCF!A:A)</f>
        <v>DA202</v>
      </c>
      <c r="K799" t="s">
        <v>363</v>
      </c>
      <c r="L799">
        <f>_xlfn.XLOOKUP(K799, CCF!B:B, CCF!C:C)</f>
        <v>79999</v>
      </c>
      <c r="M799" t="s">
        <v>20</v>
      </c>
    </row>
    <row r="800" spans="1:13" x14ac:dyDescent="0.3">
      <c r="A800">
        <v>799</v>
      </c>
      <c r="B800" t="s">
        <v>1463</v>
      </c>
      <c r="C800" s="3">
        <v>75462</v>
      </c>
      <c r="D800" t="s">
        <v>666</v>
      </c>
      <c r="E800">
        <v>45</v>
      </c>
      <c r="F800" s="1">
        <v>45407</v>
      </c>
      <c r="G800" s="1" t="str">
        <f>TEXT(Table1[[#This Row],[Enrollment date]], "mmm")</f>
        <v>Apr</v>
      </c>
      <c r="H800" t="s">
        <v>360</v>
      </c>
      <c r="I800" t="s">
        <v>663</v>
      </c>
      <c r="J800" t="str">
        <f>_xlfn.XLOOKUP(Table1[[#This Row],[Course ]], CCF!B:B, CCF!A:A)</f>
        <v>DA202</v>
      </c>
      <c r="K800" t="s">
        <v>363</v>
      </c>
      <c r="L800">
        <f>_xlfn.XLOOKUP(K800, CCF!B:B, CCF!C:C)</f>
        <v>79999</v>
      </c>
      <c r="M800" t="s">
        <v>479</v>
      </c>
    </row>
    <row r="801" spans="1:13" x14ac:dyDescent="0.3">
      <c r="A801">
        <v>800</v>
      </c>
      <c r="B801" t="s">
        <v>1464</v>
      </c>
      <c r="C801" s="3">
        <v>60195</v>
      </c>
      <c r="D801" t="s">
        <v>666</v>
      </c>
      <c r="E801">
        <v>19</v>
      </c>
      <c r="F801" s="1">
        <v>45408</v>
      </c>
      <c r="G801" s="1" t="str">
        <f>TEXT(Table1[[#This Row],[Enrollment date]], "mmm")</f>
        <v>Apr</v>
      </c>
      <c r="H801" t="s">
        <v>360</v>
      </c>
      <c r="I801" t="s">
        <v>659</v>
      </c>
      <c r="J801" t="str">
        <f>_xlfn.XLOOKUP(Table1[[#This Row],[Course ]], CCF!B:B, CCF!A:A)</f>
        <v>DM101</v>
      </c>
      <c r="K801" t="s">
        <v>365</v>
      </c>
      <c r="L801">
        <f>_xlfn.XLOOKUP(K801, CCF!B:B, CCF!C:C)</f>
        <v>85499</v>
      </c>
      <c r="M801" t="s">
        <v>480</v>
      </c>
    </row>
    <row r="802" spans="1:13" x14ac:dyDescent="0.3">
      <c r="A802">
        <v>801</v>
      </c>
      <c r="B802" t="s">
        <v>1465</v>
      </c>
      <c r="C802" s="3">
        <v>84963</v>
      </c>
      <c r="D802" t="s">
        <v>667</v>
      </c>
      <c r="E802">
        <v>19</v>
      </c>
      <c r="F802" s="1">
        <v>45408</v>
      </c>
      <c r="G802" s="1" t="str">
        <f>TEXT(Table1[[#This Row],[Enrollment date]], "mmm")</f>
        <v>Apr</v>
      </c>
      <c r="H802" t="s">
        <v>360</v>
      </c>
      <c r="I802" t="s">
        <v>661</v>
      </c>
      <c r="J802" t="str">
        <f>_xlfn.XLOOKUP(Table1[[#This Row],[Course ]], CCF!B:B, CCF!A:A)</f>
        <v>UX401</v>
      </c>
      <c r="K802" t="s">
        <v>367</v>
      </c>
      <c r="L802">
        <f>_xlfn.XLOOKUP(K802, CCF!B:B, CCF!C:C)</f>
        <v>67990</v>
      </c>
      <c r="M802" t="s">
        <v>53</v>
      </c>
    </row>
    <row r="803" spans="1:13" x14ac:dyDescent="0.3">
      <c r="A803">
        <v>802</v>
      </c>
      <c r="B803" t="s">
        <v>1466</v>
      </c>
      <c r="C803" s="3">
        <v>39738</v>
      </c>
      <c r="D803" t="s">
        <v>666</v>
      </c>
      <c r="E803">
        <v>36</v>
      </c>
      <c r="F803" s="1">
        <v>45408</v>
      </c>
      <c r="G803" s="1" t="str">
        <f>TEXT(Table1[[#This Row],[Enrollment date]], "mmm")</f>
        <v>Apr</v>
      </c>
      <c r="H803" t="s">
        <v>360</v>
      </c>
      <c r="I803" t="s">
        <v>659</v>
      </c>
      <c r="J803" t="str">
        <f>_xlfn.XLOOKUP(Table1[[#This Row],[Course ]], CCF!B:B, CCF!A:A)</f>
        <v>DA202</v>
      </c>
      <c r="K803" t="s">
        <v>363</v>
      </c>
      <c r="L803">
        <f>_xlfn.XLOOKUP(K803, CCF!B:B, CCF!C:C)</f>
        <v>79999</v>
      </c>
      <c r="M803" t="s">
        <v>16</v>
      </c>
    </row>
    <row r="804" spans="1:13" x14ac:dyDescent="0.3">
      <c r="A804">
        <v>803</v>
      </c>
      <c r="B804" t="s">
        <v>1467</v>
      </c>
      <c r="C804" s="3">
        <v>26157</v>
      </c>
      <c r="D804" t="s">
        <v>667</v>
      </c>
      <c r="E804">
        <v>25</v>
      </c>
      <c r="F804" s="1">
        <v>45408</v>
      </c>
      <c r="G804" s="1" t="str">
        <f>TEXT(Table1[[#This Row],[Enrollment date]], "mmm")</f>
        <v>Apr</v>
      </c>
      <c r="H804" t="s">
        <v>360</v>
      </c>
      <c r="I804" t="s">
        <v>659</v>
      </c>
      <c r="J804" t="str">
        <f>_xlfn.XLOOKUP(Table1[[#This Row],[Course ]], CCF!B:B, CCF!A:A)</f>
        <v>DA202</v>
      </c>
      <c r="K804" t="s">
        <v>363</v>
      </c>
      <c r="L804">
        <f>_xlfn.XLOOKUP(K804, CCF!B:B, CCF!C:C)</f>
        <v>79999</v>
      </c>
      <c r="M804" t="s">
        <v>18</v>
      </c>
    </row>
    <row r="805" spans="1:13" x14ac:dyDescent="0.3">
      <c r="A805">
        <v>804</v>
      </c>
      <c r="B805" t="s">
        <v>1468</v>
      </c>
      <c r="C805" s="3">
        <v>93420</v>
      </c>
      <c r="D805" t="s">
        <v>667</v>
      </c>
      <c r="E805">
        <v>61</v>
      </c>
      <c r="F805" s="1">
        <v>45408</v>
      </c>
      <c r="G805" s="1" t="str">
        <f>TEXT(Table1[[#This Row],[Enrollment date]], "mmm")</f>
        <v>Apr</v>
      </c>
      <c r="H805" t="s">
        <v>360</v>
      </c>
      <c r="I805" t="s">
        <v>660</v>
      </c>
      <c r="J805" t="str">
        <f>_xlfn.XLOOKUP(Table1[[#This Row],[Course ]], CCF!B:B, CCF!A:A)</f>
        <v>DA202</v>
      </c>
      <c r="K805" t="s">
        <v>363</v>
      </c>
      <c r="L805">
        <f>_xlfn.XLOOKUP(K805, CCF!B:B, CCF!C:C)</f>
        <v>79999</v>
      </c>
      <c r="M805" t="s">
        <v>59</v>
      </c>
    </row>
    <row r="806" spans="1:13" x14ac:dyDescent="0.3">
      <c r="A806">
        <v>805</v>
      </c>
      <c r="B806" t="s">
        <v>1469</v>
      </c>
      <c r="C806" s="3">
        <v>65812</v>
      </c>
      <c r="D806" t="s">
        <v>666</v>
      </c>
      <c r="E806">
        <v>28</v>
      </c>
      <c r="F806" s="1">
        <v>45408</v>
      </c>
      <c r="G806" s="1" t="str">
        <f>TEXT(Table1[[#This Row],[Enrollment date]], "mmm")</f>
        <v>Apr</v>
      </c>
      <c r="H806" t="s">
        <v>360</v>
      </c>
      <c r="I806" t="s">
        <v>663</v>
      </c>
      <c r="J806" t="str">
        <f>_xlfn.XLOOKUP(Table1[[#This Row],[Course ]], CCF!B:B, CCF!A:A)</f>
        <v>DM101</v>
      </c>
      <c r="K806" t="s">
        <v>365</v>
      </c>
      <c r="L806">
        <f>_xlfn.XLOOKUP(K806, CCF!B:B, CCF!C:C)</f>
        <v>85499</v>
      </c>
      <c r="M806" t="s">
        <v>134</v>
      </c>
    </row>
    <row r="807" spans="1:13" x14ac:dyDescent="0.3">
      <c r="A807">
        <v>806</v>
      </c>
      <c r="B807" t="s">
        <v>1470</v>
      </c>
      <c r="C807" s="3">
        <v>96774</v>
      </c>
      <c r="D807" t="s">
        <v>666</v>
      </c>
      <c r="E807">
        <v>49</v>
      </c>
      <c r="F807" s="1">
        <v>45408</v>
      </c>
      <c r="G807" s="1" t="str">
        <f>TEXT(Table1[[#This Row],[Enrollment date]], "mmm")</f>
        <v>Apr</v>
      </c>
      <c r="H807" t="s">
        <v>360</v>
      </c>
      <c r="I807" t="s">
        <v>659</v>
      </c>
      <c r="J807" t="str">
        <f>_xlfn.XLOOKUP(Table1[[#This Row],[Course ]], CCF!B:B, CCF!A:A)</f>
        <v>DM101</v>
      </c>
      <c r="K807" t="s">
        <v>365</v>
      </c>
      <c r="L807">
        <f>_xlfn.XLOOKUP(K807, CCF!B:B, CCF!C:C)</f>
        <v>85499</v>
      </c>
      <c r="M807" t="s">
        <v>106</v>
      </c>
    </row>
    <row r="808" spans="1:13" x14ac:dyDescent="0.3">
      <c r="A808">
        <v>807</v>
      </c>
      <c r="B808" t="s">
        <v>1471</v>
      </c>
      <c r="C808" s="3">
        <v>28709</v>
      </c>
      <c r="D808" t="s">
        <v>666</v>
      </c>
      <c r="E808">
        <v>32</v>
      </c>
      <c r="F808" s="1">
        <v>45408</v>
      </c>
      <c r="G808" s="1" t="str">
        <f>TEXT(Table1[[#This Row],[Enrollment date]], "mmm")</f>
        <v>Apr</v>
      </c>
      <c r="H808" t="s">
        <v>360</v>
      </c>
      <c r="I808" t="s">
        <v>662</v>
      </c>
      <c r="J808" t="str">
        <f>_xlfn.XLOOKUP(Table1[[#This Row],[Course ]], CCF!B:B, CCF!A:A)</f>
        <v>DA202</v>
      </c>
      <c r="K808" t="s">
        <v>363</v>
      </c>
      <c r="L808">
        <f>_xlfn.XLOOKUP(K808, CCF!B:B, CCF!C:C)</f>
        <v>79999</v>
      </c>
      <c r="M808" t="s">
        <v>43</v>
      </c>
    </row>
    <row r="809" spans="1:13" x14ac:dyDescent="0.3">
      <c r="A809">
        <v>808</v>
      </c>
      <c r="B809" t="s">
        <v>1472</v>
      </c>
      <c r="C809" s="3">
        <v>77986</v>
      </c>
      <c r="D809" t="s">
        <v>666</v>
      </c>
      <c r="E809">
        <v>70</v>
      </c>
      <c r="F809" s="1">
        <v>45409</v>
      </c>
      <c r="G809" s="1" t="str">
        <f>TEXT(Table1[[#This Row],[Enrollment date]], "mmm")</f>
        <v>Apr</v>
      </c>
      <c r="H809" t="s">
        <v>360</v>
      </c>
      <c r="I809" t="s">
        <v>661</v>
      </c>
      <c r="J809" t="str">
        <f>_xlfn.XLOOKUP(Table1[[#This Row],[Course ]], CCF!B:B, CCF!A:A)</f>
        <v>DM101</v>
      </c>
      <c r="K809" t="s">
        <v>365</v>
      </c>
      <c r="L809">
        <f>_xlfn.XLOOKUP(K809, CCF!B:B, CCF!C:C)</f>
        <v>85499</v>
      </c>
      <c r="M809" t="s">
        <v>87</v>
      </c>
    </row>
    <row r="810" spans="1:13" x14ac:dyDescent="0.3">
      <c r="A810">
        <v>809</v>
      </c>
      <c r="B810" t="s">
        <v>1473</v>
      </c>
      <c r="C810" s="3">
        <v>45110</v>
      </c>
      <c r="D810" t="s">
        <v>666</v>
      </c>
      <c r="E810">
        <v>28</v>
      </c>
      <c r="F810" s="1">
        <v>45409</v>
      </c>
      <c r="G810" s="1" t="str">
        <f>TEXT(Table1[[#This Row],[Enrollment date]], "mmm")</f>
        <v>Apr</v>
      </c>
      <c r="H810" t="s">
        <v>360</v>
      </c>
      <c r="I810" t="s">
        <v>659</v>
      </c>
      <c r="J810" t="str">
        <f>_xlfn.XLOOKUP(Table1[[#This Row],[Course ]], CCF!B:B, CCF!A:A)</f>
        <v>DA202</v>
      </c>
      <c r="K810" t="s">
        <v>363</v>
      </c>
      <c r="L810">
        <f>_xlfn.XLOOKUP(K810, CCF!B:B, CCF!C:C)</f>
        <v>79999</v>
      </c>
      <c r="M810" t="s">
        <v>147</v>
      </c>
    </row>
    <row r="811" spans="1:13" x14ac:dyDescent="0.3">
      <c r="A811">
        <v>810</v>
      </c>
      <c r="B811" t="s">
        <v>1474</v>
      </c>
      <c r="C811" s="3">
        <v>80619</v>
      </c>
      <c r="D811" t="s">
        <v>666</v>
      </c>
      <c r="E811">
        <v>39</v>
      </c>
      <c r="F811" s="1">
        <v>45409</v>
      </c>
      <c r="G811" s="1" t="str">
        <f>TEXT(Table1[[#This Row],[Enrollment date]], "mmm")</f>
        <v>Apr</v>
      </c>
      <c r="H811" t="s">
        <v>360</v>
      </c>
      <c r="I811" t="s">
        <v>664</v>
      </c>
      <c r="J811" t="str">
        <f>_xlfn.XLOOKUP(Table1[[#This Row],[Course ]], CCF!B:B, CCF!A:A)</f>
        <v>FSD103</v>
      </c>
      <c r="K811" t="s">
        <v>366</v>
      </c>
      <c r="L811">
        <f>_xlfn.XLOOKUP(K811, CCF!B:B, CCF!C:C)</f>
        <v>109990</v>
      </c>
      <c r="M811" t="s">
        <v>7</v>
      </c>
    </row>
    <row r="812" spans="1:13" x14ac:dyDescent="0.3">
      <c r="A812">
        <v>811</v>
      </c>
      <c r="B812" t="s">
        <v>1475</v>
      </c>
      <c r="C812" s="3">
        <v>14843</v>
      </c>
      <c r="D812" t="s">
        <v>666</v>
      </c>
      <c r="E812">
        <v>33</v>
      </c>
      <c r="F812" s="1">
        <v>45409</v>
      </c>
      <c r="G812" s="1" t="str">
        <f>TEXT(Table1[[#This Row],[Enrollment date]], "mmm")</f>
        <v>Apr</v>
      </c>
      <c r="H812" t="s">
        <v>360</v>
      </c>
      <c r="I812" t="s">
        <v>662</v>
      </c>
      <c r="J812" t="str">
        <f>_xlfn.XLOOKUP(Table1[[#This Row],[Course ]], CCF!B:B, CCF!A:A)</f>
        <v>FSD103</v>
      </c>
      <c r="K812" t="s">
        <v>366</v>
      </c>
      <c r="L812">
        <f>_xlfn.XLOOKUP(K812, CCF!B:B, CCF!C:C)</f>
        <v>109990</v>
      </c>
      <c r="M812" t="s">
        <v>43</v>
      </c>
    </row>
    <row r="813" spans="1:13" x14ac:dyDescent="0.3">
      <c r="A813">
        <v>812</v>
      </c>
      <c r="B813" t="s">
        <v>1476</v>
      </c>
      <c r="C813" s="3">
        <v>42611</v>
      </c>
      <c r="D813" t="s">
        <v>666</v>
      </c>
      <c r="E813">
        <v>28</v>
      </c>
      <c r="F813" s="1">
        <v>45409</v>
      </c>
      <c r="G813" s="1" t="str">
        <f>TEXT(Table1[[#This Row],[Enrollment date]], "mmm")</f>
        <v>Apr</v>
      </c>
      <c r="H813" t="s">
        <v>360</v>
      </c>
      <c r="I813" t="s">
        <v>661</v>
      </c>
      <c r="J813" t="str">
        <f>_xlfn.XLOOKUP(Table1[[#This Row],[Course ]], CCF!B:B, CCF!A:A)</f>
        <v>DA202</v>
      </c>
      <c r="K813" t="s">
        <v>363</v>
      </c>
      <c r="L813">
        <f>_xlfn.XLOOKUP(K813, CCF!B:B, CCF!C:C)</f>
        <v>79999</v>
      </c>
      <c r="M813" t="s">
        <v>481</v>
      </c>
    </row>
    <row r="814" spans="1:13" x14ac:dyDescent="0.3">
      <c r="A814">
        <v>813</v>
      </c>
      <c r="B814" t="s">
        <v>1477</v>
      </c>
      <c r="C814" s="3">
        <v>15694</v>
      </c>
      <c r="D814" t="s">
        <v>666</v>
      </c>
      <c r="E814">
        <v>70</v>
      </c>
      <c r="F814" s="1">
        <v>45409</v>
      </c>
      <c r="G814" s="1" t="str">
        <f>TEXT(Table1[[#This Row],[Enrollment date]], "mmm")</f>
        <v>Apr</v>
      </c>
      <c r="H814" t="s">
        <v>360</v>
      </c>
      <c r="I814" t="s">
        <v>661</v>
      </c>
      <c r="J814" t="str">
        <f>_xlfn.XLOOKUP(Table1[[#This Row],[Course ]], CCF!B:B, CCF!A:A)</f>
        <v>BA301</v>
      </c>
      <c r="K814" t="s">
        <v>364</v>
      </c>
      <c r="L814">
        <f>_xlfn.XLOOKUP(K814, CCF!B:B, CCF!C:C)</f>
        <v>59999</v>
      </c>
      <c r="M814" t="s">
        <v>147</v>
      </c>
    </row>
    <row r="815" spans="1:13" x14ac:dyDescent="0.3">
      <c r="A815">
        <v>814</v>
      </c>
      <c r="B815" t="s">
        <v>1478</v>
      </c>
      <c r="C815" s="3">
        <v>25918</v>
      </c>
      <c r="D815" t="s">
        <v>666</v>
      </c>
      <c r="E815">
        <v>61</v>
      </c>
      <c r="F815" s="1">
        <v>45410</v>
      </c>
      <c r="G815" s="1" t="str">
        <f>TEXT(Table1[[#This Row],[Enrollment date]], "mmm")</f>
        <v>Apr</v>
      </c>
      <c r="H815" t="s">
        <v>360</v>
      </c>
      <c r="I815" t="s">
        <v>659</v>
      </c>
      <c r="J815" t="str">
        <f>_xlfn.XLOOKUP(Table1[[#This Row],[Course ]], CCF!B:B, CCF!A:A)</f>
        <v>DA202</v>
      </c>
      <c r="K815" t="s">
        <v>363</v>
      </c>
      <c r="L815">
        <f>_xlfn.XLOOKUP(K815, CCF!B:B, CCF!C:C)</f>
        <v>79999</v>
      </c>
      <c r="M815" t="s">
        <v>18</v>
      </c>
    </row>
    <row r="816" spans="1:13" x14ac:dyDescent="0.3">
      <c r="A816">
        <v>815</v>
      </c>
      <c r="B816" t="s">
        <v>1479</v>
      </c>
      <c r="C816" s="3">
        <v>25909</v>
      </c>
      <c r="D816" t="s">
        <v>666</v>
      </c>
      <c r="E816">
        <v>41</v>
      </c>
      <c r="F816" s="1">
        <v>45410</v>
      </c>
      <c r="G816" s="1" t="str">
        <f>TEXT(Table1[[#This Row],[Enrollment date]], "mmm")</f>
        <v>Apr</v>
      </c>
      <c r="H816" t="s">
        <v>360</v>
      </c>
      <c r="I816" t="s">
        <v>661</v>
      </c>
      <c r="J816" t="str">
        <f>_xlfn.XLOOKUP(Table1[[#This Row],[Course ]], CCF!B:B, CCF!A:A)</f>
        <v>DM101</v>
      </c>
      <c r="K816" t="s">
        <v>365</v>
      </c>
      <c r="L816">
        <f>_xlfn.XLOOKUP(K816, CCF!B:B, CCF!C:C)</f>
        <v>85499</v>
      </c>
      <c r="M816" t="s">
        <v>482</v>
      </c>
    </row>
    <row r="817" spans="1:13" x14ac:dyDescent="0.3">
      <c r="A817">
        <v>816</v>
      </c>
      <c r="B817" t="s">
        <v>1480</v>
      </c>
      <c r="C817" s="3">
        <v>85170</v>
      </c>
      <c r="D817" t="s">
        <v>667</v>
      </c>
      <c r="E817">
        <v>25</v>
      </c>
      <c r="F817" s="1">
        <v>45410</v>
      </c>
      <c r="G817" s="1" t="str">
        <f>TEXT(Table1[[#This Row],[Enrollment date]], "mmm")</f>
        <v>Apr</v>
      </c>
      <c r="H817" t="s">
        <v>360</v>
      </c>
      <c r="I817" t="s">
        <v>660</v>
      </c>
      <c r="J817" t="str">
        <f>_xlfn.XLOOKUP(Table1[[#This Row],[Course ]], CCF!B:B, CCF!A:A)</f>
        <v>DM101</v>
      </c>
      <c r="K817" t="s">
        <v>365</v>
      </c>
      <c r="L817">
        <f>_xlfn.XLOOKUP(K817, CCF!B:B, CCF!C:C)</f>
        <v>85499</v>
      </c>
      <c r="M817" t="s">
        <v>16</v>
      </c>
    </row>
    <row r="818" spans="1:13" x14ac:dyDescent="0.3">
      <c r="A818">
        <v>817</v>
      </c>
      <c r="B818" t="s">
        <v>1481</v>
      </c>
      <c r="C818" s="3">
        <v>39110</v>
      </c>
      <c r="D818" t="s">
        <v>666</v>
      </c>
      <c r="E818">
        <v>45</v>
      </c>
      <c r="F818" s="1">
        <v>45410</v>
      </c>
      <c r="G818" s="1" t="str">
        <f>TEXT(Table1[[#This Row],[Enrollment date]], "mmm")</f>
        <v>Apr</v>
      </c>
      <c r="H818" t="s">
        <v>360</v>
      </c>
      <c r="I818" t="s">
        <v>661</v>
      </c>
      <c r="J818" t="str">
        <f>_xlfn.XLOOKUP(Table1[[#This Row],[Course ]], CCF!B:B, CCF!A:A)</f>
        <v>CC002</v>
      </c>
      <c r="K818" t="s">
        <v>658</v>
      </c>
      <c r="L818">
        <f>_xlfn.XLOOKUP(K818, CCF!B:B, CCF!C:C)</f>
        <v>99990</v>
      </c>
      <c r="M818" t="s">
        <v>212</v>
      </c>
    </row>
    <row r="819" spans="1:13" x14ac:dyDescent="0.3">
      <c r="A819">
        <v>818</v>
      </c>
      <c r="B819" t="s">
        <v>1482</v>
      </c>
      <c r="C819" s="3">
        <v>23763</v>
      </c>
      <c r="D819" t="s">
        <v>666</v>
      </c>
      <c r="E819">
        <v>77</v>
      </c>
      <c r="F819" s="1">
        <v>45410</v>
      </c>
      <c r="G819" s="1" t="str">
        <f>TEXT(Table1[[#This Row],[Enrollment date]], "mmm")</f>
        <v>Apr</v>
      </c>
      <c r="H819" t="s">
        <v>360</v>
      </c>
      <c r="I819" t="s">
        <v>660</v>
      </c>
      <c r="J819" t="str">
        <f>_xlfn.XLOOKUP(Table1[[#This Row],[Course ]], CCF!B:B, CCF!A:A)</f>
        <v>DA202</v>
      </c>
      <c r="K819" t="s">
        <v>363</v>
      </c>
      <c r="L819">
        <f>_xlfn.XLOOKUP(K819, CCF!B:B, CCF!C:C)</f>
        <v>79999</v>
      </c>
      <c r="M819" t="s">
        <v>238</v>
      </c>
    </row>
    <row r="820" spans="1:13" x14ac:dyDescent="0.3">
      <c r="A820">
        <v>819</v>
      </c>
      <c r="B820" t="s">
        <v>1483</v>
      </c>
      <c r="C820" s="3">
        <v>41776</v>
      </c>
      <c r="D820" t="s">
        <v>667</v>
      </c>
      <c r="E820">
        <v>39</v>
      </c>
      <c r="F820" s="1">
        <v>45410</v>
      </c>
      <c r="G820" s="1" t="str">
        <f>TEXT(Table1[[#This Row],[Enrollment date]], "mmm")</f>
        <v>Apr</v>
      </c>
      <c r="H820" t="s">
        <v>360</v>
      </c>
      <c r="I820" t="s">
        <v>662</v>
      </c>
      <c r="J820" t="str">
        <f>_xlfn.XLOOKUP(Table1[[#This Row],[Course ]], CCF!B:B, CCF!A:A)</f>
        <v>DM101</v>
      </c>
      <c r="K820" t="s">
        <v>365</v>
      </c>
      <c r="L820">
        <f>_xlfn.XLOOKUP(K820, CCF!B:B, CCF!C:C)</f>
        <v>85499</v>
      </c>
      <c r="M820" t="s">
        <v>222</v>
      </c>
    </row>
    <row r="821" spans="1:13" x14ac:dyDescent="0.3">
      <c r="A821">
        <v>820</v>
      </c>
      <c r="B821" t="s">
        <v>1484</v>
      </c>
      <c r="C821" s="3">
        <v>53133</v>
      </c>
      <c r="D821" t="s">
        <v>666</v>
      </c>
      <c r="E821">
        <v>30</v>
      </c>
      <c r="F821" s="1">
        <v>45410</v>
      </c>
      <c r="G821" s="1" t="str">
        <f>TEXT(Table1[[#This Row],[Enrollment date]], "mmm")</f>
        <v>Apr</v>
      </c>
      <c r="H821" t="s">
        <v>360</v>
      </c>
      <c r="I821" t="s">
        <v>662</v>
      </c>
      <c r="J821" t="str">
        <f>_xlfn.XLOOKUP(Table1[[#This Row],[Course ]], CCF!B:B, CCF!A:A)</f>
        <v>DA202</v>
      </c>
      <c r="K821" t="s">
        <v>363</v>
      </c>
      <c r="L821">
        <f>_xlfn.XLOOKUP(K821, CCF!B:B, CCF!C:C)</f>
        <v>79999</v>
      </c>
      <c r="M821" t="s">
        <v>18</v>
      </c>
    </row>
    <row r="822" spans="1:13" x14ac:dyDescent="0.3">
      <c r="A822">
        <v>821</v>
      </c>
      <c r="B822" t="s">
        <v>1485</v>
      </c>
      <c r="C822" s="3">
        <v>60007</v>
      </c>
      <c r="D822" t="s">
        <v>666</v>
      </c>
      <c r="E822">
        <v>22</v>
      </c>
      <c r="F822" s="1">
        <v>45410</v>
      </c>
      <c r="G822" s="1" t="str">
        <f>TEXT(Table1[[#This Row],[Enrollment date]], "mmm")</f>
        <v>Apr</v>
      </c>
      <c r="H822" t="s">
        <v>360</v>
      </c>
      <c r="I822" t="s">
        <v>663</v>
      </c>
      <c r="J822" t="str">
        <f>_xlfn.XLOOKUP(Table1[[#This Row],[Course ]], CCF!B:B, CCF!A:A)</f>
        <v>UX401</v>
      </c>
      <c r="K822" t="s">
        <v>367</v>
      </c>
      <c r="L822">
        <f>_xlfn.XLOOKUP(K822, CCF!B:B, CCF!C:C)</f>
        <v>67990</v>
      </c>
      <c r="M822" t="s">
        <v>483</v>
      </c>
    </row>
    <row r="823" spans="1:13" x14ac:dyDescent="0.3">
      <c r="A823">
        <v>822</v>
      </c>
      <c r="B823" t="s">
        <v>1486</v>
      </c>
      <c r="C823" s="3">
        <v>77521</v>
      </c>
      <c r="D823" t="s">
        <v>666</v>
      </c>
      <c r="E823">
        <v>28</v>
      </c>
      <c r="F823" s="1">
        <v>45410</v>
      </c>
      <c r="G823" s="1" t="str">
        <f>TEXT(Table1[[#This Row],[Enrollment date]], "mmm")</f>
        <v>Apr</v>
      </c>
      <c r="H823" t="s">
        <v>360</v>
      </c>
      <c r="I823" t="s">
        <v>659</v>
      </c>
      <c r="J823" t="str">
        <f>_xlfn.XLOOKUP(Table1[[#This Row],[Course ]], CCF!B:B, CCF!A:A)</f>
        <v>DA202</v>
      </c>
      <c r="K823" t="s">
        <v>363</v>
      </c>
      <c r="L823">
        <f>_xlfn.XLOOKUP(K823, CCF!B:B, CCF!C:C)</f>
        <v>79999</v>
      </c>
      <c r="M823" t="s">
        <v>27</v>
      </c>
    </row>
    <row r="824" spans="1:13" x14ac:dyDescent="0.3">
      <c r="A824">
        <v>823</v>
      </c>
      <c r="B824" t="s">
        <v>1487</v>
      </c>
      <c r="C824" s="3">
        <v>57824</v>
      </c>
      <c r="D824" t="s">
        <v>666</v>
      </c>
      <c r="E824">
        <v>28</v>
      </c>
      <c r="F824" s="1">
        <v>45410</v>
      </c>
      <c r="G824" s="1" t="str">
        <f>TEXT(Table1[[#This Row],[Enrollment date]], "mmm")</f>
        <v>Apr</v>
      </c>
      <c r="H824" t="s">
        <v>3</v>
      </c>
      <c r="I824" t="s">
        <v>659</v>
      </c>
      <c r="J824" t="str">
        <f>_xlfn.XLOOKUP(Table1[[#This Row],[Course ]], CCF!B:B, CCF!A:A)</f>
        <v>BA301</v>
      </c>
      <c r="K824" t="s">
        <v>364</v>
      </c>
      <c r="L824">
        <f>_xlfn.XLOOKUP(K824, CCF!B:B, CCF!C:C)</f>
        <v>59999</v>
      </c>
      <c r="M824" t="s">
        <v>18</v>
      </c>
    </row>
    <row r="825" spans="1:13" x14ac:dyDescent="0.3">
      <c r="A825">
        <v>824</v>
      </c>
      <c r="B825" t="s">
        <v>1488</v>
      </c>
      <c r="C825" s="3">
        <v>65699</v>
      </c>
      <c r="D825" t="s">
        <v>666</v>
      </c>
      <c r="E825">
        <v>44</v>
      </c>
      <c r="F825" s="1">
        <v>45410</v>
      </c>
      <c r="G825" s="1" t="str">
        <f>TEXT(Table1[[#This Row],[Enrollment date]], "mmm")</f>
        <v>Apr</v>
      </c>
      <c r="H825" t="s">
        <v>360</v>
      </c>
      <c r="I825" t="s">
        <v>660</v>
      </c>
      <c r="J825" t="str">
        <f>_xlfn.XLOOKUP(Table1[[#This Row],[Course ]], CCF!B:B, CCF!A:A)</f>
        <v>DM101</v>
      </c>
      <c r="K825" t="s">
        <v>365</v>
      </c>
      <c r="L825">
        <f>_xlfn.XLOOKUP(K825, CCF!B:B, CCF!C:C)</f>
        <v>85499</v>
      </c>
      <c r="M825" t="s">
        <v>27</v>
      </c>
    </row>
    <row r="826" spans="1:13" x14ac:dyDescent="0.3">
      <c r="A826">
        <v>825</v>
      </c>
      <c r="B826" t="s">
        <v>1489</v>
      </c>
      <c r="C826" s="3">
        <v>47996</v>
      </c>
      <c r="D826" t="s">
        <v>666</v>
      </c>
      <c r="E826">
        <v>28</v>
      </c>
      <c r="F826" s="1">
        <v>45411</v>
      </c>
      <c r="G826" s="1" t="str">
        <f>TEXT(Table1[[#This Row],[Enrollment date]], "mmm")</f>
        <v>Apr</v>
      </c>
      <c r="H826" t="s">
        <v>360</v>
      </c>
      <c r="I826" t="s">
        <v>659</v>
      </c>
      <c r="J826" t="str">
        <f>_xlfn.XLOOKUP(Table1[[#This Row],[Course ]], CCF!B:B, CCF!A:A)</f>
        <v>DM101</v>
      </c>
      <c r="K826" t="s">
        <v>365</v>
      </c>
      <c r="L826">
        <f>_xlfn.XLOOKUP(K826, CCF!B:B, CCF!C:C)</f>
        <v>85499</v>
      </c>
      <c r="M826" t="s">
        <v>134</v>
      </c>
    </row>
    <row r="827" spans="1:13" x14ac:dyDescent="0.3">
      <c r="A827">
        <v>826</v>
      </c>
      <c r="B827" t="s">
        <v>1490</v>
      </c>
      <c r="C827" s="3">
        <v>32185</v>
      </c>
      <c r="D827" t="s">
        <v>666</v>
      </c>
      <c r="E827">
        <v>38</v>
      </c>
      <c r="F827" s="1">
        <v>45411</v>
      </c>
      <c r="G827" s="1" t="str">
        <f>TEXT(Table1[[#This Row],[Enrollment date]], "mmm")</f>
        <v>Apr</v>
      </c>
      <c r="H827" t="s">
        <v>360</v>
      </c>
      <c r="I827" t="s">
        <v>660</v>
      </c>
      <c r="J827" t="str">
        <f>_xlfn.XLOOKUP(Table1[[#This Row],[Course ]], CCF!B:B, CCF!A:A)</f>
        <v>BA301</v>
      </c>
      <c r="K827" t="s">
        <v>364</v>
      </c>
      <c r="L827">
        <f>_xlfn.XLOOKUP(K827, CCF!B:B, CCF!C:C)</f>
        <v>59999</v>
      </c>
      <c r="M827" t="s">
        <v>84</v>
      </c>
    </row>
    <row r="828" spans="1:13" x14ac:dyDescent="0.3">
      <c r="A828">
        <v>827</v>
      </c>
      <c r="B828" t="s">
        <v>1491</v>
      </c>
      <c r="C828" s="3">
        <v>83051</v>
      </c>
      <c r="D828" t="s">
        <v>666</v>
      </c>
      <c r="E828">
        <v>31</v>
      </c>
      <c r="F828" s="1">
        <v>45411</v>
      </c>
      <c r="G828" s="1" t="str">
        <f>TEXT(Table1[[#This Row],[Enrollment date]], "mmm")</f>
        <v>Apr</v>
      </c>
      <c r="H828" t="s">
        <v>360</v>
      </c>
      <c r="I828" t="s">
        <v>661</v>
      </c>
      <c r="J828" t="str">
        <f>_xlfn.XLOOKUP(Table1[[#This Row],[Course ]], CCF!B:B, CCF!A:A)</f>
        <v>DM101</v>
      </c>
      <c r="K828" t="s">
        <v>365</v>
      </c>
      <c r="L828">
        <f>_xlfn.XLOOKUP(K828, CCF!B:B, CCF!C:C)</f>
        <v>85499</v>
      </c>
      <c r="M828" t="s">
        <v>130</v>
      </c>
    </row>
    <row r="829" spans="1:13" x14ac:dyDescent="0.3">
      <c r="A829">
        <v>828</v>
      </c>
      <c r="B829" t="s">
        <v>1492</v>
      </c>
      <c r="C829" s="3">
        <v>69384</v>
      </c>
      <c r="D829" t="s">
        <v>666</v>
      </c>
      <c r="E829">
        <v>19</v>
      </c>
      <c r="F829" s="1">
        <v>45411</v>
      </c>
      <c r="G829" s="1" t="str">
        <f>TEXT(Table1[[#This Row],[Enrollment date]], "mmm")</f>
        <v>Apr</v>
      </c>
      <c r="H829" t="s">
        <v>360</v>
      </c>
      <c r="I829" t="s">
        <v>663</v>
      </c>
      <c r="J829" t="str">
        <f>_xlfn.XLOOKUP(Table1[[#This Row],[Course ]], CCF!B:B, CCF!A:A)</f>
        <v>DA202</v>
      </c>
      <c r="K829" t="s">
        <v>363</v>
      </c>
      <c r="L829">
        <f>_xlfn.XLOOKUP(K829, CCF!B:B, CCF!C:C)</f>
        <v>79999</v>
      </c>
      <c r="M829" t="s">
        <v>484</v>
      </c>
    </row>
    <row r="830" spans="1:13" x14ac:dyDescent="0.3">
      <c r="A830">
        <v>829</v>
      </c>
      <c r="B830" t="s">
        <v>1493</v>
      </c>
      <c r="C830" s="3">
        <v>89686</v>
      </c>
      <c r="D830" t="s">
        <v>666</v>
      </c>
      <c r="E830">
        <v>31</v>
      </c>
      <c r="F830" s="1">
        <v>45411</v>
      </c>
      <c r="G830" s="1" t="str">
        <f>TEXT(Table1[[#This Row],[Enrollment date]], "mmm")</f>
        <v>Apr</v>
      </c>
      <c r="H830" t="s">
        <v>360</v>
      </c>
      <c r="I830" t="s">
        <v>660</v>
      </c>
      <c r="J830" t="str">
        <f>_xlfn.XLOOKUP(Table1[[#This Row],[Course ]], CCF!B:B, CCF!A:A)</f>
        <v>FSD103</v>
      </c>
      <c r="K830" t="s">
        <v>366</v>
      </c>
      <c r="L830">
        <f>_xlfn.XLOOKUP(K830, CCF!B:B, CCF!C:C)</f>
        <v>109990</v>
      </c>
      <c r="M830" t="s">
        <v>9</v>
      </c>
    </row>
    <row r="831" spans="1:13" x14ac:dyDescent="0.3">
      <c r="A831">
        <v>830</v>
      </c>
      <c r="B831" t="s">
        <v>1494</v>
      </c>
      <c r="C831" s="3">
        <v>42294</v>
      </c>
      <c r="D831" t="s">
        <v>666</v>
      </c>
      <c r="E831">
        <v>78</v>
      </c>
      <c r="F831" s="1">
        <v>45411</v>
      </c>
      <c r="G831" s="1" t="str">
        <f>TEXT(Table1[[#This Row],[Enrollment date]], "mmm")</f>
        <v>Apr</v>
      </c>
      <c r="H831" t="s">
        <v>360</v>
      </c>
      <c r="I831" t="s">
        <v>661</v>
      </c>
      <c r="J831" t="str">
        <f>_xlfn.XLOOKUP(Table1[[#This Row],[Course ]], CCF!B:B, CCF!A:A)</f>
        <v>BA301</v>
      </c>
      <c r="K831" t="s">
        <v>364</v>
      </c>
      <c r="L831">
        <f>_xlfn.XLOOKUP(K831, CCF!B:B, CCF!C:C)</f>
        <v>59999</v>
      </c>
      <c r="M831" t="s">
        <v>124</v>
      </c>
    </row>
    <row r="832" spans="1:13" x14ac:dyDescent="0.3">
      <c r="A832">
        <v>831</v>
      </c>
      <c r="B832" t="s">
        <v>1495</v>
      </c>
      <c r="C832" s="3">
        <v>17774</v>
      </c>
      <c r="D832" t="s">
        <v>666</v>
      </c>
      <c r="E832">
        <v>41</v>
      </c>
      <c r="F832" s="1">
        <v>45411</v>
      </c>
      <c r="G832" s="1" t="str">
        <f>TEXT(Table1[[#This Row],[Enrollment date]], "mmm")</f>
        <v>Apr</v>
      </c>
      <c r="H832" t="s">
        <v>360</v>
      </c>
      <c r="I832" t="s">
        <v>660</v>
      </c>
      <c r="J832" t="str">
        <f>_xlfn.XLOOKUP(Table1[[#This Row],[Course ]], CCF!B:B, CCF!A:A)</f>
        <v>DM101</v>
      </c>
      <c r="K832" t="s">
        <v>365</v>
      </c>
      <c r="L832">
        <f>_xlfn.XLOOKUP(K832, CCF!B:B, CCF!C:C)</f>
        <v>85499</v>
      </c>
      <c r="M832" t="s">
        <v>485</v>
      </c>
    </row>
    <row r="833" spans="1:13" x14ac:dyDescent="0.3">
      <c r="A833">
        <v>832</v>
      </c>
      <c r="B833" t="s">
        <v>1496</v>
      </c>
      <c r="C833" s="3">
        <v>91983</v>
      </c>
      <c r="D833" t="s">
        <v>667</v>
      </c>
      <c r="E833">
        <v>44</v>
      </c>
      <c r="F833" s="1">
        <v>45411</v>
      </c>
      <c r="G833" s="1" t="str">
        <f>TEXT(Table1[[#This Row],[Enrollment date]], "mmm")</f>
        <v>Apr</v>
      </c>
      <c r="H833" t="s">
        <v>360</v>
      </c>
      <c r="I833" t="s">
        <v>659</v>
      </c>
      <c r="J833" t="str">
        <f>_xlfn.XLOOKUP(Table1[[#This Row],[Course ]], CCF!B:B, CCF!A:A)</f>
        <v>DA202</v>
      </c>
      <c r="K833" t="s">
        <v>363</v>
      </c>
      <c r="L833">
        <f>_xlfn.XLOOKUP(K833, CCF!B:B, CCF!C:C)</f>
        <v>79999</v>
      </c>
      <c r="M833" t="s">
        <v>9</v>
      </c>
    </row>
    <row r="834" spans="1:13" x14ac:dyDescent="0.3">
      <c r="A834">
        <v>833</v>
      </c>
      <c r="B834" t="s">
        <v>1497</v>
      </c>
      <c r="C834" s="3">
        <v>49064</v>
      </c>
      <c r="D834" t="s">
        <v>666</v>
      </c>
      <c r="E834">
        <v>32</v>
      </c>
      <c r="F834" s="1">
        <v>45412</v>
      </c>
      <c r="G834" s="1" t="str">
        <f>TEXT(Table1[[#This Row],[Enrollment date]], "mmm")</f>
        <v>Apr</v>
      </c>
      <c r="H834" t="s">
        <v>360</v>
      </c>
      <c r="I834" t="s">
        <v>664</v>
      </c>
      <c r="J834" t="str">
        <f>_xlfn.XLOOKUP(Table1[[#This Row],[Course ]], CCF!B:B, CCF!A:A)</f>
        <v>BA301</v>
      </c>
      <c r="K834" t="s">
        <v>364</v>
      </c>
      <c r="L834">
        <f>_xlfn.XLOOKUP(K834, CCF!B:B, CCF!C:C)</f>
        <v>59999</v>
      </c>
      <c r="M834" t="s">
        <v>175</v>
      </c>
    </row>
    <row r="835" spans="1:13" x14ac:dyDescent="0.3">
      <c r="A835">
        <v>834</v>
      </c>
      <c r="B835" t="s">
        <v>1498</v>
      </c>
      <c r="C835" s="3">
        <v>98797</v>
      </c>
      <c r="D835" t="s">
        <v>667</v>
      </c>
      <c r="E835">
        <v>27</v>
      </c>
      <c r="F835" s="1">
        <v>45412</v>
      </c>
      <c r="G835" s="1" t="str">
        <f>TEXT(Table1[[#This Row],[Enrollment date]], "mmm")</f>
        <v>Apr</v>
      </c>
      <c r="H835" t="s">
        <v>360</v>
      </c>
      <c r="I835" t="s">
        <v>660</v>
      </c>
      <c r="J835" t="str">
        <f>_xlfn.XLOOKUP(Table1[[#This Row],[Course ]], CCF!B:B, CCF!A:A)</f>
        <v>FSD103</v>
      </c>
      <c r="K835" t="s">
        <v>366</v>
      </c>
      <c r="L835">
        <f>_xlfn.XLOOKUP(K835, CCF!B:B, CCF!C:C)</f>
        <v>109990</v>
      </c>
      <c r="M835" t="s">
        <v>144</v>
      </c>
    </row>
    <row r="836" spans="1:13" x14ac:dyDescent="0.3">
      <c r="A836">
        <v>835</v>
      </c>
      <c r="B836" t="s">
        <v>1499</v>
      </c>
      <c r="C836" s="3">
        <v>89369</v>
      </c>
      <c r="D836" t="s">
        <v>666</v>
      </c>
      <c r="E836">
        <v>24</v>
      </c>
      <c r="F836" s="1">
        <v>45412</v>
      </c>
      <c r="G836" s="1" t="str">
        <f>TEXT(Table1[[#This Row],[Enrollment date]], "mmm")</f>
        <v>Apr</v>
      </c>
      <c r="H836" t="s">
        <v>360</v>
      </c>
      <c r="I836" t="s">
        <v>660</v>
      </c>
      <c r="J836" t="str">
        <f>_xlfn.XLOOKUP(Table1[[#This Row],[Course ]], CCF!B:B, CCF!A:A)</f>
        <v>DM101</v>
      </c>
      <c r="K836" t="s">
        <v>365</v>
      </c>
      <c r="L836">
        <f>_xlfn.XLOOKUP(K836, CCF!B:B, CCF!C:C)</f>
        <v>85499</v>
      </c>
      <c r="M836" t="s">
        <v>180</v>
      </c>
    </row>
    <row r="837" spans="1:13" x14ac:dyDescent="0.3">
      <c r="A837">
        <v>836</v>
      </c>
      <c r="B837" t="s">
        <v>1500</v>
      </c>
      <c r="C837" s="3">
        <v>14240</v>
      </c>
      <c r="D837" t="s">
        <v>667</v>
      </c>
      <c r="E837">
        <v>50</v>
      </c>
      <c r="F837" s="1">
        <v>45412</v>
      </c>
      <c r="G837" s="1" t="str">
        <f>TEXT(Table1[[#This Row],[Enrollment date]], "mmm")</f>
        <v>Apr</v>
      </c>
      <c r="H837" t="s">
        <v>360</v>
      </c>
      <c r="I837" t="s">
        <v>660</v>
      </c>
      <c r="J837" t="str">
        <f>_xlfn.XLOOKUP(Table1[[#This Row],[Course ]], CCF!B:B, CCF!A:A)</f>
        <v>DM101</v>
      </c>
      <c r="K837" t="s">
        <v>365</v>
      </c>
      <c r="L837">
        <f>_xlfn.XLOOKUP(K837, CCF!B:B, CCF!C:C)</f>
        <v>85499</v>
      </c>
      <c r="M837" t="s">
        <v>60</v>
      </c>
    </row>
    <row r="838" spans="1:13" x14ac:dyDescent="0.3">
      <c r="A838">
        <v>837</v>
      </c>
      <c r="B838" t="s">
        <v>1501</v>
      </c>
      <c r="C838" s="3">
        <v>30855</v>
      </c>
      <c r="D838" t="s">
        <v>667</v>
      </c>
      <c r="E838">
        <v>37</v>
      </c>
      <c r="F838" s="1">
        <v>45412</v>
      </c>
      <c r="G838" s="1" t="str">
        <f>TEXT(Table1[[#This Row],[Enrollment date]], "mmm")</f>
        <v>Apr</v>
      </c>
      <c r="H838" t="s">
        <v>360</v>
      </c>
      <c r="I838" t="s">
        <v>659</v>
      </c>
      <c r="J838" t="str">
        <f>_xlfn.XLOOKUP(Table1[[#This Row],[Course ]], CCF!B:B, CCF!A:A)</f>
        <v>DA202</v>
      </c>
      <c r="K838" t="s">
        <v>363</v>
      </c>
      <c r="L838">
        <f>_xlfn.XLOOKUP(K838, CCF!B:B, CCF!C:C)</f>
        <v>79999</v>
      </c>
      <c r="M838" t="s">
        <v>48</v>
      </c>
    </row>
    <row r="839" spans="1:13" x14ac:dyDescent="0.3">
      <c r="A839">
        <v>838</v>
      </c>
      <c r="B839" t="s">
        <v>1502</v>
      </c>
      <c r="C839" s="3">
        <v>76291</v>
      </c>
      <c r="D839" t="s">
        <v>667</v>
      </c>
      <c r="E839">
        <v>22</v>
      </c>
      <c r="F839" s="1">
        <v>45412</v>
      </c>
      <c r="G839" s="1" t="str">
        <f>TEXT(Table1[[#This Row],[Enrollment date]], "mmm")</f>
        <v>Apr</v>
      </c>
      <c r="H839" t="s">
        <v>360</v>
      </c>
      <c r="I839" t="s">
        <v>660</v>
      </c>
      <c r="J839" t="str">
        <f>_xlfn.XLOOKUP(Table1[[#This Row],[Course ]], CCF!B:B, CCF!A:A)</f>
        <v>DA202</v>
      </c>
      <c r="K839" t="s">
        <v>363</v>
      </c>
      <c r="L839">
        <f>_xlfn.XLOOKUP(K839, CCF!B:B, CCF!C:C)</f>
        <v>79999</v>
      </c>
      <c r="M839" t="s">
        <v>27</v>
      </c>
    </row>
    <row r="840" spans="1:13" x14ac:dyDescent="0.3">
      <c r="A840">
        <v>839</v>
      </c>
      <c r="B840" t="s">
        <v>1503</v>
      </c>
      <c r="C840" s="3">
        <v>29533</v>
      </c>
      <c r="D840" t="s">
        <v>666</v>
      </c>
      <c r="E840">
        <v>23</v>
      </c>
      <c r="F840" s="1">
        <v>45413</v>
      </c>
      <c r="G840" s="1" t="str">
        <f>TEXT(Table1[[#This Row],[Enrollment date]], "mmm")</f>
        <v>May</v>
      </c>
      <c r="H840" t="s">
        <v>360</v>
      </c>
      <c r="I840" t="s">
        <v>661</v>
      </c>
      <c r="J840" t="str">
        <f>_xlfn.XLOOKUP(Table1[[#This Row],[Course ]], CCF!B:B, CCF!A:A)</f>
        <v>DA202</v>
      </c>
      <c r="K840" t="s">
        <v>363</v>
      </c>
      <c r="L840">
        <f>_xlfn.XLOOKUP(K840, CCF!B:B, CCF!C:C)</f>
        <v>79999</v>
      </c>
      <c r="M840" t="s">
        <v>27</v>
      </c>
    </row>
    <row r="841" spans="1:13" x14ac:dyDescent="0.3">
      <c r="A841">
        <v>840</v>
      </c>
      <c r="B841" t="s">
        <v>1504</v>
      </c>
      <c r="C841" s="3">
        <v>34713</v>
      </c>
      <c r="D841" t="s">
        <v>666</v>
      </c>
      <c r="E841">
        <v>62</v>
      </c>
      <c r="F841" s="1">
        <v>45413</v>
      </c>
      <c r="G841" s="1" t="str">
        <f>TEXT(Table1[[#This Row],[Enrollment date]], "mmm")</f>
        <v>May</v>
      </c>
      <c r="H841" t="s">
        <v>3</v>
      </c>
      <c r="I841" t="s">
        <v>660</v>
      </c>
      <c r="J841" t="str">
        <f>_xlfn.XLOOKUP(Table1[[#This Row],[Course ]], CCF!B:B, CCF!A:A)</f>
        <v>DA202</v>
      </c>
      <c r="K841" t="s">
        <v>363</v>
      </c>
      <c r="L841">
        <f>_xlfn.XLOOKUP(K841, CCF!B:B, CCF!C:C)</f>
        <v>79999</v>
      </c>
      <c r="M841" t="s">
        <v>468</v>
      </c>
    </row>
    <row r="842" spans="1:13" x14ac:dyDescent="0.3">
      <c r="A842">
        <v>841</v>
      </c>
      <c r="B842" t="s">
        <v>1505</v>
      </c>
      <c r="C842" s="3">
        <v>85214</v>
      </c>
      <c r="D842" t="s">
        <v>666</v>
      </c>
      <c r="E842">
        <v>41</v>
      </c>
      <c r="F842" s="1">
        <v>45413</v>
      </c>
      <c r="G842" s="1" t="str">
        <f>TEXT(Table1[[#This Row],[Enrollment date]], "mmm")</f>
        <v>May</v>
      </c>
      <c r="H842" t="s">
        <v>360</v>
      </c>
      <c r="I842" t="s">
        <v>663</v>
      </c>
      <c r="J842" t="str">
        <f>_xlfn.XLOOKUP(Table1[[#This Row],[Course ]], CCF!B:B, CCF!A:A)</f>
        <v>DA202</v>
      </c>
      <c r="K842" t="s">
        <v>363</v>
      </c>
      <c r="L842">
        <f>_xlfn.XLOOKUP(K842, CCF!B:B, CCF!C:C)</f>
        <v>79999</v>
      </c>
      <c r="M842" t="s">
        <v>486</v>
      </c>
    </row>
    <row r="843" spans="1:13" x14ac:dyDescent="0.3">
      <c r="A843">
        <v>842</v>
      </c>
      <c r="B843" t="s">
        <v>1506</v>
      </c>
      <c r="C843" s="3">
        <v>22163</v>
      </c>
      <c r="D843" t="s">
        <v>666</v>
      </c>
      <c r="E843">
        <v>22</v>
      </c>
      <c r="F843" s="1">
        <v>45413</v>
      </c>
      <c r="G843" s="1" t="str">
        <f>TEXT(Table1[[#This Row],[Enrollment date]], "mmm")</f>
        <v>May</v>
      </c>
      <c r="H843" t="s">
        <v>360</v>
      </c>
      <c r="I843" t="s">
        <v>661</v>
      </c>
      <c r="J843" t="str">
        <f>_xlfn.XLOOKUP(Table1[[#This Row],[Course ]], CCF!B:B, CCF!A:A)</f>
        <v>DM101</v>
      </c>
      <c r="K843" t="s">
        <v>365</v>
      </c>
      <c r="L843">
        <f>_xlfn.XLOOKUP(K843, CCF!B:B, CCF!C:C)</f>
        <v>85499</v>
      </c>
      <c r="M843" t="s">
        <v>138</v>
      </c>
    </row>
    <row r="844" spans="1:13" x14ac:dyDescent="0.3">
      <c r="A844">
        <v>843</v>
      </c>
      <c r="B844" t="s">
        <v>1507</v>
      </c>
      <c r="C844" s="3">
        <v>51587</v>
      </c>
      <c r="D844" t="s">
        <v>667</v>
      </c>
      <c r="E844">
        <v>25</v>
      </c>
      <c r="F844" s="1">
        <v>45413</v>
      </c>
      <c r="G844" s="1" t="str">
        <f>TEXT(Table1[[#This Row],[Enrollment date]], "mmm")</f>
        <v>May</v>
      </c>
      <c r="H844" t="s">
        <v>360</v>
      </c>
      <c r="I844" t="s">
        <v>659</v>
      </c>
      <c r="J844" t="str">
        <f>_xlfn.XLOOKUP(Table1[[#This Row],[Course ]], CCF!B:B, CCF!A:A)</f>
        <v>BA301</v>
      </c>
      <c r="K844" t="s">
        <v>364</v>
      </c>
      <c r="L844">
        <f>_xlfn.XLOOKUP(K844, CCF!B:B, CCF!C:C)</f>
        <v>59999</v>
      </c>
      <c r="M844" t="s">
        <v>27</v>
      </c>
    </row>
    <row r="845" spans="1:13" x14ac:dyDescent="0.3">
      <c r="A845">
        <v>844</v>
      </c>
      <c r="B845" t="s">
        <v>1508</v>
      </c>
      <c r="C845" s="3">
        <v>87829</v>
      </c>
      <c r="D845" t="s">
        <v>666</v>
      </c>
      <c r="E845">
        <v>35</v>
      </c>
      <c r="F845" s="1">
        <v>45413</v>
      </c>
      <c r="G845" s="1" t="str">
        <f>TEXT(Table1[[#This Row],[Enrollment date]], "mmm")</f>
        <v>May</v>
      </c>
      <c r="H845" t="s">
        <v>360</v>
      </c>
      <c r="I845" t="s">
        <v>660</v>
      </c>
      <c r="J845" t="str">
        <f>_xlfn.XLOOKUP(Table1[[#This Row],[Course ]], CCF!B:B, CCF!A:A)</f>
        <v>UX401</v>
      </c>
      <c r="K845" t="s">
        <v>367</v>
      </c>
      <c r="L845">
        <f>_xlfn.XLOOKUP(K845, CCF!B:B, CCF!C:C)</f>
        <v>67990</v>
      </c>
      <c r="M845" t="s">
        <v>487</v>
      </c>
    </row>
    <row r="846" spans="1:13" x14ac:dyDescent="0.3">
      <c r="A846">
        <v>845</v>
      </c>
      <c r="B846" t="s">
        <v>1509</v>
      </c>
      <c r="C846" s="3">
        <v>36512</v>
      </c>
      <c r="D846" t="s">
        <v>667</v>
      </c>
      <c r="E846">
        <v>56</v>
      </c>
      <c r="F846" s="1">
        <v>45413</v>
      </c>
      <c r="G846" s="1" t="str">
        <f>TEXT(Table1[[#This Row],[Enrollment date]], "mmm")</f>
        <v>May</v>
      </c>
      <c r="H846" t="s">
        <v>360</v>
      </c>
      <c r="I846" t="s">
        <v>660</v>
      </c>
      <c r="J846" t="str">
        <f>_xlfn.XLOOKUP(Table1[[#This Row],[Course ]], CCF!B:B, CCF!A:A)</f>
        <v>DM101</v>
      </c>
      <c r="K846" t="s">
        <v>365</v>
      </c>
      <c r="L846">
        <f>_xlfn.XLOOKUP(K846, CCF!B:B, CCF!C:C)</f>
        <v>85499</v>
      </c>
      <c r="M846" t="s">
        <v>488</v>
      </c>
    </row>
    <row r="847" spans="1:13" x14ac:dyDescent="0.3">
      <c r="A847">
        <v>846</v>
      </c>
      <c r="B847" t="s">
        <v>1510</v>
      </c>
      <c r="C847" s="3">
        <v>89644</v>
      </c>
      <c r="D847" t="s">
        <v>667</v>
      </c>
      <c r="E847">
        <v>30</v>
      </c>
      <c r="F847" s="1">
        <v>45413</v>
      </c>
      <c r="G847" s="1" t="str">
        <f>TEXT(Table1[[#This Row],[Enrollment date]], "mmm")</f>
        <v>May</v>
      </c>
      <c r="H847" t="s">
        <v>360</v>
      </c>
      <c r="I847" t="s">
        <v>665</v>
      </c>
      <c r="J847" t="str">
        <f>_xlfn.XLOOKUP(Table1[[#This Row],[Course ]], CCF!B:B, CCF!A:A)</f>
        <v>FSD103</v>
      </c>
      <c r="K847" t="s">
        <v>366</v>
      </c>
      <c r="L847">
        <f>_xlfn.XLOOKUP(K847, CCF!B:B, CCF!C:C)</f>
        <v>109990</v>
      </c>
      <c r="M847" t="s">
        <v>9</v>
      </c>
    </row>
    <row r="848" spans="1:13" x14ac:dyDescent="0.3">
      <c r="A848">
        <v>847</v>
      </c>
      <c r="B848" t="s">
        <v>1511</v>
      </c>
      <c r="C848" s="3">
        <v>45924</v>
      </c>
      <c r="D848" t="s">
        <v>667</v>
      </c>
      <c r="E848">
        <v>27</v>
      </c>
      <c r="F848" s="1">
        <v>45414</v>
      </c>
      <c r="G848" s="1" t="str">
        <f>TEXT(Table1[[#This Row],[Enrollment date]], "mmm")</f>
        <v>May</v>
      </c>
      <c r="H848" t="s">
        <v>360</v>
      </c>
      <c r="I848" t="s">
        <v>660</v>
      </c>
      <c r="J848" t="str">
        <f>_xlfn.XLOOKUP(Table1[[#This Row],[Course ]], CCF!B:B, CCF!A:A)</f>
        <v>DA202</v>
      </c>
      <c r="K848" t="s">
        <v>363</v>
      </c>
      <c r="L848">
        <f>_xlfn.XLOOKUP(K848, CCF!B:B, CCF!C:C)</f>
        <v>79999</v>
      </c>
      <c r="M848" t="s">
        <v>20</v>
      </c>
    </row>
    <row r="849" spans="1:13" x14ac:dyDescent="0.3">
      <c r="A849">
        <v>848</v>
      </c>
      <c r="B849" t="s">
        <v>1512</v>
      </c>
      <c r="C849" s="3">
        <v>82727</v>
      </c>
      <c r="D849" t="s">
        <v>666</v>
      </c>
      <c r="E849">
        <v>46</v>
      </c>
      <c r="F849" s="1">
        <v>45414</v>
      </c>
      <c r="G849" s="1" t="str">
        <f>TEXT(Table1[[#This Row],[Enrollment date]], "mmm")</f>
        <v>May</v>
      </c>
      <c r="H849" t="s">
        <v>360</v>
      </c>
      <c r="I849" t="s">
        <v>661</v>
      </c>
      <c r="J849" t="str">
        <f>_xlfn.XLOOKUP(Table1[[#This Row],[Course ]], CCF!B:B, CCF!A:A)</f>
        <v>FSD103</v>
      </c>
      <c r="K849" t="s">
        <v>366</v>
      </c>
      <c r="L849">
        <f>_xlfn.XLOOKUP(K849, CCF!B:B, CCF!C:C)</f>
        <v>109990</v>
      </c>
      <c r="M849" t="s">
        <v>27</v>
      </c>
    </row>
    <row r="850" spans="1:13" x14ac:dyDescent="0.3">
      <c r="A850">
        <v>849</v>
      </c>
      <c r="B850" t="s">
        <v>1513</v>
      </c>
      <c r="C850" s="3">
        <v>74854</v>
      </c>
      <c r="D850" t="s">
        <v>666</v>
      </c>
      <c r="E850">
        <v>26</v>
      </c>
      <c r="F850" s="1">
        <v>45414</v>
      </c>
      <c r="G850" s="1" t="str">
        <f>TEXT(Table1[[#This Row],[Enrollment date]], "mmm")</f>
        <v>May</v>
      </c>
      <c r="H850" t="s">
        <v>360</v>
      </c>
      <c r="I850" t="s">
        <v>660</v>
      </c>
      <c r="J850" t="str">
        <f>_xlfn.XLOOKUP(Table1[[#This Row],[Course ]], CCF!B:B, CCF!A:A)</f>
        <v>DA202</v>
      </c>
      <c r="K850" t="s">
        <v>363</v>
      </c>
      <c r="L850">
        <f>_xlfn.XLOOKUP(K850, CCF!B:B, CCF!C:C)</f>
        <v>79999</v>
      </c>
      <c r="M850" t="s">
        <v>109</v>
      </c>
    </row>
    <row r="851" spans="1:13" x14ac:dyDescent="0.3">
      <c r="A851">
        <v>850</v>
      </c>
      <c r="B851" t="s">
        <v>1514</v>
      </c>
      <c r="C851" s="3">
        <v>89100</v>
      </c>
      <c r="D851" t="s">
        <v>666</v>
      </c>
      <c r="E851">
        <v>33</v>
      </c>
      <c r="F851" s="1">
        <v>45414</v>
      </c>
      <c r="G851" s="1" t="str">
        <f>TEXT(Table1[[#This Row],[Enrollment date]], "mmm")</f>
        <v>May</v>
      </c>
      <c r="H851" t="s">
        <v>360</v>
      </c>
      <c r="I851" t="s">
        <v>661</v>
      </c>
      <c r="J851" t="str">
        <f>_xlfn.XLOOKUP(Table1[[#This Row],[Course ]], CCF!B:B, CCF!A:A)</f>
        <v>AI001</v>
      </c>
      <c r="K851" t="s">
        <v>368</v>
      </c>
      <c r="L851">
        <f>_xlfn.XLOOKUP(K851, CCF!B:B, CCF!C:C)</f>
        <v>119990</v>
      </c>
      <c r="M851" t="s">
        <v>32</v>
      </c>
    </row>
    <row r="852" spans="1:13" x14ac:dyDescent="0.3">
      <c r="A852">
        <v>851</v>
      </c>
      <c r="B852" t="s">
        <v>1515</v>
      </c>
      <c r="C852" s="3">
        <v>66812</v>
      </c>
      <c r="D852" t="s">
        <v>666</v>
      </c>
      <c r="E852">
        <v>37</v>
      </c>
      <c r="F852" s="1">
        <v>45414</v>
      </c>
      <c r="G852" s="1" t="str">
        <f>TEXT(Table1[[#This Row],[Enrollment date]], "mmm")</f>
        <v>May</v>
      </c>
      <c r="H852" t="s">
        <v>360</v>
      </c>
      <c r="I852" t="s">
        <v>659</v>
      </c>
      <c r="J852" t="str">
        <f>_xlfn.XLOOKUP(Table1[[#This Row],[Course ]], CCF!B:B, CCF!A:A)</f>
        <v>DM101</v>
      </c>
      <c r="K852" t="s">
        <v>365</v>
      </c>
      <c r="L852">
        <f>_xlfn.XLOOKUP(K852, CCF!B:B, CCF!C:C)</f>
        <v>85499</v>
      </c>
      <c r="M852" t="s">
        <v>120</v>
      </c>
    </row>
    <row r="853" spans="1:13" x14ac:dyDescent="0.3">
      <c r="A853">
        <v>852</v>
      </c>
      <c r="B853" t="s">
        <v>1516</v>
      </c>
      <c r="C853" s="3">
        <v>28148</v>
      </c>
      <c r="D853" t="s">
        <v>666</v>
      </c>
      <c r="E853">
        <v>78</v>
      </c>
      <c r="F853" s="1">
        <v>45414</v>
      </c>
      <c r="G853" s="1" t="str">
        <f>TEXT(Table1[[#This Row],[Enrollment date]], "mmm")</f>
        <v>May</v>
      </c>
      <c r="H853" t="s">
        <v>360</v>
      </c>
      <c r="I853" t="s">
        <v>660</v>
      </c>
      <c r="J853" t="str">
        <f>_xlfn.XLOOKUP(Table1[[#This Row],[Course ]], CCF!B:B, CCF!A:A)</f>
        <v>DM101</v>
      </c>
      <c r="K853" t="s">
        <v>365</v>
      </c>
      <c r="L853">
        <f>_xlfn.XLOOKUP(K853, CCF!B:B, CCF!C:C)</f>
        <v>85499</v>
      </c>
      <c r="M853" t="s">
        <v>50</v>
      </c>
    </row>
    <row r="854" spans="1:13" x14ac:dyDescent="0.3">
      <c r="A854">
        <v>853</v>
      </c>
      <c r="B854" t="s">
        <v>1517</v>
      </c>
      <c r="C854" s="3">
        <v>73068</v>
      </c>
      <c r="D854" t="s">
        <v>667</v>
      </c>
      <c r="E854">
        <v>33</v>
      </c>
      <c r="F854" s="1">
        <v>45414</v>
      </c>
      <c r="G854" s="1" t="str">
        <f>TEXT(Table1[[#This Row],[Enrollment date]], "mmm")</f>
        <v>May</v>
      </c>
      <c r="H854" t="s">
        <v>360</v>
      </c>
      <c r="I854" t="s">
        <v>665</v>
      </c>
      <c r="J854" t="str">
        <f>_xlfn.XLOOKUP(Table1[[#This Row],[Course ]], CCF!B:B, CCF!A:A)</f>
        <v>DA202</v>
      </c>
      <c r="K854" t="s">
        <v>363</v>
      </c>
      <c r="L854">
        <f>_xlfn.XLOOKUP(K854, CCF!B:B, CCF!C:C)</f>
        <v>79999</v>
      </c>
      <c r="M854" t="s">
        <v>17</v>
      </c>
    </row>
    <row r="855" spans="1:13" x14ac:dyDescent="0.3">
      <c r="A855">
        <v>854</v>
      </c>
      <c r="B855" t="s">
        <v>1518</v>
      </c>
      <c r="C855" s="3">
        <v>62166</v>
      </c>
      <c r="D855" t="s">
        <v>666</v>
      </c>
      <c r="E855">
        <v>21</v>
      </c>
      <c r="F855" s="1">
        <v>45415</v>
      </c>
      <c r="G855" s="1" t="str">
        <f>TEXT(Table1[[#This Row],[Enrollment date]], "mmm")</f>
        <v>May</v>
      </c>
      <c r="H855" t="s">
        <v>360</v>
      </c>
      <c r="I855" t="s">
        <v>661</v>
      </c>
      <c r="J855" t="str">
        <f>_xlfn.XLOOKUP(Table1[[#This Row],[Course ]], CCF!B:B, CCF!A:A)</f>
        <v>DM101</v>
      </c>
      <c r="K855" t="s">
        <v>365</v>
      </c>
      <c r="L855">
        <f>_xlfn.XLOOKUP(K855, CCF!B:B, CCF!C:C)</f>
        <v>85499</v>
      </c>
      <c r="M855" t="s">
        <v>16</v>
      </c>
    </row>
    <row r="856" spans="1:13" x14ac:dyDescent="0.3">
      <c r="A856">
        <v>855</v>
      </c>
      <c r="B856" t="s">
        <v>1519</v>
      </c>
      <c r="C856" s="3">
        <v>86582</v>
      </c>
      <c r="D856" t="s">
        <v>666</v>
      </c>
      <c r="E856">
        <v>32</v>
      </c>
      <c r="F856" s="1">
        <v>45415</v>
      </c>
      <c r="G856" s="1" t="str">
        <f>TEXT(Table1[[#This Row],[Enrollment date]], "mmm")</f>
        <v>May</v>
      </c>
      <c r="H856" t="s">
        <v>360</v>
      </c>
      <c r="I856" t="s">
        <v>661</v>
      </c>
      <c r="J856" t="str">
        <f>_xlfn.XLOOKUP(Table1[[#This Row],[Course ]], CCF!B:B, CCF!A:A)</f>
        <v>DA202</v>
      </c>
      <c r="K856" t="s">
        <v>363</v>
      </c>
      <c r="L856">
        <f>_xlfn.XLOOKUP(K856, CCF!B:B, CCF!C:C)</f>
        <v>79999</v>
      </c>
      <c r="M856" t="s">
        <v>110</v>
      </c>
    </row>
    <row r="857" spans="1:13" x14ac:dyDescent="0.3">
      <c r="A857">
        <v>856</v>
      </c>
      <c r="B857" t="s">
        <v>1520</v>
      </c>
      <c r="C857" s="3">
        <v>66741</v>
      </c>
      <c r="D857" t="s">
        <v>666</v>
      </c>
      <c r="E857">
        <v>45</v>
      </c>
      <c r="F857" s="1">
        <v>45415</v>
      </c>
      <c r="G857" s="1" t="str">
        <f>TEXT(Table1[[#This Row],[Enrollment date]], "mmm")</f>
        <v>May</v>
      </c>
      <c r="H857" t="s">
        <v>360</v>
      </c>
      <c r="I857" t="s">
        <v>660</v>
      </c>
      <c r="J857" t="str">
        <f>_xlfn.XLOOKUP(Table1[[#This Row],[Course ]], CCF!B:B, CCF!A:A)</f>
        <v>DA202</v>
      </c>
      <c r="K857" t="s">
        <v>363</v>
      </c>
      <c r="L857">
        <f>_xlfn.XLOOKUP(K857, CCF!B:B, CCF!C:C)</f>
        <v>79999</v>
      </c>
      <c r="M857" t="s">
        <v>12</v>
      </c>
    </row>
    <row r="858" spans="1:13" x14ac:dyDescent="0.3">
      <c r="A858">
        <v>857</v>
      </c>
      <c r="B858" t="s">
        <v>1521</v>
      </c>
      <c r="C858" s="3">
        <v>54095</v>
      </c>
      <c r="D858" t="s">
        <v>667</v>
      </c>
      <c r="E858">
        <v>78</v>
      </c>
      <c r="F858" s="1">
        <v>45415</v>
      </c>
      <c r="G858" s="1" t="str">
        <f>TEXT(Table1[[#This Row],[Enrollment date]], "mmm")</f>
        <v>May</v>
      </c>
      <c r="H858" t="s">
        <v>360</v>
      </c>
      <c r="I858" t="s">
        <v>662</v>
      </c>
      <c r="J858" t="str">
        <f>_xlfn.XLOOKUP(Table1[[#This Row],[Course ]], CCF!B:B, CCF!A:A)</f>
        <v>DM101</v>
      </c>
      <c r="K858" t="s">
        <v>365</v>
      </c>
      <c r="L858">
        <f>_xlfn.XLOOKUP(K858, CCF!B:B, CCF!C:C)</f>
        <v>85499</v>
      </c>
      <c r="M858" t="s">
        <v>18</v>
      </c>
    </row>
    <row r="859" spans="1:13" x14ac:dyDescent="0.3">
      <c r="A859">
        <v>858</v>
      </c>
      <c r="B859" t="s">
        <v>1522</v>
      </c>
      <c r="C859" s="3">
        <v>84052</v>
      </c>
      <c r="D859" t="s">
        <v>666</v>
      </c>
      <c r="E859">
        <v>41</v>
      </c>
      <c r="F859" s="1">
        <v>45415</v>
      </c>
      <c r="G859" s="1" t="str">
        <f>TEXT(Table1[[#This Row],[Enrollment date]], "mmm")</f>
        <v>May</v>
      </c>
      <c r="H859" t="s">
        <v>360</v>
      </c>
      <c r="I859" t="s">
        <v>659</v>
      </c>
      <c r="J859" t="str">
        <f>_xlfn.XLOOKUP(Table1[[#This Row],[Course ]], CCF!B:B, CCF!A:A)</f>
        <v>DM101</v>
      </c>
      <c r="K859" t="s">
        <v>365</v>
      </c>
      <c r="L859">
        <f>_xlfn.XLOOKUP(K859, CCF!B:B, CCF!C:C)</f>
        <v>85499</v>
      </c>
      <c r="M859" t="s">
        <v>7</v>
      </c>
    </row>
    <row r="860" spans="1:13" x14ac:dyDescent="0.3">
      <c r="A860">
        <v>859</v>
      </c>
      <c r="B860" t="s">
        <v>1523</v>
      </c>
      <c r="C860" s="3">
        <v>19502</v>
      </c>
      <c r="D860" t="s">
        <v>666</v>
      </c>
      <c r="E860">
        <v>28</v>
      </c>
      <c r="F860" s="1">
        <v>45416</v>
      </c>
      <c r="G860" s="1" t="str">
        <f>TEXT(Table1[[#This Row],[Enrollment date]], "mmm")</f>
        <v>May</v>
      </c>
      <c r="H860" t="s">
        <v>360</v>
      </c>
      <c r="I860" t="s">
        <v>665</v>
      </c>
      <c r="J860" t="str">
        <f>_xlfn.XLOOKUP(Table1[[#This Row],[Course ]], CCF!B:B, CCF!A:A)</f>
        <v>DM101</v>
      </c>
      <c r="K860" t="s">
        <v>365</v>
      </c>
      <c r="L860">
        <f>_xlfn.XLOOKUP(K860, CCF!B:B, CCF!C:C)</f>
        <v>85499</v>
      </c>
      <c r="M860" t="s">
        <v>9</v>
      </c>
    </row>
    <row r="861" spans="1:13" x14ac:dyDescent="0.3">
      <c r="A861">
        <v>860</v>
      </c>
      <c r="B861" t="s">
        <v>1524</v>
      </c>
      <c r="C861" s="3">
        <v>65302</v>
      </c>
      <c r="D861" t="s">
        <v>666</v>
      </c>
      <c r="E861">
        <v>18</v>
      </c>
      <c r="F861" s="1">
        <v>45416</v>
      </c>
      <c r="G861" s="1" t="str">
        <f>TEXT(Table1[[#This Row],[Enrollment date]], "mmm")</f>
        <v>May</v>
      </c>
      <c r="H861" t="s">
        <v>360</v>
      </c>
      <c r="I861" t="s">
        <v>663</v>
      </c>
      <c r="J861" t="str">
        <f>_xlfn.XLOOKUP(Table1[[#This Row],[Course ]], CCF!B:B, CCF!A:A)</f>
        <v>DA202</v>
      </c>
      <c r="K861" t="s">
        <v>363</v>
      </c>
      <c r="L861">
        <f>_xlfn.XLOOKUP(K861, CCF!B:B, CCF!C:C)</f>
        <v>79999</v>
      </c>
      <c r="M861" t="s">
        <v>18</v>
      </c>
    </row>
    <row r="862" spans="1:13" x14ac:dyDescent="0.3">
      <c r="A862">
        <v>861</v>
      </c>
      <c r="B862" t="s">
        <v>1525</v>
      </c>
      <c r="C862" s="3">
        <v>89796</v>
      </c>
      <c r="D862" t="s">
        <v>667</v>
      </c>
      <c r="E862">
        <v>36</v>
      </c>
      <c r="F862" s="1">
        <v>45416</v>
      </c>
      <c r="G862" s="1" t="str">
        <f>TEXT(Table1[[#This Row],[Enrollment date]], "mmm")</f>
        <v>May</v>
      </c>
      <c r="H862" t="s">
        <v>360</v>
      </c>
      <c r="I862" t="s">
        <v>665</v>
      </c>
      <c r="J862" t="str">
        <f>_xlfn.XLOOKUP(Table1[[#This Row],[Course ]], CCF!B:B, CCF!A:A)</f>
        <v>DM101</v>
      </c>
      <c r="K862" t="s">
        <v>365</v>
      </c>
      <c r="L862">
        <f>_xlfn.XLOOKUP(K862, CCF!B:B, CCF!C:C)</f>
        <v>85499</v>
      </c>
      <c r="M862" t="s">
        <v>171</v>
      </c>
    </row>
    <row r="863" spans="1:13" x14ac:dyDescent="0.3">
      <c r="A863">
        <v>862</v>
      </c>
      <c r="B863" t="s">
        <v>1526</v>
      </c>
      <c r="C863" s="3">
        <v>25919</v>
      </c>
      <c r="D863" t="s">
        <v>666</v>
      </c>
      <c r="E863">
        <v>24</v>
      </c>
      <c r="F863" s="1">
        <v>45416</v>
      </c>
      <c r="G863" s="1" t="str">
        <f>TEXT(Table1[[#This Row],[Enrollment date]], "mmm")</f>
        <v>May</v>
      </c>
      <c r="H863" t="s">
        <v>360</v>
      </c>
      <c r="I863" t="s">
        <v>659</v>
      </c>
      <c r="J863" t="str">
        <f>_xlfn.XLOOKUP(Table1[[#This Row],[Course ]], CCF!B:B, CCF!A:A)</f>
        <v>DM101</v>
      </c>
      <c r="K863" t="s">
        <v>365</v>
      </c>
      <c r="L863">
        <f>_xlfn.XLOOKUP(K863, CCF!B:B, CCF!C:C)</f>
        <v>85499</v>
      </c>
      <c r="M863" t="s">
        <v>27</v>
      </c>
    </row>
    <row r="864" spans="1:13" x14ac:dyDescent="0.3">
      <c r="A864">
        <v>863</v>
      </c>
      <c r="B864" t="s">
        <v>1527</v>
      </c>
      <c r="C864" s="3">
        <v>84093</v>
      </c>
      <c r="D864" t="s">
        <v>666</v>
      </c>
      <c r="E864">
        <v>42</v>
      </c>
      <c r="F864" s="1">
        <v>45416</v>
      </c>
      <c r="G864" s="1" t="str">
        <f>TEXT(Table1[[#This Row],[Enrollment date]], "mmm")</f>
        <v>May</v>
      </c>
      <c r="H864" t="s">
        <v>3</v>
      </c>
      <c r="I864" t="s">
        <v>660</v>
      </c>
      <c r="J864" t="str">
        <f>_xlfn.XLOOKUP(Table1[[#This Row],[Course ]], CCF!B:B, CCF!A:A)</f>
        <v>DA202</v>
      </c>
      <c r="K864" t="s">
        <v>363</v>
      </c>
      <c r="L864">
        <f>_xlfn.XLOOKUP(K864, CCF!B:B, CCF!C:C)</f>
        <v>79999</v>
      </c>
      <c r="M864" t="s">
        <v>48</v>
      </c>
    </row>
    <row r="865" spans="1:13" x14ac:dyDescent="0.3">
      <c r="A865">
        <v>864</v>
      </c>
      <c r="B865" t="s">
        <v>1528</v>
      </c>
      <c r="C865" s="3">
        <v>30051</v>
      </c>
      <c r="D865" t="s">
        <v>666</v>
      </c>
      <c r="E865">
        <v>42</v>
      </c>
      <c r="F865" s="1">
        <v>45417</v>
      </c>
      <c r="G865" s="1" t="str">
        <f>TEXT(Table1[[#This Row],[Enrollment date]], "mmm")</f>
        <v>May</v>
      </c>
      <c r="H865" t="s">
        <v>360</v>
      </c>
      <c r="I865" t="s">
        <v>660</v>
      </c>
      <c r="J865" t="str">
        <f>_xlfn.XLOOKUP(Table1[[#This Row],[Course ]], CCF!B:B, CCF!A:A)</f>
        <v>DM101</v>
      </c>
      <c r="K865" t="s">
        <v>365</v>
      </c>
      <c r="L865">
        <f>_xlfn.XLOOKUP(K865, CCF!B:B, CCF!C:C)</f>
        <v>85499</v>
      </c>
      <c r="M865" t="s">
        <v>16</v>
      </c>
    </row>
    <row r="866" spans="1:13" x14ac:dyDescent="0.3">
      <c r="A866">
        <v>865</v>
      </c>
      <c r="B866" t="s">
        <v>1110</v>
      </c>
      <c r="C866" s="3">
        <v>36679</v>
      </c>
      <c r="D866" t="s">
        <v>666</v>
      </c>
      <c r="E866">
        <v>20</v>
      </c>
      <c r="F866" s="1">
        <v>45417</v>
      </c>
      <c r="G866" s="1" t="str">
        <f>TEXT(Table1[[#This Row],[Enrollment date]], "mmm")</f>
        <v>May</v>
      </c>
      <c r="H866" t="s">
        <v>360</v>
      </c>
      <c r="I866" t="s">
        <v>661</v>
      </c>
      <c r="J866" t="str">
        <f>_xlfn.XLOOKUP(Table1[[#This Row],[Course ]], CCF!B:B, CCF!A:A)</f>
        <v>DA202</v>
      </c>
      <c r="K866" t="s">
        <v>363</v>
      </c>
      <c r="L866">
        <f>_xlfn.XLOOKUP(K866, CCF!B:B, CCF!C:C)</f>
        <v>79999</v>
      </c>
      <c r="M866" t="s">
        <v>103</v>
      </c>
    </row>
    <row r="867" spans="1:13" x14ac:dyDescent="0.3">
      <c r="A867">
        <v>866</v>
      </c>
      <c r="B867" t="s">
        <v>1529</v>
      </c>
      <c r="C867" s="3">
        <v>77330</v>
      </c>
      <c r="D867" t="s">
        <v>667</v>
      </c>
      <c r="E867">
        <v>43</v>
      </c>
      <c r="F867" s="1">
        <v>45417</v>
      </c>
      <c r="G867" s="1" t="str">
        <f>TEXT(Table1[[#This Row],[Enrollment date]], "mmm")</f>
        <v>May</v>
      </c>
      <c r="H867" t="s">
        <v>360</v>
      </c>
      <c r="I867" t="s">
        <v>661</v>
      </c>
      <c r="J867" t="str">
        <f>_xlfn.XLOOKUP(Table1[[#This Row],[Course ]], CCF!B:B, CCF!A:A)</f>
        <v>DM101</v>
      </c>
      <c r="K867" t="s">
        <v>365</v>
      </c>
      <c r="L867">
        <f>_xlfn.XLOOKUP(K867, CCF!B:B, CCF!C:C)</f>
        <v>85499</v>
      </c>
      <c r="M867" t="s">
        <v>18</v>
      </c>
    </row>
    <row r="868" spans="1:13" x14ac:dyDescent="0.3">
      <c r="A868">
        <v>867</v>
      </c>
      <c r="B868" t="s">
        <v>1530</v>
      </c>
      <c r="C868" s="3">
        <v>19811</v>
      </c>
      <c r="D868" t="s">
        <v>666</v>
      </c>
      <c r="E868">
        <v>34</v>
      </c>
      <c r="F868" s="1">
        <v>45417</v>
      </c>
      <c r="G868" s="1" t="str">
        <f>TEXT(Table1[[#This Row],[Enrollment date]], "mmm")</f>
        <v>May</v>
      </c>
      <c r="H868" t="s">
        <v>360</v>
      </c>
      <c r="I868" t="s">
        <v>660</v>
      </c>
      <c r="J868" t="str">
        <f>_xlfn.XLOOKUP(Table1[[#This Row],[Course ]], CCF!B:B, CCF!A:A)</f>
        <v>UX401</v>
      </c>
      <c r="K868" t="s">
        <v>367</v>
      </c>
      <c r="L868">
        <f>_xlfn.XLOOKUP(K868, CCF!B:B, CCF!C:C)</f>
        <v>67990</v>
      </c>
      <c r="M868" t="s">
        <v>73</v>
      </c>
    </row>
    <row r="869" spans="1:13" x14ac:dyDescent="0.3">
      <c r="A869">
        <v>868</v>
      </c>
      <c r="B869" t="s">
        <v>1531</v>
      </c>
      <c r="C869" s="3">
        <v>46648</v>
      </c>
      <c r="D869" t="s">
        <v>666</v>
      </c>
      <c r="E869">
        <v>60</v>
      </c>
      <c r="F869" s="1">
        <v>45417</v>
      </c>
      <c r="G869" s="1" t="str">
        <f>TEXT(Table1[[#This Row],[Enrollment date]], "mmm")</f>
        <v>May</v>
      </c>
      <c r="H869" t="s">
        <v>360</v>
      </c>
      <c r="I869" t="s">
        <v>661</v>
      </c>
      <c r="J869" t="str">
        <f>_xlfn.XLOOKUP(Table1[[#This Row],[Course ]], CCF!B:B, CCF!A:A)</f>
        <v>DM101</v>
      </c>
      <c r="K869" t="s">
        <v>365</v>
      </c>
      <c r="L869">
        <f>_xlfn.XLOOKUP(K869, CCF!B:B, CCF!C:C)</f>
        <v>85499</v>
      </c>
      <c r="M869" t="s">
        <v>223</v>
      </c>
    </row>
    <row r="870" spans="1:13" x14ac:dyDescent="0.3">
      <c r="A870">
        <v>869</v>
      </c>
      <c r="B870" t="s">
        <v>1532</v>
      </c>
      <c r="C870" s="3">
        <v>89569</v>
      </c>
      <c r="D870" t="s">
        <v>666</v>
      </c>
      <c r="E870">
        <v>64</v>
      </c>
      <c r="F870" s="1">
        <v>45417</v>
      </c>
      <c r="G870" s="1" t="str">
        <f>TEXT(Table1[[#This Row],[Enrollment date]], "mmm")</f>
        <v>May</v>
      </c>
      <c r="H870" t="s">
        <v>360</v>
      </c>
      <c r="I870" t="s">
        <v>659</v>
      </c>
      <c r="J870" t="str">
        <f>_xlfn.XLOOKUP(Table1[[#This Row],[Course ]], CCF!B:B, CCF!A:A)</f>
        <v>FSD103</v>
      </c>
      <c r="K870" t="s">
        <v>366</v>
      </c>
      <c r="L870">
        <f>_xlfn.XLOOKUP(K870, CCF!B:B, CCF!C:C)</f>
        <v>109990</v>
      </c>
      <c r="M870" t="s">
        <v>160</v>
      </c>
    </row>
    <row r="871" spans="1:13" x14ac:dyDescent="0.3">
      <c r="A871">
        <v>870</v>
      </c>
      <c r="B871" t="s">
        <v>1533</v>
      </c>
      <c r="C871" s="3">
        <v>53827</v>
      </c>
      <c r="D871" t="s">
        <v>666</v>
      </c>
      <c r="E871">
        <v>25</v>
      </c>
      <c r="F871" s="1">
        <v>45417</v>
      </c>
      <c r="G871" s="1" t="str">
        <f>TEXT(Table1[[#This Row],[Enrollment date]], "mmm")</f>
        <v>May</v>
      </c>
      <c r="H871" t="s">
        <v>360</v>
      </c>
      <c r="I871" t="s">
        <v>660</v>
      </c>
      <c r="J871" t="str">
        <f>_xlfn.XLOOKUP(Table1[[#This Row],[Course ]], CCF!B:B, CCF!A:A)</f>
        <v>DM101</v>
      </c>
      <c r="K871" t="s">
        <v>365</v>
      </c>
      <c r="L871">
        <f>_xlfn.XLOOKUP(K871, CCF!B:B, CCF!C:C)</f>
        <v>85499</v>
      </c>
      <c r="M871" t="s">
        <v>20</v>
      </c>
    </row>
    <row r="872" spans="1:13" x14ac:dyDescent="0.3">
      <c r="A872">
        <v>871</v>
      </c>
      <c r="B872" t="s">
        <v>1534</v>
      </c>
      <c r="C872" s="3">
        <v>49327</v>
      </c>
      <c r="D872" t="s">
        <v>667</v>
      </c>
      <c r="E872">
        <v>32</v>
      </c>
      <c r="F872" s="1">
        <v>45417</v>
      </c>
      <c r="G872" s="1" t="str">
        <f>TEXT(Table1[[#This Row],[Enrollment date]], "mmm")</f>
        <v>May</v>
      </c>
      <c r="H872" t="s">
        <v>360</v>
      </c>
      <c r="I872" t="s">
        <v>661</v>
      </c>
      <c r="J872" t="str">
        <f>_xlfn.XLOOKUP(Table1[[#This Row],[Course ]], CCF!B:B, CCF!A:A)</f>
        <v>DA202</v>
      </c>
      <c r="K872" t="s">
        <v>363</v>
      </c>
      <c r="L872">
        <f>_xlfn.XLOOKUP(K872, CCF!B:B, CCF!C:C)</f>
        <v>79999</v>
      </c>
      <c r="M872" t="s">
        <v>83</v>
      </c>
    </row>
    <row r="873" spans="1:13" x14ac:dyDescent="0.3">
      <c r="A873">
        <v>872</v>
      </c>
      <c r="B873" t="s">
        <v>1535</v>
      </c>
      <c r="C873" s="3">
        <v>40455</v>
      </c>
      <c r="D873" t="s">
        <v>666</v>
      </c>
      <c r="E873">
        <v>44</v>
      </c>
      <c r="F873" s="1">
        <v>45418</v>
      </c>
      <c r="G873" s="1" t="str">
        <f>TEXT(Table1[[#This Row],[Enrollment date]], "mmm")</f>
        <v>May</v>
      </c>
      <c r="H873" t="s">
        <v>360</v>
      </c>
      <c r="I873" t="s">
        <v>660</v>
      </c>
      <c r="J873" t="str">
        <f>_xlfn.XLOOKUP(Table1[[#This Row],[Course ]], CCF!B:B, CCF!A:A)</f>
        <v>DA202</v>
      </c>
      <c r="K873" t="s">
        <v>363</v>
      </c>
      <c r="L873">
        <f>_xlfn.XLOOKUP(K873, CCF!B:B, CCF!C:C)</f>
        <v>79999</v>
      </c>
      <c r="M873" t="s">
        <v>286</v>
      </c>
    </row>
    <row r="874" spans="1:13" x14ac:dyDescent="0.3">
      <c r="A874">
        <v>873</v>
      </c>
      <c r="B874" t="s">
        <v>1536</v>
      </c>
      <c r="C874" s="3">
        <v>52519</v>
      </c>
      <c r="D874" t="s">
        <v>666</v>
      </c>
      <c r="E874">
        <v>47</v>
      </c>
      <c r="F874" s="1">
        <v>45418</v>
      </c>
      <c r="G874" s="1" t="str">
        <f>TEXT(Table1[[#This Row],[Enrollment date]], "mmm")</f>
        <v>May</v>
      </c>
      <c r="H874" t="s">
        <v>3</v>
      </c>
      <c r="I874" t="s">
        <v>659</v>
      </c>
      <c r="J874" t="str">
        <f>_xlfn.XLOOKUP(Table1[[#This Row],[Course ]], CCF!B:B, CCF!A:A)</f>
        <v>UX401</v>
      </c>
      <c r="K874" t="s">
        <v>367</v>
      </c>
      <c r="L874">
        <f>_xlfn.XLOOKUP(K874, CCF!B:B, CCF!C:C)</f>
        <v>67990</v>
      </c>
      <c r="M874" t="s">
        <v>16</v>
      </c>
    </row>
    <row r="875" spans="1:13" x14ac:dyDescent="0.3">
      <c r="A875">
        <v>874</v>
      </c>
      <c r="B875" t="s">
        <v>1537</v>
      </c>
      <c r="C875" s="3">
        <v>80986</v>
      </c>
      <c r="D875" t="s">
        <v>666</v>
      </c>
      <c r="E875">
        <v>18</v>
      </c>
      <c r="F875" s="1">
        <v>45418</v>
      </c>
      <c r="G875" s="1" t="str">
        <f>TEXT(Table1[[#This Row],[Enrollment date]], "mmm")</f>
        <v>May</v>
      </c>
      <c r="H875" t="s">
        <v>360</v>
      </c>
      <c r="I875" t="s">
        <v>660</v>
      </c>
      <c r="J875" t="str">
        <f>_xlfn.XLOOKUP(Table1[[#This Row],[Course ]], CCF!B:B, CCF!A:A)</f>
        <v>DM101</v>
      </c>
      <c r="K875" t="s">
        <v>365</v>
      </c>
      <c r="L875">
        <f>_xlfn.XLOOKUP(K875, CCF!B:B, CCF!C:C)</f>
        <v>85499</v>
      </c>
      <c r="M875" t="s">
        <v>489</v>
      </c>
    </row>
    <row r="876" spans="1:13" x14ac:dyDescent="0.3">
      <c r="A876">
        <v>875</v>
      </c>
      <c r="B876" t="s">
        <v>1538</v>
      </c>
      <c r="C876" s="3">
        <v>27860</v>
      </c>
      <c r="D876" t="s">
        <v>666</v>
      </c>
      <c r="E876">
        <v>22</v>
      </c>
      <c r="F876" s="1">
        <v>45418</v>
      </c>
      <c r="G876" s="1" t="str">
        <f>TEXT(Table1[[#This Row],[Enrollment date]], "mmm")</f>
        <v>May</v>
      </c>
      <c r="H876" t="s">
        <v>360</v>
      </c>
      <c r="I876" t="s">
        <v>660</v>
      </c>
      <c r="J876" t="str">
        <f>_xlfn.XLOOKUP(Table1[[#This Row],[Course ]], CCF!B:B, CCF!A:A)</f>
        <v>DA202</v>
      </c>
      <c r="K876" t="s">
        <v>363</v>
      </c>
      <c r="L876">
        <f>_xlfn.XLOOKUP(K876, CCF!B:B, CCF!C:C)</f>
        <v>79999</v>
      </c>
      <c r="M876" t="s">
        <v>80</v>
      </c>
    </row>
    <row r="877" spans="1:13" x14ac:dyDescent="0.3">
      <c r="A877">
        <v>876</v>
      </c>
      <c r="B877" t="s">
        <v>1539</v>
      </c>
      <c r="C877" s="3">
        <v>52284</v>
      </c>
      <c r="D877" t="s">
        <v>666</v>
      </c>
      <c r="E877">
        <v>60</v>
      </c>
      <c r="F877" s="1">
        <v>45418</v>
      </c>
      <c r="G877" s="1" t="str">
        <f>TEXT(Table1[[#This Row],[Enrollment date]], "mmm")</f>
        <v>May</v>
      </c>
      <c r="H877" t="s">
        <v>360</v>
      </c>
      <c r="I877" t="s">
        <v>659</v>
      </c>
      <c r="J877" t="str">
        <f>_xlfn.XLOOKUP(Table1[[#This Row],[Course ]], CCF!B:B, CCF!A:A)</f>
        <v>DM101</v>
      </c>
      <c r="K877" t="s">
        <v>365</v>
      </c>
      <c r="L877">
        <f>_xlfn.XLOOKUP(K877, CCF!B:B, CCF!C:C)</f>
        <v>85499</v>
      </c>
      <c r="M877" t="s">
        <v>255</v>
      </c>
    </row>
    <row r="878" spans="1:13" x14ac:dyDescent="0.3">
      <c r="A878">
        <v>877</v>
      </c>
      <c r="B878" t="s">
        <v>1540</v>
      </c>
      <c r="C878" s="3">
        <v>84314</v>
      </c>
      <c r="D878" t="s">
        <v>667</v>
      </c>
      <c r="E878">
        <v>74</v>
      </c>
      <c r="F878" s="1">
        <v>45418</v>
      </c>
      <c r="G878" s="1" t="str">
        <f>TEXT(Table1[[#This Row],[Enrollment date]], "mmm")</f>
        <v>May</v>
      </c>
      <c r="H878" t="s">
        <v>360</v>
      </c>
      <c r="I878" t="s">
        <v>665</v>
      </c>
      <c r="J878" t="str">
        <f>_xlfn.XLOOKUP(Table1[[#This Row],[Course ]], CCF!B:B, CCF!A:A)</f>
        <v>BA301</v>
      </c>
      <c r="K878" t="s">
        <v>364</v>
      </c>
      <c r="L878">
        <f>_xlfn.XLOOKUP(K878, CCF!B:B, CCF!C:C)</f>
        <v>59999</v>
      </c>
      <c r="M878" t="s">
        <v>134</v>
      </c>
    </row>
    <row r="879" spans="1:13" x14ac:dyDescent="0.3">
      <c r="A879">
        <v>878</v>
      </c>
      <c r="B879" t="s">
        <v>1541</v>
      </c>
      <c r="C879" s="3">
        <v>19752</v>
      </c>
      <c r="D879" t="s">
        <v>666</v>
      </c>
      <c r="E879">
        <v>26</v>
      </c>
      <c r="F879" s="1">
        <v>45418</v>
      </c>
      <c r="G879" s="1" t="str">
        <f>TEXT(Table1[[#This Row],[Enrollment date]], "mmm")</f>
        <v>May</v>
      </c>
      <c r="H879" t="s">
        <v>360</v>
      </c>
      <c r="I879" t="s">
        <v>665</v>
      </c>
      <c r="J879" t="str">
        <f>_xlfn.XLOOKUP(Table1[[#This Row],[Course ]], CCF!B:B, CCF!A:A)</f>
        <v>DA202</v>
      </c>
      <c r="K879" t="s">
        <v>363</v>
      </c>
      <c r="L879">
        <f>_xlfn.XLOOKUP(K879, CCF!B:B, CCF!C:C)</f>
        <v>79999</v>
      </c>
      <c r="M879" t="s">
        <v>18</v>
      </c>
    </row>
    <row r="880" spans="1:13" x14ac:dyDescent="0.3">
      <c r="A880">
        <v>879</v>
      </c>
      <c r="B880" t="s">
        <v>1542</v>
      </c>
      <c r="C880" s="3">
        <v>86719</v>
      </c>
      <c r="D880" t="s">
        <v>666</v>
      </c>
      <c r="E880">
        <v>41</v>
      </c>
      <c r="F880" s="1">
        <v>45418</v>
      </c>
      <c r="G880" s="1" t="str">
        <f>TEXT(Table1[[#This Row],[Enrollment date]], "mmm")</f>
        <v>May</v>
      </c>
      <c r="H880" t="s">
        <v>360</v>
      </c>
      <c r="I880" t="s">
        <v>659</v>
      </c>
      <c r="J880" t="str">
        <f>_xlfn.XLOOKUP(Table1[[#This Row],[Course ]], CCF!B:B, CCF!A:A)</f>
        <v>BA301</v>
      </c>
      <c r="K880" t="s">
        <v>364</v>
      </c>
      <c r="L880">
        <f>_xlfn.XLOOKUP(K880, CCF!B:B, CCF!C:C)</f>
        <v>59999</v>
      </c>
      <c r="M880" t="s">
        <v>38</v>
      </c>
    </row>
    <row r="881" spans="1:13" x14ac:dyDescent="0.3">
      <c r="A881">
        <v>880</v>
      </c>
      <c r="B881" t="s">
        <v>1543</v>
      </c>
      <c r="C881" s="3">
        <v>28280</v>
      </c>
      <c r="D881" t="s">
        <v>667</v>
      </c>
      <c r="E881">
        <v>23</v>
      </c>
      <c r="F881" s="1">
        <v>45419</v>
      </c>
      <c r="G881" s="1" t="str">
        <f>TEXT(Table1[[#This Row],[Enrollment date]], "mmm")</f>
        <v>May</v>
      </c>
      <c r="H881" t="s">
        <v>361</v>
      </c>
      <c r="I881" t="s">
        <v>661</v>
      </c>
      <c r="J881" t="str">
        <f>_xlfn.XLOOKUP(Table1[[#This Row],[Course ]], CCF!B:B, CCF!A:A)</f>
        <v>BA301</v>
      </c>
      <c r="K881" t="s">
        <v>364</v>
      </c>
      <c r="L881">
        <f>_xlfn.XLOOKUP(K881, CCF!B:B, CCF!C:C)</f>
        <v>59999</v>
      </c>
      <c r="M881" t="s">
        <v>16</v>
      </c>
    </row>
    <row r="882" spans="1:13" x14ac:dyDescent="0.3">
      <c r="A882">
        <v>881</v>
      </c>
      <c r="B882" t="s">
        <v>1544</v>
      </c>
      <c r="C882" s="3">
        <v>35150</v>
      </c>
      <c r="D882" t="s">
        <v>666</v>
      </c>
      <c r="E882">
        <v>33</v>
      </c>
      <c r="F882" s="1">
        <v>45419</v>
      </c>
      <c r="G882" s="1" t="str">
        <f>TEXT(Table1[[#This Row],[Enrollment date]], "mmm")</f>
        <v>May</v>
      </c>
      <c r="H882" t="s">
        <v>360</v>
      </c>
      <c r="I882" t="s">
        <v>665</v>
      </c>
      <c r="J882" t="str">
        <f>_xlfn.XLOOKUP(Table1[[#This Row],[Course ]], CCF!B:B, CCF!A:A)</f>
        <v>BA301</v>
      </c>
      <c r="K882" t="s">
        <v>364</v>
      </c>
      <c r="L882">
        <f>_xlfn.XLOOKUP(K882, CCF!B:B, CCF!C:C)</f>
        <v>59999</v>
      </c>
      <c r="M882" t="s">
        <v>46</v>
      </c>
    </row>
    <row r="883" spans="1:13" x14ac:dyDescent="0.3">
      <c r="A883">
        <v>882</v>
      </c>
      <c r="B883" t="s">
        <v>1545</v>
      </c>
      <c r="C883" s="3">
        <v>99098</v>
      </c>
      <c r="D883" t="s">
        <v>666</v>
      </c>
      <c r="E883">
        <v>31</v>
      </c>
      <c r="F883" s="1">
        <v>45419</v>
      </c>
      <c r="G883" s="1" t="str">
        <f>TEXT(Table1[[#This Row],[Enrollment date]], "mmm")</f>
        <v>May</v>
      </c>
      <c r="H883" t="s">
        <v>360</v>
      </c>
      <c r="I883" t="s">
        <v>661</v>
      </c>
      <c r="J883" t="str">
        <f>_xlfn.XLOOKUP(Table1[[#This Row],[Course ]], CCF!B:B, CCF!A:A)</f>
        <v>FSD103</v>
      </c>
      <c r="K883" t="s">
        <v>366</v>
      </c>
      <c r="L883">
        <f>_xlfn.XLOOKUP(K883, CCF!B:B, CCF!C:C)</f>
        <v>109990</v>
      </c>
      <c r="M883" t="s">
        <v>276</v>
      </c>
    </row>
    <row r="884" spans="1:13" x14ac:dyDescent="0.3">
      <c r="A884">
        <v>883</v>
      </c>
      <c r="B884" t="s">
        <v>1546</v>
      </c>
      <c r="C884" s="3">
        <v>92571</v>
      </c>
      <c r="D884" t="s">
        <v>666</v>
      </c>
      <c r="E884">
        <v>23</v>
      </c>
      <c r="F884" s="1">
        <v>45419</v>
      </c>
      <c r="G884" s="1" t="str">
        <f>TEXT(Table1[[#This Row],[Enrollment date]], "mmm")</f>
        <v>May</v>
      </c>
      <c r="H884" t="s">
        <v>360</v>
      </c>
      <c r="I884" t="s">
        <v>660</v>
      </c>
      <c r="J884" t="str">
        <f>_xlfn.XLOOKUP(Table1[[#This Row],[Course ]], CCF!B:B, CCF!A:A)</f>
        <v>DM101</v>
      </c>
      <c r="K884" t="s">
        <v>365</v>
      </c>
      <c r="L884">
        <f>_xlfn.XLOOKUP(K884, CCF!B:B, CCF!C:C)</f>
        <v>85499</v>
      </c>
      <c r="M884" t="s">
        <v>490</v>
      </c>
    </row>
    <row r="885" spans="1:13" x14ac:dyDescent="0.3">
      <c r="A885">
        <v>884</v>
      </c>
      <c r="B885" t="s">
        <v>1547</v>
      </c>
      <c r="C885" s="3">
        <v>36106</v>
      </c>
      <c r="D885" t="s">
        <v>666</v>
      </c>
      <c r="E885">
        <v>27</v>
      </c>
      <c r="F885" s="1">
        <v>45419</v>
      </c>
      <c r="G885" s="1" t="str">
        <f>TEXT(Table1[[#This Row],[Enrollment date]], "mmm")</f>
        <v>May</v>
      </c>
      <c r="H885" t="s">
        <v>360</v>
      </c>
      <c r="I885" t="s">
        <v>659</v>
      </c>
      <c r="J885" t="str">
        <f>_xlfn.XLOOKUP(Table1[[#This Row],[Course ]], CCF!B:B, CCF!A:A)</f>
        <v>DM101</v>
      </c>
      <c r="K885" t="s">
        <v>365</v>
      </c>
      <c r="L885">
        <f>_xlfn.XLOOKUP(K885, CCF!B:B, CCF!C:C)</f>
        <v>85499</v>
      </c>
      <c r="M885" t="s">
        <v>124</v>
      </c>
    </row>
    <row r="886" spans="1:13" x14ac:dyDescent="0.3">
      <c r="A886">
        <v>885</v>
      </c>
      <c r="B886" t="s">
        <v>1548</v>
      </c>
      <c r="C886" s="3">
        <v>95995</v>
      </c>
      <c r="D886" t="s">
        <v>667</v>
      </c>
      <c r="E886">
        <v>21</v>
      </c>
      <c r="F886" s="1">
        <v>45419</v>
      </c>
      <c r="G886" s="1" t="str">
        <f>TEXT(Table1[[#This Row],[Enrollment date]], "mmm")</f>
        <v>May</v>
      </c>
      <c r="H886" t="s">
        <v>360</v>
      </c>
      <c r="I886" t="s">
        <v>664</v>
      </c>
      <c r="J886" t="str">
        <f>_xlfn.XLOOKUP(Table1[[#This Row],[Course ]], CCF!B:B, CCF!A:A)</f>
        <v>BA301</v>
      </c>
      <c r="K886" t="s">
        <v>364</v>
      </c>
      <c r="L886">
        <f>_xlfn.XLOOKUP(K886, CCF!B:B, CCF!C:C)</f>
        <v>59999</v>
      </c>
      <c r="M886" t="s">
        <v>27</v>
      </c>
    </row>
    <row r="887" spans="1:13" x14ac:dyDescent="0.3">
      <c r="A887">
        <v>886</v>
      </c>
      <c r="B887" t="s">
        <v>1549</v>
      </c>
      <c r="C887" s="3">
        <v>45148</v>
      </c>
      <c r="D887" t="s">
        <v>666</v>
      </c>
      <c r="E887">
        <v>22</v>
      </c>
      <c r="F887" s="1">
        <v>45419</v>
      </c>
      <c r="G887" s="1" t="str">
        <f>TEXT(Table1[[#This Row],[Enrollment date]], "mmm")</f>
        <v>May</v>
      </c>
      <c r="H887" t="s">
        <v>360</v>
      </c>
      <c r="I887" t="s">
        <v>659</v>
      </c>
      <c r="J887" t="str">
        <f>_xlfn.XLOOKUP(Table1[[#This Row],[Course ]], CCF!B:B, CCF!A:A)</f>
        <v>DM101</v>
      </c>
      <c r="K887" t="s">
        <v>365</v>
      </c>
      <c r="L887">
        <f>_xlfn.XLOOKUP(K887, CCF!B:B, CCF!C:C)</f>
        <v>85499</v>
      </c>
      <c r="M887" t="s">
        <v>30</v>
      </c>
    </row>
    <row r="888" spans="1:13" x14ac:dyDescent="0.3">
      <c r="A888">
        <v>887</v>
      </c>
      <c r="B888" t="s">
        <v>1550</v>
      </c>
      <c r="C888" s="3">
        <v>57232</v>
      </c>
      <c r="D888" t="s">
        <v>667</v>
      </c>
      <c r="E888">
        <v>64</v>
      </c>
      <c r="F888" s="1">
        <v>45420</v>
      </c>
      <c r="G888" s="1" t="str">
        <f>TEXT(Table1[[#This Row],[Enrollment date]], "mmm")</f>
        <v>May</v>
      </c>
      <c r="H888" t="s">
        <v>360</v>
      </c>
      <c r="I888" t="s">
        <v>661</v>
      </c>
      <c r="J888" t="str">
        <f>_xlfn.XLOOKUP(Table1[[#This Row],[Course ]], CCF!B:B, CCF!A:A)</f>
        <v>DM101</v>
      </c>
      <c r="K888" t="s">
        <v>365</v>
      </c>
      <c r="L888">
        <f>_xlfn.XLOOKUP(K888, CCF!B:B, CCF!C:C)</f>
        <v>85499</v>
      </c>
      <c r="M888" t="s">
        <v>18</v>
      </c>
    </row>
    <row r="889" spans="1:13" x14ac:dyDescent="0.3">
      <c r="A889">
        <v>888</v>
      </c>
      <c r="B889" t="s">
        <v>1551</v>
      </c>
      <c r="C889" s="3">
        <v>69318</v>
      </c>
      <c r="D889" t="s">
        <v>666</v>
      </c>
      <c r="E889">
        <v>65</v>
      </c>
      <c r="F889" s="1">
        <v>45420</v>
      </c>
      <c r="G889" s="1" t="str">
        <f>TEXT(Table1[[#This Row],[Enrollment date]], "mmm")</f>
        <v>May</v>
      </c>
      <c r="H889" t="s">
        <v>3</v>
      </c>
      <c r="I889" t="s">
        <v>660</v>
      </c>
      <c r="J889" t="str">
        <f>_xlfn.XLOOKUP(Table1[[#This Row],[Course ]], CCF!B:B, CCF!A:A)</f>
        <v>DM101</v>
      </c>
      <c r="K889" t="s">
        <v>365</v>
      </c>
      <c r="L889">
        <f>_xlfn.XLOOKUP(K889, CCF!B:B, CCF!C:C)</f>
        <v>85499</v>
      </c>
      <c r="M889" t="s">
        <v>491</v>
      </c>
    </row>
    <row r="890" spans="1:13" x14ac:dyDescent="0.3">
      <c r="A890">
        <v>889</v>
      </c>
      <c r="B890" t="s">
        <v>1552</v>
      </c>
      <c r="C890" s="3">
        <v>34930</v>
      </c>
      <c r="D890" t="s">
        <v>666</v>
      </c>
      <c r="E890">
        <v>18</v>
      </c>
      <c r="F890" s="1">
        <v>45420</v>
      </c>
      <c r="G890" s="1" t="str">
        <f>TEXT(Table1[[#This Row],[Enrollment date]], "mmm")</f>
        <v>May</v>
      </c>
      <c r="H890" t="s">
        <v>360</v>
      </c>
      <c r="I890" t="s">
        <v>660</v>
      </c>
      <c r="J890" t="str">
        <f>_xlfn.XLOOKUP(Table1[[#This Row],[Course ]], CCF!B:B, CCF!A:A)</f>
        <v>DA202</v>
      </c>
      <c r="K890" t="s">
        <v>363</v>
      </c>
      <c r="L890">
        <f>_xlfn.XLOOKUP(K890, CCF!B:B, CCF!C:C)</f>
        <v>79999</v>
      </c>
      <c r="M890" t="s">
        <v>134</v>
      </c>
    </row>
    <row r="891" spans="1:13" x14ac:dyDescent="0.3">
      <c r="A891">
        <v>890</v>
      </c>
      <c r="B891" t="s">
        <v>1553</v>
      </c>
      <c r="C891" s="3">
        <v>85797</v>
      </c>
      <c r="D891" t="s">
        <v>666</v>
      </c>
      <c r="E891">
        <v>32</v>
      </c>
      <c r="F891" s="1">
        <v>45420</v>
      </c>
      <c r="G891" s="1" t="str">
        <f>TEXT(Table1[[#This Row],[Enrollment date]], "mmm")</f>
        <v>May</v>
      </c>
      <c r="H891" t="s">
        <v>360</v>
      </c>
      <c r="I891" t="s">
        <v>659</v>
      </c>
      <c r="J891" t="str">
        <f>_xlfn.XLOOKUP(Table1[[#This Row],[Course ]], CCF!B:B, CCF!A:A)</f>
        <v>DA202</v>
      </c>
      <c r="K891" t="s">
        <v>363</v>
      </c>
      <c r="L891">
        <f>_xlfn.XLOOKUP(K891, CCF!B:B, CCF!C:C)</f>
        <v>79999</v>
      </c>
      <c r="M891" t="s">
        <v>147</v>
      </c>
    </row>
    <row r="892" spans="1:13" x14ac:dyDescent="0.3">
      <c r="A892">
        <v>891</v>
      </c>
      <c r="B892" t="s">
        <v>1554</v>
      </c>
      <c r="C892" s="3">
        <v>55563</v>
      </c>
      <c r="D892" t="s">
        <v>666</v>
      </c>
      <c r="E892">
        <v>60</v>
      </c>
      <c r="F892" s="1">
        <v>45420</v>
      </c>
      <c r="G892" s="1" t="str">
        <f>TEXT(Table1[[#This Row],[Enrollment date]], "mmm")</f>
        <v>May</v>
      </c>
      <c r="H892" t="s">
        <v>360</v>
      </c>
      <c r="I892" t="s">
        <v>659</v>
      </c>
      <c r="J892" t="str">
        <f>_xlfn.XLOOKUP(Table1[[#This Row],[Course ]], CCF!B:B, CCF!A:A)</f>
        <v>UX401</v>
      </c>
      <c r="K892" t="s">
        <v>367</v>
      </c>
      <c r="L892">
        <f>_xlfn.XLOOKUP(K892, CCF!B:B, CCF!C:C)</f>
        <v>67990</v>
      </c>
      <c r="M892" t="s">
        <v>492</v>
      </c>
    </row>
    <row r="893" spans="1:13" x14ac:dyDescent="0.3">
      <c r="A893">
        <v>892</v>
      </c>
      <c r="B893" t="s">
        <v>1555</v>
      </c>
      <c r="C893" s="3">
        <v>15429</v>
      </c>
      <c r="D893" t="s">
        <v>667</v>
      </c>
      <c r="E893">
        <v>38</v>
      </c>
      <c r="F893" s="1">
        <v>45420</v>
      </c>
      <c r="G893" s="1" t="str">
        <f>TEXT(Table1[[#This Row],[Enrollment date]], "mmm")</f>
        <v>May</v>
      </c>
      <c r="H893" t="s">
        <v>360</v>
      </c>
      <c r="I893" t="s">
        <v>663</v>
      </c>
      <c r="J893" t="str">
        <f>_xlfn.XLOOKUP(Table1[[#This Row],[Course ]], CCF!B:B, CCF!A:A)</f>
        <v>DA202</v>
      </c>
      <c r="K893" t="s">
        <v>363</v>
      </c>
      <c r="L893">
        <f>_xlfn.XLOOKUP(K893, CCF!B:B, CCF!C:C)</f>
        <v>79999</v>
      </c>
      <c r="M893" t="s">
        <v>20</v>
      </c>
    </row>
    <row r="894" spans="1:13" x14ac:dyDescent="0.3">
      <c r="A894">
        <v>893</v>
      </c>
      <c r="B894" t="s">
        <v>1556</v>
      </c>
      <c r="C894" s="3">
        <v>84750</v>
      </c>
      <c r="D894" t="s">
        <v>667</v>
      </c>
      <c r="E894">
        <v>32</v>
      </c>
      <c r="F894" s="1">
        <v>45420</v>
      </c>
      <c r="G894" s="1" t="str">
        <f>TEXT(Table1[[#This Row],[Enrollment date]], "mmm")</f>
        <v>May</v>
      </c>
      <c r="H894" t="s">
        <v>360</v>
      </c>
      <c r="I894" t="s">
        <v>665</v>
      </c>
      <c r="J894" t="str">
        <f>_xlfn.XLOOKUP(Table1[[#This Row],[Course ]], CCF!B:B, CCF!A:A)</f>
        <v>DA202</v>
      </c>
      <c r="K894" t="s">
        <v>363</v>
      </c>
      <c r="L894">
        <f>_xlfn.XLOOKUP(K894, CCF!B:B, CCF!C:C)</f>
        <v>79999</v>
      </c>
      <c r="M894" t="s">
        <v>5</v>
      </c>
    </row>
    <row r="895" spans="1:13" x14ac:dyDescent="0.3">
      <c r="A895">
        <v>894</v>
      </c>
      <c r="B895" t="s">
        <v>1557</v>
      </c>
      <c r="C895" s="3">
        <v>93672</v>
      </c>
      <c r="D895" t="s">
        <v>666</v>
      </c>
      <c r="E895">
        <v>40</v>
      </c>
      <c r="F895" s="1">
        <v>45421</v>
      </c>
      <c r="G895" s="1" t="str">
        <f>TEXT(Table1[[#This Row],[Enrollment date]], "mmm")</f>
        <v>May</v>
      </c>
      <c r="H895" t="s">
        <v>360</v>
      </c>
      <c r="I895" t="s">
        <v>662</v>
      </c>
      <c r="J895" t="str">
        <f>_xlfn.XLOOKUP(Table1[[#This Row],[Course ]], CCF!B:B, CCF!A:A)</f>
        <v>DM101</v>
      </c>
      <c r="K895" t="s">
        <v>365</v>
      </c>
      <c r="L895">
        <f>_xlfn.XLOOKUP(K895, CCF!B:B, CCF!C:C)</f>
        <v>85499</v>
      </c>
      <c r="M895" t="s">
        <v>60</v>
      </c>
    </row>
    <row r="896" spans="1:13" x14ac:dyDescent="0.3">
      <c r="A896">
        <v>895</v>
      </c>
      <c r="B896" t="s">
        <v>1558</v>
      </c>
      <c r="C896" s="3">
        <v>25419</v>
      </c>
      <c r="D896" t="s">
        <v>667</v>
      </c>
      <c r="E896">
        <v>37</v>
      </c>
      <c r="F896" s="1">
        <v>45421</v>
      </c>
      <c r="G896" s="1" t="str">
        <f>TEXT(Table1[[#This Row],[Enrollment date]], "mmm")</f>
        <v>May</v>
      </c>
      <c r="H896" t="s">
        <v>3</v>
      </c>
      <c r="I896" t="s">
        <v>660</v>
      </c>
      <c r="J896" t="str">
        <f>_xlfn.XLOOKUP(Table1[[#This Row],[Course ]], CCF!B:B, CCF!A:A)</f>
        <v>BA301</v>
      </c>
      <c r="K896" t="s">
        <v>364</v>
      </c>
      <c r="L896">
        <f>_xlfn.XLOOKUP(K896, CCF!B:B, CCF!C:C)</f>
        <v>59999</v>
      </c>
      <c r="M896" t="s">
        <v>493</v>
      </c>
    </row>
    <row r="897" spans="1:13" x14ac:dyDescent="0.3">
      <c r="A897">
        <v>896</v>
      </c>
      <c r="B897" t="s">
        <v>1559</v>
      </c>
      <c r="C897" s="3">
        <v>95291</v>
      </c>
      <c r="D897" t="s">
        <v>666</v>
      </c>
      <c r="E897">
        <v>38</v>
      </c>
      <c r="F897" s="1">
        <v>45421</v>
      </c>
      <c r="G897" s="1" t="str">
        <f>TEXT(Table1[[#This Row],[Enrollment date]], "mmm")</f>
        <v>May</v>
      </c>
      <c r="H897" t="s">
        <v>360</v>
      </c>
      <c r="I897" t="s">
        <v>660</v>
      </c>
      <c r="J897" t="str">
        <f>_xlfn.XLOOKUP(Table1[[#This Row],[Course ]], CCF!B:B, CCF!A:A)</f>
        <v>BA301</v>
      </c>
      <c r="K897" t="s">
        <v>364</v>
      </c>
      <c r="L897">
        <f>_xlfn.XLOOKUP(K897, CCF!B:B, CCF!C:C)</f>
        <v>59999</v>
      </c>
      <c r="M897" t="s">
        <v>43</v>
      </c>
    </row>
    <row r="898" spans="1:13" x14ac:dyDescent="0.3">
      <c r="A898">
        <v>897</v>
      </c>
      <c r="B898" t="s">
        <v>1560</v>
      </c>
      <c r="C898" s="3">
        <v>97437</v>
      </c>
      <c r="D898" t="s">
        <v>666</v>
      </c>
      <c r="E898">
        <v>27</v>
      </c>
      <c r="F898" s="1">
        <v>45421</v>
      </c>
      <c r="G898" s="1" t="str">
        <f>TEXT(Table1[[#This Row],[Enrollment date]], "mmm")</f>
        <v>May</v>
      </c>
      <c r="H898" t="s">
        <v>360</v>
      </c>
      <c r="I898" t="s">
        <v>660</v>
      </c>
      <c r="J898" t="str">
        <f>_xlfn.XLOOKUP(Table1[[#This Row],[Course ]], CCF!B:B, CCF!A:A)</f>
        <v>DM101</v>
      </c>
      <c r="K898" t="s">
        <v>365</v>
      </c>
      <c r="L898">
        <f>_xlfn.XLOOKUP(K898, CCF!B:B, CCF!C:C)</f>
        <v>85499</v>
      </c>
      <c r="M898" t="s">
        <v>251</v>
      </c>
    </row>
    <row r="899" spans="1:13" x14ac:dyDescent="0.3">
      <c r="A899">
        <v>898</v>
      </c>
      <c r="B899" t="s">
        <v>1561</v>
      </c>
      <c r="C899" s="3">
        <v>44700</v>
      </c>
      <c r="D899" t="s">
        <v>666</v>
      </c>
      <c r="E899">
        <v>26</v>
      </c>
      <c r="F899" s="1">
        <v>45421</v>
      </c>
      <c r="G899" s="1" t="str">
        <f>TEXT(Table1[[#This Row],[Enrollment date]], "mmm")</f>
        <v>May</v>
      </c>
      <c r="H899" t="s">
        <v>360</v>
      </c>
      <c r="I899" t="s">
        <v>659</v>
      </c>
      <c r="J899" t="str">
        <f>_xlfn.XLOOKUP(Table1[[#This Row],[Course ]], CCF!B:B, CCF!A:A)</f>
        <v>DA202</v>
      </c>
      <c r="K899" t="s">
        <v>363</v>
      </c>
      <c r="L899">
        <f>_xlfn.XLOOKUP(K899, CCF!B:B, CCF!C:C)</f>
        <v>79999</v>
      </c>
      <c r="M899" t="s">
        <v>28</v>
      </c>
    </row>
    <row r="900" spans="1:13" x14ac:dyDescent="0.3">
      <c r="A900">
        <v>899</v>
      </c>
      <c r="B900" t="s">
        <v>1562</v>
      </c>
      <c r="C900" s="3">
        <v>42856</v>
      </c>
      <c r="D900" t="s">
        <v>666</v>
      </c>
      <c r="E900">
        <v>46</v>
      </c>
      <c r="F900" s="1">
        <v>45421</v>
      </c>
      <c r="G900" s="1" t="str">
        <f>TEXT(Table1[[#This Row],[Enrollment date]], "mmm")</f>
        <v>May</v>
      </c>
      <c r="H900" t="s">
        <v>360</v>
      </c>
      <c r="I900" t="s">
        <v>660</v>
      </c>
      <c r="J900" t="str">
        <f>_xlfn.XLOOKUP(Table1[[#This Row],[Course ]], CCF!B:B, CCF!A:A)</f>
        <v>DM101</v>
      </c>
      <c r="K900" t="s">
        <v>365</v>
      </c>
      <c r="L900">
        <f>_xlfn.XLOOKUP(K900, CCF!B:B, CCF!C:C)</f>
        <v>85499</v>
      </c>
      <c r="M900" t="s">
        <v>109</v>
      </c>
    </row>
    <row r="901" spans="1:13" x14ac:dyDescent="0.3">
      <c r="A901">
        <v>900</v>
      </c>
      <c r="B901" t="s">
        <v>1563</v>
      </c>
      <c r="C901" s="3">
        <v>10393</v>
      </c>
      <c r="D901" t="s">
        <v>666</v>
      </c>
      <c r="E901">
        <v>27</v>
      </c>
      <c r="F901" s="1">
        <v>45421</v>
      </c>
      <c r="G901" s="1" t="str">
        <f>TEXT(Table1[[#This Row],[Enrollment date]], "mmm")</f>
        <v>May</v>
      </c>
      <c r="H901" t="s">
        <v>360</v>
      </c>
      <c r="I901" t="s">
        <v>661</v>
      </c>
      <c r="J901" t="str">
        <f>_xlfn.XLOOKUP(Table1[[#This Row],[Course ]], CCF!B:B, CCF!A:A)</f>
        <v>DA202</v>
      </c>
      <c r="K901" t="s">
        <v>363</v>
      </c>
      <c r="L901">
        <f>_xlfn.XLOOKUP(K901, CCF!B:B, CCF!C:C)</f>
        <v>79999</v>
      </c>
      <c r="M901" t="s">
        <v>168</v>
      </c>
    </row>
    <row r="902" spans="1:13" x14ac:dyDescent="0.3">
      <c r="A902">
        <v>901</v>
      </c>
      <c r="B902" t="s">
        <v>1564</v>
      </c>
      <c r="C902" s="3">
        <v>97992</v>
      </c>
      <c r="D902" t="s">
        <v>666</v>
      </c>
      <c r="E902">
        <v>49</v>
      </c>
      <c r="F902" s="1">
        <v>45422</v>
      </c>
      <c r="G902" s="1" t="str">
        <f>TEXT(Table1[[#This Row],[Enrollment date]], "mmm")</f>
        <v>May</v>
      </c>
      <c r="H902" t="s">
        <v>360</v>
      </c>
      <c r="I902" t="s">
        <v>662</v>
      </c>
      <c r="J902" t="str">
        <f>_xlfn.XLOOKUP(Table1[[#This Row],[Course ]], CCF!B:B, CCF!A:A)</f>
        <v>DM101</v>
      </c>
      <c r="K902" t="s">
        <v>365</v>
      </c>
      <c r="L902">
        <f>_xlfn.XLOOKUP(K902, CCF!B:B, CCF!C:C)</f>
        <v>85499</v>
      </c>
      <c r="M902" t="s">
        <v>173</v>
      </c>
    </row>
    <row r="903" spans="1:13" x14ac:dyDescent="0.3">
      <c r="A903">
        <v>902</v>
      </c>
      <c r="B903" t="s">
        <v>1565</v>
      </c>
      <c r="C903" s="3">
        <v>97436</v>
      </c>
      <c r="D903" t="s">
        <v>666</v>
      </c>
      <c r="E903">
        <v>63</v>
      </c>
      <c r="F903" s="1">
        <v>45422</v>
      </c>
      <c r="G903" s="1" t="str">
        <f>TEXT(Table1[[#This Row],[Enrollment date]], "mmm")</f>
        <v>May</v>
      </c>
      <c r="H903" t="s">
        <v>360</v>
      </c>
      <c r="I903" t="s">
        <v>659</v>
      </c>
      <c r="J903" t="str">
        <f>_xlfn.XLOOKUP(Table1[[#This Row],[Course ]], CCF!B:B, CCF!A:A)</f>
        <v>DM101</v>
      </c>
      <c r="K903" t="s">
        <v>365</v>
      </c>
      <c r="L903">
        <f>_xlfn.XLOOKUP(K903, CCF!B:B, CCF!C:C)</f>
        <v>85499</v>
      </c>
      <c r="M903" t="s">
        <v>136</v>
      </c>
    </row>
    <row r="904" spans="1:13" x14ac:dyDescent="0.3">
      <c r="A904">
        <v>903</v>
      </c>
      <c r="B904" t="s">
        <v>1566</v>
      </c>
      <c r="C904" s="3">
        <v>36733</v>
      </c>
      <c r="D904" t="s">
        <v>666</v>
      </c>
      <c r="E904">
        <v>29</v>
      </c>
      <c r="F904" s="1">
        <v>45422</v>
      </c>
      <c r="G904" s="1" t="str">
        <f>TEXT(Table1[[#This Row],[Enrollment date]], "mmm")</f>
        <v>May</v>
      </c>
      <c r="H904" t="s">
        <v>360</v>
      </c>
      <c r="I904" t="s">
        <v>660</v>
      </c>
      <c r="J904" t="str">
        <f>_xlfn.XLOOKUP(Table1[[#This Row],[Course ]], CCF!B:B, CCF!A:A)</f>
        <v>DM101</v>
      </c>
      <c r="K904" t="s">
        <v>365</v>
      </c>
      <c r="L904">
        <f>_xlfn.XLOOKUP(K904, CCF!B:B, CCF!C:C)</f>
        <v>85499</v>
      </c>
      <c r="M904" t="s">
        <v>494</v>
      </c>
    </row>
    <row r="905" spans="1:13" x14ac:dyDescent="0.3">
      <c r="A905">
        <v>904</v>
      </c>
      <c r="B905" t="s">
        <v>1567</v>
      </c>
      <c r="C905" s="3">
        <v>67970</v>
      </c>
      <c r="D905" t="s">
        <v>667</v>
      </c>
      <c r="E905">
        <v>29</v>
      </c>
      <c r="F905" s="1">
        <v>45422</v>
      </c>
      <c r="G905" s="1" t="str">
        <f>TEXT(Table1[[#This Row],[Enrollment date]], "mmm")</f>
        <v>May</v>
      </c>
      <c r="H905" t="s">
        <v>360</v>
      </c>
      <c r="I905" t="s">
        <v>661</v>
      </c>
      <c r="J905" t="str">
        <f>_xlfn.XLOOKUP(Table1[[#This Row],[Course ]], CCF!B:B, CCF!A:A)</f>
        <v>DM101</v>
      </c>
      <c r="K905" t="s">
        <v>365</v>
      </c>
      <c r="L905">
        <f>_xlfn.XLOOKUP(K905, CCF!B:B, CCF!C:C)</f>
        <v>85499</v>
      </c>
      <c r="M905" t="s">
        <v>495</v>
      </c>
    </row>
    <row r="906" spans="1:13" x14ac:dyDescent="0.3">
      <c r="A906">
        <v>905</v>
      </c>
      <c r="B906" t="s">
        <v>1568</v>
      </c>
      <c r="C906" s="3">
        <v>62394</v>
      </c>
      <c r="D906" t="s">
        <v>666</v>
      </c>
      <c r="E906">
        <v>31</v>
      </c>
      <c r="F906" s="1">
        <v>45422</v>
      </c>
      <c r="G906" s="1" t="str">
        <f>TEXT(Table1[[#This Row],[Enrollment date]], "mmm")</f>
        <v>May</v>
      </c>
      <c r="H906" t="s">
        <v>360</v>
      </c>
      <c r="I906" t="s">
        <v>661</v>
      </c>
      <c r="J906" t="str">
        <f>_xlfn.XLOOKUP(Table1[[#This Row],[Course ]], CCF!B:B, CCF!A:A)</f>
        <v>DA202</v>
      </c>
      <c r="K906" t="s">
        <v>363</v>
      </c>
      <c r="L906">
        <f>_xlfn.XLOOKUP(K906, CCF!B:B, CCF!C:C)</f>
        <v>79999</v>
      </c>
      <c r="M906" t="s">
        <v>18</v>
      </c>
    </row>
    <row r="907" spans="1:13" x14ac:dyDescent="0.3">
      <c r="A907">
        <v>906</v>
      </c>
      <c r="B907" t="s">
        <v>1569</v>
      </c>
      <c r="C907" s="3">
        <v>74476</v>
      </c>
      <c r="D907" t="s">
        <v>667</v>
      </c>
      <c r="E907">
        <v>30</v>
      </c>
      <c r="F907" s="1">
        <v>45422</v>
      </c>
      <c r="G907" s="1" t="str">
        <f>TEXT(Table1[[#This Row],[Enrollment date]], "mmm")</f>
        <v>May</v>
      </c>
      <c r="H907" t="s">
        <v>360</v>
      </c>
      <c r="I907" t="s">
        <v>659</v>
      </c>
      <c r="J907" t="str">
        <f>_xlfn.XLOOKUP(Table1[[#This Row],[Course ]], CCF!B:B, CCF!A:A)</f>
        <v>BA301</v>
      </c>
      <c r="K907" t="s">
        <v>364</v>
      </c>
      <c r="L907">
        <f>_xlfn.XLOOKUP(K907, CCF!B:B, CCF!C:C)</f>
        <v>59999</v>
      </c>
      <c r="M907" t="s">
        <v>16</v>
      </c>
    </row>
    <row r="908" spans="1:13" x14ac:dyDescent="0.3">
      <c r="A908">
        <v>907</v>
      </c>
      <c r="B908" t="s">
        <v>1570</v>
      </c>
      <c r="C908" s="3">
        <v>35253</v>
      </c>
      <c r="D908" t="s">
        <v>667</v>
      </c>
      <c r="E908">
        <v>61</v>
      </c>
      <c r="F908" s="1">
        <v>45422</v>
      </c>
      <c r="G908" s="1" t="str">
        <f>TEXT(Table1[[#This Row],[Enrollment date]], "mmm")</f>
        <v>May</v>
      </c>
      <c r="H908" t="s">
        <v>360</v>
      </c>
      <c r="I908" t="s">
        <v>661</v>
      </c>
      <c r="J908" t="str">
        <f>_xlfn.XLOOKUP(Table1[[#This Row],[Course ]], CCF!B:B, CCF!A:A)</f>
        <v>DM101</v>
      </c>
      <c r="K908" t="s">
        <v>365</v>
      </c>
      <c r="L908">
        <f>_xlfn.XLOOKUP(K908, CCF!B:B, CCF!C:C)</f>
        <v>85499</v>
      </c>
      <c r="M908" t="s">
        <v>86</v>
      </c>
    </row>
    <row r="909" spans="1:13" x14ac:dyDescent="0.3">
      <c r="A909">
        <v>908</v>
      </c>
      <c r="B909" t="s">
        <v>1571</v>
      </c>
      <c r="C909" s="3">
        <v>18929</v>
      </c>
      <c r="D909" t="s">
        <v>666</v>
      </c>
      <c r="E909">
        <v>21</v>
      </c>
      <c r="F909" s="1">
        <v>45423</v>
      </c>
      <c r="G909" s="1" t="str">
        <f>TEXT(Table1[[#This Row],[Enrollment date]], "mmm")</f>
        <v>May</v>
      </c>
      <c r="H909" t="s">
        <v>360</v>
      </c>
      <c r="I909" t="s">
        <v>661</v>
      </c>
      <c r="J909" t="str">
        <f>_xlfn.XLOOKUP(Table1[[#This Row],[Course ]], CCF!B:B, CCF!A:A)</f>
        <v>DA202</v>
      </c>
      <c r="K909" t="s">
        <v>363</v>
      </c>
      <c r="L909">
        <f>_xlfn.XLOOKUP(K909, CCF!B:B, CCF!C:C)</f>
        <v>79999</v>
      </c>
      <c r="M909" t="s">
        <v>53</v>
      </c>
    </row>
    <row r="910" spans="1:13" x14ac:dyDescent="0.3">
      <c r="A910">
        <v>909</v>
      </c>
      <c r="B910" t="s">
        <v>1572</v>
      </c>
      <c r="C910" s="3">
        <v>25373</v>
      </c>
      <c r="D910" t="s">
        <v>667</v>
      </c>
      <c r="E910">
        <v>42</v>
      </c>
      <c r="F910" s="1">
        <v>45423</v>
      </c>
      <c r="G910" s="1" t="str">
        <f>TEXT(Table1[[#This Row],[Enrollment date]], "mmm")</f>
        <v>May</v>
      </c>
      <c r="H910" t="s">
        <v>360</v>
      </c>
      <c r="I910" t="s">
        <v>660</v>
      </c>
      <c r="J910" t="str">
        <f>_xlfn.XLOOKUP(Table1[[#This Row],[Course ]], CCF!B:B, CCF!A:A)</f>
        <v>DM101</v>
      </c>
      <c r="K910" t="s">
        <v>365</v>
      </c>
      <c r="L910">
        <f>_xlfn.XLOOKUP(K910, CCF!B:B, CCF!C:C)</f>
        <v>85499</v>
      </c>
      <c r="M910" t="s">
        <v>445</v>
      </c>
    </row>
    <row r="911" spans="1:13" x14ac:dyDescent="0.3">
      <c r="A911">
        <v>910</v>
      </c>
      <c r="B911" t="s">
        <v>1573</v>
      </c>
      <c r="C911" s="3">
        <v>56050</v>
      </c>
      <c r="D911" t="s">
        <v>666</v>
      </c>
      <c r="E911">
        <v>20</v>
      </c>
      <c r="F911" s="1">
        <v>45423</v>
      </c>
      <c r="G911" s="1" t="str">
        <f>TEXT(Table1[[#This Row],[Enrollment date]], "mmm")</f>
        <v>May</v>
      </c>
      <c r="H911" t="s">
        <v>360</v>
      </c>
      <c r="I911" t="s">
        <v>660</v>
      </c>
      <c r="J911" t="str">
        <f>_xlfn.XLOOKUP(Table1[[#This Row],[Course ]], CCF!B:B, CCF!A:A)</f>
        <v>DA202</v>
      </c>
      <c r="K911" t="s">
        <v>363</v>
      </c>
      <c r="L911">
        <f>_xlfn.XLOOKUP(K911, CCF!B:B, CCF!C:C)</f>
        <v>79999</v>
      </c>
      <c r="M911" t="s">
        <v>38</v>
      </c>
    </row>
    <row r="912" spans="1:13" x14ac:dyDescent="0.3">
      <c r="A912">
        <v>911</v>
      </c>
      <c r="B912" t="s">
        <v>1574</v>
      </c>
      <c r="C912" s="3">
        <v>90570</v>
      </c>
      <c r="D912" t="s">
        <v>667</v>
      </c>
      <c r="E912">
        <v>21</v>
      </c>
      <c r="F912" s="1">
        <v>45423</v>
      </c>
      <c r="G912" s="1" t="str">
        <f>TEXT(Table1[[#This Row],[Enrollment date]], "mmm")</f>
        <v>May</v>
      </c>
      <c r="H912" t="s">
        <v>360</v>
      </c>
      <c r="I912" t="s">
        <v>660</v>
      </c>
      <c r="J912" t="str">
        <f>_xlfn.XLOOKUP(Table1[[#This Row],[Course ]], CCF!B:B, CCF!A:A)</f>
        <v>DA202</v>
      </c>
      <c r="K912" t="s">
        <v>363</v>
      </c>
      <c r="L912">
        <f>_xlfn.XLOOKUP(K912, CCF!B:B, CCF!C:C)</f>
        <v>79999</v>
      </c>
      <c r="M912" t="s">
        <v>281</v>
      </c>
    </row>
    <row r="913" spans="1:13" x14ac:dyDescent="0.3">
      <c r="A913">
        <v>912</v>
      </c>
      <c r="B913" t="s">
        <v>1575</v>
      </c>
      <c r="C913" s="3">
        <v>70609</v>
      </c>
      <c r="D913" t="s">
        <v>666</v>
      </c>
      <c r="E913">
        <v>32</v>
      </c>
      <c r="F913" s="1">
        <v>45423</v>
      </c>
      <c r="G913" s="1" t="str">
        <f>TEXT(Table1[[#This Row],[Enrollment date]], "mmm")</f>
        <v>May</v>
      </c>
      <c r="H913" t="s">
        <v>3</v>
      </c>
      <c r="I913" t="s">
        <v>659</v>
      </c>
      <c r="J913" t="str">
        <f>_xlfn.XLOOKUP(Table1[[#This Row],[Course ]], CCF!B:B, CCF!A:A)</f>
        <v>DA202</v>
      </c>
      <c r="K913" t="s">
        <v>363</v>
      </c>
      <c r="L913">
        <f>_xlfn.XLOOKUP(K913, CCF!B:B, CCF!C:C)</f>
        <v>79999</v>
      </c>
      <c r="M913" t="s">
        <v>27</v>
      </c>
    </row>
    <row r="914" spans="1:13" x14ac:dyDescent="0.3">
      <c r="A914">
        <v>913</v>
      </c>
      <c r="B914" t="s">
        <v>1576</v>
      </c>
      <c r="C914" s="3">
        <v>16028</v>
      </c>
      <c r="D914" t="s">
        <v>667</v>
      </c>
      <c r="E914">
        <v>39</v>
      </c>
      <c r="F914" s="1">
        <v>45423</v>
      </c>
      <c r="G914" s="1" t="str">
        <f>TEXT(Table1[[#This Row],[Enrollment date]], "mmm")</f>
        <v>May</v>
      </c>
      <c r="H914" t="s">
        <v>360</v>
      </c>
      <c r="I914" t="s">
        <v>660</v>
      </c>
      <c r="J914" t="str">
        <f>_xlfn.XLOOKUP(Table1[[#This Row],[Course ]], CCF!B:B, CCF!A:A)</f>
        <v>BA301</v>
      </c>
      <c r="K914" t="s">
        <v>364</v>
      </c>
      <c r="L914">
        <f>_xlfn.XLOOKUP(K914, CCF!B:B, CCF!C:C)</f>
        <v>59999</v>
      </c>
      <c r="M914" t="s">
        <v>27</v>
      </c>
    </row>
    <row r="915" spans="1:13" x14ac:dyDescent="0.3">
      <c r="A915">
        <v>914</v>
      </c>
      <c r="B915" t="s">
        <v>1577</v>
      </c>
      <c r="C915" s="3">
        <v>20327</v>
      </c>
      <c r="D915" t="s">
        <v>666</v>
      </c>
      <c r="E915">
        <v>31</v>
      </c>
      <c r="F915" s="1">
        <v>45423</v>
      </c>
      <c r="G915" s="1" t="str">
        <f>TEXT(Table1[[#This Row],[Enrollment date]], "mmm")</f>
        <v>May</v>
      </c>
      <c r="H915" t="s">
        <v>360</v>
      </c>
      <c r="I915" t="s">
        <v>659</v>
      </c>
      <c r="J915" t="str">
        <f>_xlfn.XLOOKUP(Table1[[#This Row],[Course ]], CCF!B:B, CCF!A:A)</f>
        <v>DA202</v>
      </c>
      <c r="K915" t="s">
        <v>363</v>
      </c>
      <c r="L915">
        <f>_xlfn.XLOOKUP(K915, CCF!B:B, CCF!C:C)</f>
        <v>79999</v>
      </c>
      <c r="M915" t="s">
        <v>27</v>
      </c>
    </row>
    <row r="916" spans="1:13" x14ac:dyDescent="0.3">
      <c r="A916">
        <v>915</v>
      </c>
      <c r="B916" t="s">
        <v>1578</v>
      </c>
      <c r="C916" s="3">
        <v>36856</v>
      </c>
      <c r="D916" t="s">
        <v>666</v>
      </c>
      <c r="E916">
        <v>42</v>
      </c>
      <c r="F916" s="1">
        <v>45423</v>
      </c>
      <c r="G916" s="1" t="str">
        <f>TEXT(Table1[[#This Row],[Enrollment date]], "mmm")</f>
        <v>May</v>
      </c>
      <c r="H916" t="s">
        <v>360</v>
      </c>
      <c r="I916" t="s">
        <v>660</v>
      </c>
      <c r="J916" t="str">
        <f>_xlfn.XLOOKUP(Table1[[#This Row],[Course ]], CCF!B:B, CCF!A:A)</f>
        <v>UX401</v>
      </c>
      <c r="K916" t="s">
        <v>367</v>
      </c>
      <c r="L916">
        <f>_xlfn.XLOOKUP(K916, CCF!B:B, CCF!C:C)</f>
        <v>67990</v>
      </c>
      <c r="M916" t="s">
        <v>27</v>
      </c>
    </row>
    <row r="917" spans="1:13" x14ac:dyDescent="0.3">
      <c r="A917">
        <v>916</v>
      </c>
      <c r="B917" t="s">
        <v>1579</v>
      </c>
      <c r="C917" s="3">
        <v>76578</v>
      </c>
      <c r="D917" t="s">
        <v>667</v>
      </c>
      <c r="E917">
        <v>49</v>
      </c>
      <c r="F917" s="1">
        <v>45423</v>
      </c>
      <c r="G917" s="1" t="str">
        <f>TEXT(Table1[[#This Row],[Enrollment date]], "mmm")</f>
        <v>May</v>
      </c>
      <c r="H917" t="s">
        <v>360</v>
      </c>
      <c r="I917" t="s">
        <v>661</v>
      </c>
      <c r="J917" t="str">
        <f>_xlfn.XLOOKUP(Table1[[#This Row],[Course ]], CCF!B:B, CCF!A:A)</f>
        <v>BA301</v>
      </c>
      <c r="K917" t="s">
        <v>364</v>
      </c>
      <c r="L917">
        <f>_xlfn.XLOOKUP(K917, CCF!B:B, CCF!C:C)</f>
        <v>59999</v>
      </c>
      <c r="M917" t="s">
        <v>50</v>
      </c>
    </row>
    <row r="918" spans="1:13" x14ac:dyDescent="0.3">
      <c r="A918">
        <v>917</v>
      </c>
      <c r="B918" t="s">
        <v>1580</v>
      </c>
      <c r="C918" s="3">
        <v>19281</v>
      </c>
      <c r="D918" t="s">
        <v>666</v>
      </c>
      <c r="E918">
        <v>69</v>
      </c>
      <c r="F918" s="1">
        <v>45423</v>
      </c>
      <c r="G918" s="1" t="str">
        <f>TEXT(Table1[[#This Row],[Enrollment date]], "mmm")</f>
        <v>May</v>
      </c>
      <c r="H918" t="s">
        <v>360</v>
      </c>
      <c r="I918" t="s">
        <v>665</v>
      </c>
      <c r="J918" t="str">
        <f>_xlfn.XLOOKUP(Table1[[#This Row],[Course ]], CCF!B:B, CCF!A:A)</f>
        <v>DA202</v>
      </c>
      <c r="K918" t="s">
        <v>363</v>
      </c>
      <c r="L918">
        <f>_xlfn.XLOOKUP(K918, CCF!B:B, CCF!C:C)</f>
        <v>79999</v>
      </c>
      <c r="M918" t="s">
        <v>496</v>
      </c>
    </row>
    <row r="919" spans="1:13" x14ac:dyDescent="0.3">
      <c r="A919">
        <v>918</v>
      </c>
      <c r="B919" t="s">
        <v>1581</v>
      </c>
      <c r="C919" s="3">
        <v>13245</v>
      </c>
      <c r="D919" t="s">
        <v>667</v>
      </c>
      <c r="E919">
        <v>33</v>
      </c>
      <c r="F919" s="1">
        <v>45423</v>
      </c>
      <c r="G919" s="1" t="str">
        <f>TEXT(Table1[[#This Row],[Enrollment date]], "mmm")</f>
        <v>May</v>
      </c>
      <c r="H919" t="s">
        <v>360</v>
      </c>
      <c r="I919" t="s">
        <v>661</v>
      </c>
      <c r="J919" t="str">
        <f>_xlfn.XLOOKUP(Table1[[#This Row],[Course ]], CCF!B:B, CCF!A:A)</f>
        <v>DM101</v>
      </c>
      <c r="K919" t="s">
        <v>365</v>
      </c>
      <c r="L919">
        <f>_xlfn.XLOOKUP(K919, CCF!B:B, CCF!C:C)</f>
        <v>85499</v>
      </c>
      <c r="M919" t="s">
        <v>238</v>
      </c>
    </row>
    <row r="920" spans="1:13" x14ac:dyDescent="0.3">
      <c r="A920">
        <v>919</v>
      </c>
      <c r="B920" t="s">
        <v>1582</v>
      </c>
      <c r="C920" s="3">
        <v>56963</v>
      </c>
      <c r="D920" t="s">
        <v>666</v>
      </c>
      <c r="E920">
        <v>29</v>
      </c>
      <c r="F920" s="1">
        <v>45423</v>
      </c>
      <c r="G920" s="1" t="str">
        <f>TEXT(Table1[[#This Row],[Enrollment date]], "mmm")</f>
        <v>May</v>
      </c>
      <c r="H920" t="s">
        <v>360</v>
      </c>
      <c r="I920" t="s">
        <v>662</v>
      </c>
      <c r="J920" t="str">
        <f>_xlfn.XLOOKUP(Table1[[#This Row],[Course ]], CCF!B:B, CCF!A:A)</f>
        <v>DM101</v>
      </c>
      <c r="K920" t="s">
        <v>365</v>
      </c>
      <c r="L920">
        <f>_xlfn.XLOOKUP(K920, CCF!B:B, CCF!C:C)</f>
        <v>85499</v>
      </c>
      <c r="M920" t="s">
        <v>33</v>
      </c>
    </row>
    <row r="921" spans="1:13" x14ac:dyDescent="0.3">
      <c r="A921">
        <v>920</v>
      </c>
      <c r="B921" t="s">
        <v>1583</v>
      </c>
      <c r="C921" s="3">
        <v>12155</v>
      </c>
      <c r="D921" t="s">
        <v>666</v>
      </c>
      <c r="E921">
        <v>67</v>
      </c>
      <c r="F921" s="1">
        <v>45424</v>
      </c>
      <c r="G921" s="1" t="str">
        <f>TEXT(Table1[[#This Row],[Enrollment date]], "mmm")</f>
        <v>May</v>
      </c>
      <c r="H921" t="s">
        <v>360</v>
      </c>
      <c r="I921" t="s">
        <v>665</v>
      </c>
      <c r="J921" t="str">
        <f>_xlfn.XLOOKUP(Table1[[#This Row],[Course ]], CCF!B:B, CCF!A:A)</f>
        <v>DM101</v>
      </c>
      <c r="K921" t="s">
        <v>365</v>
      </c>
      <c r="L921">
        <f>_xlfn.XLOOKUP(K921, CCF!B:B, CCF!C:C)</f>
        <v>85499</v>
      </c>
      <c r="M921" t="s">
        <v>289</v>
      </c>
    </row>
    <row r="922" spans="1:13" x14ac:dyDescent="0.3">
      <c r="A922">
        <v>921</v>
      </c>
      <c r="B922" t="s">
        <v>1584</v>
      </c>
      <c r="C922" s="3">
        <v>87733</v>
      </c>
      <c r="D922" t="s">
        <v>666</v>
      </c>
      <c r="E922">
        <v>33</v>
      </c>
      <c r="F922" s="1">
        <v>45424</v>
      </c>
      <c r="G922" s="1" t="str">
        <f>TEXT(Table1[[#This Row],[Enrollment date]], "mmm")</f>
        <v>May</v>
      </c>
      <c r="H922" t="s">
        <v>360</v>
      </c>
      <c r="I922" t="s">
        <v>660</v>
      </c>
      <c r="J922" t="str">
        <f>_xlfn.XLOOKUP(Table1[[#This Row],[Course ]], CCF!B:B, CCF!A:A)</f>
        <v>CC002</v>
      </c>
      <c r="K922" t="s">
        <v>658</v>
      </c>
      <c r="L922">
        <f>_xlfn.XLOOKUP(K922, CCF!B:B, CCF!C:C)</f>
        <v>99990</v>
      </c>
      <c r="M922" t="s">
        <v>13</v>
      </c>
    </row>
    <row r="923" spans="1:13" x14ac:dyDescent="0.3">
      <c r="A923">
        <v>922</v>
      </c>
      <c r="B923" t="s">
        <v>1585</v>
      </c>
      <c r="C923" s="3">
        <v>71983</v>
      </c>
      <c r="D923" t="s">
        <v>666</v>
      </c>
      <c r="E923">
        <v>37</v>
      </c>
      <c r="F923" s="1">
        <v>45424</v>
      </c>
      <c r="G923" s="1" t="str">
        <f>TEXT(Table1[[#This Row],[Enrollment date]], "mmm")</f>
        <v>May</v>
      </c>
      <c r="H923" t="s">
        <v>360</v>
      </c>
      <c r="I923" t="s">
        <v>661</v>
      </c>
      <c r="J923" t="str">
        <f>_xlfn.XLOOKUP(Table1[[#This Row],[Course ]], CCF!B:B, CCF!A:A)</f>
        <v>FSD103</v>
      </c>
      <c r="K923" t="s">
        <v>366</v>
      </c>
      <c r="L923">
        <f>_xlfn.XLOOKUP(K923, CCF!B:B, CCF!C:C)</f>
        <v>109990</v>
      </c>
      <c r="M923" t="s">
        <v>240</v>
      </c>
    </row>
    <row r="924" spans="1:13" x14ac:dyDescent="0.3">
      <c r="A924">
        <v>923</v>
      </c>
      <c r="B924" t="s">
        <v>1586</v>
      </c>
      <c r="C924" s="3">
        <v>65862</v>
      </c>
      <c r="D924" t="s">
        <v>666</v>
      </c>
      <c r="E924">
        <v>43</v>
      </c>
      <c r="F924" s="1">
        <v>45424</v>
      </c>
      <c r="G924" s="1" t="str">
        <f>TEXT(Table1[[#This Row],[Enrollment date]], "mmm")</f>
        <v>May</v>
      </c>
      <c r="H924" t="s">
        <v>360</v>
      </c>
      <c r="I924" t="s">
        <v>661</v>
      </c>
      <c r="J924" t="str">
        <f>_xlfn.XLOOKUP(Table1[[#This Row],[Course ]], CCF!B:B, CCF!A:A)</f>
        <v>DA202</v>
      </c>
      <c r="K924" t="s">
        <v>363</v>
      </c>
      <c r="L924">
        <f>_xlfn.XLOOKUP(K924, CCF!B:B, CCF!C:C)</f>
        <v>79999</v>
      </c>
      <c r="M924" t="s">
        <v>65</v>
      </c>
    </row>
    <row r="925" spans="1:13" x14ac:dyDescent="0.3">
      <c r="A925">
        <v>924</v>
      </c>
      <c r="B925" t="s">
        <v>1587</v>
      </c>
      <c r="C925" s="3">
        <v>23134</v>
      </c>
      <c r="D925" t="s">
        <v>667</v>
      </c>
      <c r="E925">
        <v>27</v>
      </c>
      <c r="F925" s="1">
        <v>45424</v>
      </c>
      <c r="G925" s="1" t="str">
        <f>TEXT(Table1[[#This Row],[Enrollment date]], "mmm")</f>
        <v>May</v>
      </c>
      <c r="H925" t="s">
        <v>360</v>
      </c>
      <c r="I925" t="s">
        <v>660</v>
      </c>
      <c r="J925" t="str">
        <f>_xlfn.XLOOKUP(Table1[[#This Row],[Course ]], CCF!B:B, CCF!A:A)</f>
        <v>BA301</v>
      </c>
      <c r="K925" t="s">
        <v>364</v>
      </c>
      <c r="L925">
        <f>_xlfn.XLOOKUP(K925, CCF!B:B, CCF!C:C)</f>
        <v>59999</v>
      </c>
      <c r="M925" t="s">
        <v>75</v>
      </c>
    </row>
    <row r="926" spans="1:13" x14ac:dyDescent="0.3">
      <c r="A926">
        <v>925</v>
      </c>
      <c r="B926" t="s">
        <v>1588</v>
      </c>
      <c r="C926" s="3">
        <v>25705</v>
      </c>
      <c r="D926" t="s">
        <v>666</v>
      </c>
      <c r="E926">
        <v>42</v>
      </c>
      <c r="F926" s="1">
        <v>45425</v>
      </c>
      <c r="G926" s="1" t="str">
        <f>TEXT(Table1[[#This Row],[Enrollment date]], "mmm")</f>
        <v>May</v>
      </c>
      <c r="H926" t="s">
        <v>360</v>
      </c>
      <c r="I926" t="s">
        <v>665</v>
      </c>
      <c r="J926" t="str">
        <f>_xlfn.XLOOKUP(Table1[[#This Row],[Course ]], CCF!B:B, CCF!A:A)</f>
        <v>FSD103</v>
      </c>
      <c r="K926" t="s">
        <v>366</v>
      </c>
      <c r="L926">
        <f>_xlfn.XLOOKUP(K926, CCF!B:B, CCF!C:C)</f>
        <v>109990</v>
      </c>
      <c r="M926" t="s">
        <v>7</v>
      </c>
    </row>
    <row r="927" spans="1:13" x14ac:dyDescent="0.3">
      <c r="A927">
        <v>926</v>
      </c>
      <c r="B927" t="s">
        <v>1589</v>
      </c>
      <c r="C927" s="3">
        <v>56618</v>
      </c>
      <c r="D927" t="s">
        <v>666</v>
      </c>
      <c r="E927">
        <v>47</v>
      </c>
      <c r="F927" s="1">
        <v>45425</v>
      </c>
      <c r="G927" s="1" t="str">
        <f>TEXT(Table1[[#This Row],[Enrollment date]], "mmm")</f>
        <v>May</v>
      </c>
      <c r="H927" t="s">
        <v>360</v>
      </c>
      <c r="I927" t="s">
        <v>659</v>
      </c>
      <c r="J927" t="str">
        <f>_xlfn.XLOOKUP(Table1[[#This Row],[Course ]], CCF!B:B, CCF!A:A)</f>
        <v>FSD103</v>
      </c>
      <c r="K927" t="s">
        <v>366</v>
      </c>
      <c r="L927">
        <f>_xlfn.XLOOKUP(K927, CCF!B:B, CCF!C:C)</f>
        <v>109990</v>
      </c>
      <c r="M927" t="s">
        <v>30</v>
      </c>
    </row>
    <row r="928" spans="1:13" x14ac:dyDescent="0.3">
      <c r="A928">
        <v>927</v>
      </c>
      <c r="B928" t="s">
        <v>1590</v>
      </c>
      <c r="C928" s="3">
        <v>70157</v>
      </c>
      <c r="D928" t="s">
        <v>666</v>
      </c>
      <c r="E928">
        <v>28</v>
      </c>
      <c r="F928" s="1">
        <v>45425</v>
      </c>
      <c r="G928" s="1" t="str">
        <f>TEXT(Table1[[#This Row],[Enrollment date]], "mmm")</f>
        <v>May</v>
      </c>
      <c r="H928" t="s">
        <v>360</v>
      </c>
      <c r="I928" t="s">
        <v>660</v>
      </c>
      <c r="J928" t="str">
        <f>_xlfn.XLOOKUP(Table1[[#This Row],[Course ]], CCF!B:B, CCF!A:A)</f>
        <v>FSD103</v>
      </c>
      <c r="K928" t="s">
        <v>366</v>
      </c>
      <c r="L928">
        <f>_xlfn.XLOOKUP(K928, CCF!B:B, CCF!C:C)</f>
        <v>109990</v>
      </c>
      <c r="M928" t="s">
        <v>80</v>
      </c>
    </row>
    <row r="929" spans="1:13" x14ac:dyDescent="0.3">
      <c r="A929">
        <v>928</v>
      </c>
      <c r="B929" t="s">
        <v>1591</v>
      </c>
      <c r="C929" s="3">
        <v>50027</v>
      </c>
      <c r="D929" t="s">
        <v>666</v>
      </c>
      <c r="E929">
        <v>61</v>
      </c>
      <c r="F929" s="1">
        <v>45425</v>
      </c>
      <c r="G929" s="1" t="str">
        <f>TEXT(Table1[[#This Row],[Enrollment date]], "mmm")</f>
        <v>May</v>
      </c>
      <c r="H929" t="s">
        <v>360</v>
      </c>
      <c r="I929" t="s">
        <v>659</v>
      </c>
      <c r="J929" t="str">
        <f>_xlfn.XLOOKUP(Table1[[#This Row],[Course ]], CCF!B:B, CCF!A:A)</f>
        <v>DM101</v>
      </c>
      <c r="K929" t="s">
        <v>365</v>
      </c>
      <c r="L929">
        <f>_xlfn.XLOOKUP(K929, CCF!B:B, CCF!C:C)</f>
        <v>85499</v>
      </c>
      <c r="M929" t="s">
        <v>17</v>
      </c>
    </row>
    <row r="930" spans="1:13" x14ac:dyDescent="0.3">
      <c r="A930">
        <v>929</v>
      </c>
      <c r="B930" t="s">
        <v>1592</v>
      </c>
      <c r="C930" s="3">
        <v>81785</v>
      </c>
      <c r="D930" t="s">
        <v>666</v>
      </c>
      <c r="E930">
        <v>34</v>
      </c>
      <c r="F930" s="1">
        <v>45425</v>
      </c>
      <c r="G930" s="1" t="str">
        <f>TEXT(Table1[[#This Row],[Enrollment date]], "mmm")</f>
        <v>May</v>
      </c>
      <c r="H930" t="s">
        <v>360</v>
      </c>
      <c r="I930" t="s">
        <v>659</v>
      </c>
      <c r="J930" t="str">
        <f>_xlfn.XLOOKUP(Table1[[#This Row],[Course ]], CCF!B:B, CCF!A:A)</f>
        <v>DA202</v>
      </c>
      <c r="K930" t="s">
        <v>363</v>
      </c>
      <c r="L930">
        <f>_xlfn.XLOOKUP(K930, CCF!B:B, CCF!C:C)</f>
        <v>79999</v>
      </c>
      <c r="M930" t="s">
        <v>126</v>
      </c>
    </row>
    <row r="931" spans="1:13" x14ac:dyDescent="0.3">
      <c r="A931">
        <v>930</v>
      </c>
      <c r="B931" t="s">
        <v>1593</v>
      </c>
      <c r="C931" s="3">
        <v>41942</v>
      </c>
      <c r="D931" t="s">
        <v>667</v>
      </c>
      <c r="E931">
        <v>38</v>
      </c>
      <c r="F931" s="1">
        <v>45425</v>
      </c>
      <c r="G931" s="1" t="str">
        <f>TEXT(Table1[[#This Row],[Enrollment date]], "mmm")</f>
        <v>May</v>
      </c>
      <c r="H931" t="s">
        <v>360</v>
      </c>
      <c r="I931" t="s">
        <v>664</v>
      </c>
      <c r="J931" t="str">
        <f>_xlfn.XLOOKUP(Table1[[#This Row],[Course ]], CCF!B:B, CCF!A:A)</f>
        <v>BA301</v>
      </c>
      <c r="K931" t="s">
        <v>364</v>
      </c>
      <c r="L931">
        <f>_xlfn.XLOOKUP(K931, CCF!B:B, CCF!C:C)</f>
        <v>59999</v>
      </c>
      <c r="M931" t="s">
        <v>134</v>
      </c>
    </row>
    <row r="932" spans="1:13" x14ac:dyDescent="0.3">
      <c r="A932">
        <v>931</v>
      </c>
      <c r="B932" t="s">
        <v>1594</v>
      </c>
      <c r="C932" s="3">
        <v>28991</v>
      </c>
      <c r="D932" t="s">
        <v>667</v>
      </c>
      <c r="E932">
        <v>41</v>
      </c>
      <c r="F932" s="1">
        <v>45425</v>
      </c>
      <c r="G932" s="1" t="str">
        <f>TEXT(Table1[[#This Row],[Enrollment date]], "mmm")</f>
        <v>May</v>
      </c>
      <c r="H932" t="s">
        <v>361</v>
      </c>
      <c r="I932" t="s">
        <v>660</v>
      </c>
      <c r="J932" t="str">
        <f>_xlfn.XLOOKUP(Table1[[#This Row],[Course ]], CCF!B:B, CCF!A:A)</f>
        <v>DA202</v>
      </c>
      <c r="K932" t="s">
        <v>363</v>
      </c>
      <c r="L932">
        <f>_xlfn.XLOOKUP(K932, CCF!B:B, CCF!C:C)</f>
        <v>79999</v>
      </c>
      <c r="M932" t="s">
        <v>18</v>
      </c>
    </row>
    <row r="933" spans="1:13" x14ac:dyDescent="0.3">
      <c r="A933">
        <v>932</v>
      </c>
      <c r="B933" t="s">
        <v>1595</v>
      </c>
      <c r="C933" s="3">
        <v>69646</v>
      </c>
      <c r="D933" t="s">
        <v>666</v>
      </c>
      <c r="E933">
        <v>43</v>
      </c>
      <c r="F933" s="1">
        <v>45426</v>
      </c>
      <c r="G933" s="1" t="str">
        <f>TEXT(Table1[[#This Row],[Enrollment date]], "mmm")</f>
        <v>May</v>
      </c>
      <c r="H933" t="s">
        <v>360</v>
      </c>
      <c r="I933" t="s">
        <v>660</v>
      </c>
      <c r="J933" t="str">
        <f>_xlfn.XLOOKUP(Table1[[#This Row],[Course ]], CCF!B:B, CCF!A:A)</f>
        <v>DM101</v>
      </c>
      <c r="K933" t="s">
        <v>365</v>
      </c>
      <c r="L933">
        <f>_xlfn.XLOOKUP(K933, CCF!B:B, CCF!C:C)</f>
        <v>85499</v>
      </c>
      <c r="M933" t="s">
        <v>497</v>
      </c>
    </row>
    <row r="934" spans="1:13" x14ac:dyDescent="0.3">
      <c r="A934">
        <v>933</v>
      </c>
      <c r="B934" t="s">
        <v>1596</v>
      </c>
      <c r="C934" s="3">
        <v>54198</v>
      </c>
      <c r="D934" t="s">
        <v>666</v>
      </c>
      <c r="E934">
        <v>35</v>
      </c>
      <c r="F934" s="1">
        <v>45426</v>
      </c>
      <c r="G934" s="1" t="str">
        <f>TEXT(Table1[[#This Row],[Enrollment date]], "mmm")</f>
        <v>May</v>
      </c>
      <c r="H934" t="s">
        <v>360</v>
      </c>
      <c r="I934" t="s">
        <v>661</v>
      </c>
      <c r="J934" t="str">
        <f>_xlfn.XLOOKUP(Table1[[#This Row],[Course ]], CCF!B:B, CCF!A:A)</f>
        <v>BA301</v>
      </c>
      <c r="K934" t="s">
        <v>364</v>
      </c>
      <c r="L934">
        <f>_xlfn.XLOOKUP(K934, CCF!B:B, CCF!C:C)</f>
        <v>59999</v>
      </c>
      <c r="M934" t="s">
        <v>27</v>
      </c>
    </row>
    <row r="935" spans="1:13" x14ac:dyDescent="0.3">
      <c r="A935">
        <v>934</v>
      </c>
      <c r="B935" t="s">
        <v>1597</v>
      </c>
      <c r="C935" s="3">
        <v>12611</v>
      </c>
      <c r="D935" t="s">
        <v>667</v>
      </c>
      <c r="E935">
        <v>46</v>
      </c>
      <c r="F935" s="1">
        <v>45426</v>
      </c>
      <c r="G935" s="1" t="str">
        <f>TEXT(Table1[[#This Row],[Enrollment date]], "mmm")</f>
        <v>May</v>
      </c>
      <c r="H935" t="s">
        <v>360</v>
      </c>
      <c r="I935" t="s">
        <v>660</v>
      </c>
      <c r="J935" t="str">
        <f>_xlfn.XLOOKUP(Table1[[#This Row],[Course ]], CCF!B:B, CCF!A:A)</f>
        <v>DA202</v>
      </c>
      <c r="K935" t="s">
        <v>363</v>
      </c>
      <c r="L935">
        <f>_xlfn.XLOOKUP(K935, CCF!B:B, CCF!C:C)</f>
        <v>79999</v>
      </c>
      <c r="M935" t="s">
        <v>13</v>
      </c>
    </row>
    <row r="936" spans="1:13" x14ac:dyDescent="0.3">
      <c r="A936">
        <v>935</v>
      </c>
      <c r="B936" t="s">
        <v>1598</v>
      </c>
      <c r="C936" s="3">
        <v>22407</v>
      </c>
      <c r="D936" t="s">
        <v>666</v>
      </c>
      <c r="E936">
        <v>43</v>
      </c>
      <c r="F936" s="1">
        <v>45426</v>
      </c>
      <c r="G936" s="1" t="str">
        <f>TEXT(Table1[[#This Row],[Enrollment date]], "mmm")</f>
        <v>May</v>
      </c>
      <c r="H936" t="s">
        <v>360</v>
      </c>
      <c r="I936" t="s">
        <v>661</v>
      </c>
      <c r="J936" t="str">
        <f>_xlfn.XLOOKUP(Table1[[#This Row],[Course ]], CCF!B:B, CCF!A:A)</f>
        <v>DA202</v>
      </c>
      <c r="K936" t="s">
        <v>363</v>
      </c>
      <c r="L936">
        <f>_xlfn.XLOOKUP(K936, CCF!B:B, CCF!C:C)</f>
        <v>79999</v>
      </c>
      <c r="M936" t="s">
        <v>6</v>
      </c>
    </row>
    <row r="937" spans="1:13" x14ac:dyDescent="0.3">
      <c r="A937">
        <v>936</v>
      </c>
      <c r="B937" t="s">
        <v>1599</v>
      </c>
      <c r="C937" s="3">
        <v>18821</v>
      </c>
      <c r="D937" t="s">
        <v>666</v>
      </c>
      <c r="E937">
        <v>53</v>
      </c>
      <c r="F937" s="1">
        <v>45426</v>
      </c>
      <c r="G937" s="1" t="str">
        <f>TEXT(Table1[[#This Row],[Enrollment date]], "mmm")</f>
        <v>May</v>
      </c>
      <c r="H937" t="s">
        <v>360</v>
      </c>
      <c r="I937" t="s">
        <v>659</v>
      </c>
      <c r="J937" t="str">
        <f>_xlfn.XLOOKUP(Table1[[#This Row],[Course ]], CCF!B:B, CCF!A:A)</f>
        <v>DA202</v>
      </c>
      <c r="K937" t="s">
        <v>363</v>
      </c>
      <c r="L937">
        <f>_xlfn.XLOOKUP(K937, CCF!B:B, CCF!C:C)</f>
        <v>79999</v>
      </c>
      <c r="M937" t="s">
        <v>16</v>
      </c>
    </row>
    <row r="938" spans="1:13" x14ac:dyDescent="0.3">
      <c r="A938">
        <v>937</v>
      </c>
      <c r="B938" t="s">
        <v>1600</v>
      </c>
      <c r="C938" s="3">
        <v>88013</v>
      </c>
      <c r="D938" t="s">
        <v>667</v>
      </c>
      <c r="E938">
        <v>26</v>
      </c>
      <c r="F938" s="1">
        <v>45426</v>
      </c>
      <c r="G938" s="1" t="str">
        <f>TEXT(Table1[[#This Row],[Enrollment date]], "mmm")</f>
        <v>May</v>
      </c>
      <c r="H938" t="s">
        <v>360</v>
      </c>
      <c r="I938" t="s">
        <v>662</v>
      </c>
      <c r="J938" t="str">
        <f>_xlfn.XLOOKUP(Table1[[#This Row],[Course ]], CCF!B:B, CCF!A:A)</f>
        <v>UX401</v>
      </c>
      <c r="K938" t="s">
        <v>367</v>
      </c>
      <c r="L938">
        <f>_xlfn.XLOOKUP(K938, CCF!B:B, CCF!C:C)</f>
        <v>67990</v>
      </c>
      <c r="M938" t="s">
        <v>38</v>
      </c>
    </row>
    <row r="939" spans="1:13" x14ac:dyDescent="0.3">
      <c r="A939">
        <v>938</v>
      </c>
      <c r="B939" t="s">
        <v>1601</v>
      </c>
      <c r="C939" s="3">
        <v>80904</v>
      </c>
      <c r="D939" t="s">
        <v>666</v>
      </c>
      <c r="E939">
        <v>20</v>
      </c>
      <c r="F939" s="1">
        <v>45426</v>
      </c>
      <c r="G939" s="1" t="str">
        <f>TEXT(Table1[[#This Row],[Enrollment date]], "mmm")</f>
        <v>May</v>
      </c>
      <c r="H939" t="s">
        <v>360</v>
      </c>
      <c r="I939" t="s">
        <v>659</v>
      </c>
      <c r="J939" t="str">
        <f>_xlfn.XLOOKUP(Table1[[#This Row],[Course ]], CCF!B:B, CCF!A:A)</f>
        <v>BA301</v>
      </c>
      <c r="K939" t="s">
        <v>364</v>
      </c>
      <c r="L939">
        <f>_xlfn.XLOOKUP(K939, CCF!B:B, CCF!C:C)</f>
        <v>59999</v>
      </c>
      <c r="M939" t="s">
        <v>16</v>
      </c>
    </row>
    <row r="940" spans="1:13" x14ac:dyDescent="0.3">
      <c r="A940">
        <v>939</v>
      </c>
      <c r="B940" t="s">
        <v>1602</v>
      </c>
      <c r="C940" s="3">
        <v>21816</v>
      </c>
      <c r="D940" t="s">
        <v>667</v>
      </c>
      <c r="E940">
        <v>54</v>
      </c>
      <c r="F940" s="1">
        <v>45426</v>
      </c>
      <c r="G940" s="1" t="str">
        <f>TEXT(Table1[[#This Row],[Enrollment date]], "mmm")</f>
        <v>May</v>
      </c>
      <c r="H940" t="s">
        <v>360</v>
      </c>
      <c r="I940" t="s">
        <v>659</v>
      </c>
      <c r="J940" t="str">
        <f>_xlfn.XLOOKUP(Table1[[#This Row],[Course ]], CCF!B:B, CCF!A:A)</f>
        <v>DM101</v>
      </c>
      <c r="K940" t="s">
        <v>365</v>
      </c>
      <c r="L940">
        <f>_xlfn.XLOOKUP(K940, CCF!B:B, CCF!C:C)</f>
        <v>85499</v>
      </c>
      <c r="M940" t="s">
        <v>18</v>
      </c>
    </row>
    <row r="941" spans="1:13" x14ac:dyDescent="0.3">
      <c r="A941">
        <v>940</v>
      </c>
      <c r="B941" t="s">
        <v>1603</v>
      </c>
      <c r="C941" s="3">
        <v>98156</v>
      </c>
      <c r="D941" t="s">
        <v>666</v>
      </c>
      <c r="E941">
        <v>46</v>
      </c>
      <c r="F941" s="1">
        <v>45427</v>
      </c>
      <c r="G941" s="1" t="str">
        <f>TEXT(Table1[[#This Row],[Enrollment date]], "mmm")</f>
        <v>May</v>
      </c>
      <c r="H941" t="s">
        <v>360</v>
      </c>
      <c r="I941" t="s">
        <v>659</v>
      </c>
      <c r="J941" t="str">
        <f>_xlfn.XLOOKUP(Table1[[#This Row],[Course ]], CCF!B:B, CCF!A:A)</f>
        <v>DM101</v>
      </c>
      <c r="K941" t="s">
        <v>365</v>
      </c>
      <c r="L941">
        <f>_xlfn.XLOOKUP(K941, CCF!B:B, CCF!C:C)</f>
        <v>85499</v>
      </c>
      <c r="M941" t="s">
        <v>71</v>
      </c>
    </row>
    <row r="942" spans="1:13" x14ac:dyDescent="0.3">
      <c r="A942">
        <v>941</v>
      </c>
      <c r="B942" t="s">
        <v>1604</v>
      </c>
      <c r="C942" s="3">
        <v>55362</v>
      </c>
      <c r="D942" t="s">
        <v>667</v>
      </c>
      <c r="E942">
        <v>23</v>
      </c>
      <c r="F942" s="1">
        <v>45427</v>
      </c>
      <c r="G942" s="1" t="str">
        <f>TEXT(Table1[[#This Row],[Enrollment date]], "mmm")</f>
        <v>May</v>
      </c>
      <c r="H942" t="s">
        <v>360</v>
      </c>
      <c r="I942" t="s">
        <v>659</v>
      </c>
      <c r="J942" t="str">
        <f>_xlfn.XLOOKUP(Table1[[#This Row],[Course ]], CCF!B:B, CCF!A:A)</f>
        <v>DM101</v>
      </c>
      <c r="K942" t="s">
        <v>365</v>
      </c>
      <c r="L942">
        <f>_xlfn.XLOOKUP(K942, CCF!B:B, CCF!C:C)</f>
        <v>85499</v>
      </c>
      <c r="M942" t="s">
        <v>9</v>
      </c>
    </row>
    <row r="943" spans="1:13" x14ac:dyDescent="0.3">
      <c r="A943">
        <v>942</v>
      </c>
      <c r="B943" t="s">
        <v>1605</v>
      </c>
      <c r="C943" s="3">
        <v>54561</v>
      </c>
      <c r="D943" t="s">
        <v>667</v>
      </c>
      <c r="E943">
        <v>40</v>
      </c>
      <c r="F943" s="1">
        <v>45427</v>
      </c>
      <c r="G943" s="1" t="str">
        <f>TEXT(Table1[[#This Row],[Enrollment date]], "mmm")</f>
        <v>May</v>
      </c>
      <c r="H943" t="s">
        <v>361</v>
      </c>
      <c r="I943" t="s">
        <v>661</v>
      </c>
      <c r="J943" t="str">
        <f>_xlfn.XLOOKUP(Table1[[#This Row],[Course ]], CCF!B:B, CCF!A:A)</f>
        <v>DM101</v>
      </c>
      <c r="K943" t="s">
        <v>365</v>
      </c>
      <c r="L943">
        <f>_xlfn.XLOOKUP(K943, CCF!B:B, CCF!C:C)</f>
        <v>85499</v>
      </c>
      <c r="M943" t="s">
        <v>90</v>
      </c>
    </row>
    <row r="944" spans="1:13" x14ac:dyDescent="0.3">
      <c r="A944">
        <v>943</v>
      </c>
      <c r="B944" t="s">
        <v>1606</v>
      </c>
      <c r="C944" s="3">
        <v>46511</v>
      </c>
      <c r="D944" t="s">
        <v>667</v>
      </c>
      <c r="E944">
        <v>44</v>
      </c>
      <c r="F944" s="1">
        <v>45427</v>
      </c>
      <c r="G944" s="1" t="str">
        <f>TEXT(Table1[[#This Row],[Enrollment date]], "mmm")</f>
        <v>May</v>
      </c>
      <c r="H944" t="s">
        <v>360</v>
      </c>
      <c r="I944" t="s">
        <v>659</v>
      </c>
      <c r="J944" t="str">
        <f>_xlfn.XLOOKUP(Table1[[#This Row],[Course ]], CCF!B:B, CCF!A:A)</f>
        <v>DM101</v>
      </c>
      <c r="K944" t="s">
        <v>365</v>
      </c>
      <c r="L944">
        <f>_xlfn.XLOOKUP(K944, CCF!B:B, CCF!C:C)</f>
        <v>85499</v>
      </c>
      <c r="M944" t="s">
        <v>13</v>
      </c>
    </row>
    <row r="945" spans="1:13" x14ac:dyDescent="0.3">
      <c r="A945">
        <v>944</v>
      </c>
      <c r="B945" t="s">
        <v>1607</v>
      </c>
      <c r="C945" s="3">
        <v>43814</v>
      </c>
      <c r="D945" t="s">
        <v>666</v>
      </c>
      <c r="E945">
        <v>46</v>
      </c>
      <c r="F945" s="1">
        <v>45427</v>
      </c>
      <c r="G945" s="1" t="str">
        <f>TEXT(Table1[[#This Row],[Enrollment date]], "mmm")</f>
        <v>May</v>
      </c>
      <c r="H945" t="s">
        <v>360</v>
      </c>
      <c r="I945" t="s">
        <v>664</v>
      </c>
      <c r="J945" t="str">
        <f>_xlfn.XLOOKUP(Table1[[#This Row],[Course ]], CCF!B:B, CCF!A:A)</f>
        <v>DM101</v>
      </c>
      <c r="K945" t="s">
        <v>365</v>
      </c>
      <c r="L945">
        <f>_xlfn.XLOOKUP(K945, CCF!B:B, CCF!C:C)</f>
        <v>85499</v>
      </c>
      <c r="M945" t="s">
        <v>175</v>
      </c>
    </row>
    <row r="946" spans="1:13" x14ac:dyDescent="0.3">
      <c r="A946">
        <v>945</v>
      </c>
      <c r="B946" t="s">
        <v>1608</v>
      </c>
      <c r="C946" s="3">
        <v>87602</v>
      </c>
      <c r="D946" t="s">
        <v>666</v>
      </c>
      <c r="E946">
        <v>43</v>
      </c>
      <c r="F946" s="1">
        <v>45427</v>
      </c>
      <c r="G946" s="1" t="str">
        <f>TEXT(Table1[[#This Row],[Enrollment date]], "mmm")</f>
        <v>May</v>
      </c>
      <c r="H946" t="s">
        <v>3</v>
      </c>
      <c r="I946" t="s">
        <v>663</v>
      </c>
      <c r="J946" t="str">
        <f>_xlfn.XLOOKUP(Table1[[#This Row],[Course ]], CCF!B:B, CCF!A:A)</f>
        <v>DA202</v>
      </c>
      <c r="K946" t="s">
        <v>363</v>
      </c>
      <c r="L946">
        <f>_xlfn.XLOOKUP(K946, CCF!B:B, CCF!C:C)</f>
        <v>79999</v>
      </c>
      <c r="M946" t="s">
        <v>159</v>
      </c>
    </row>
    <row r="947" spans="1:13" x14ac:dyDescent="0.3">
      <c r="A947">
        <v>946</v>
      </c>
      <c r="B947" t="s">
        <v>1609</v>
      </c>
      <c r="C947" s="3">
        <v>30303</v>
      </c>
      <c r="D947" t="s">
        <v>666</v>
      </c>
      <c r="E947">
        <v>62</v>
      </c>
      <c r="F947" s="1">
        <v>45427</v>
      </c>
      <c r="G947" s="1" t="str">
        <f>TEXT(Table1[[#This Row],[Enrollment date]], "mmm")</f>
        <v>May</v>
      </c>
      <c r="H947" t="s">
        <v>360</v>
      </c>
      <c r="I947" t="s">
        <v>661</v>
      </c>
      <c r="J947" t="str">
        <f>_xlfn.XLOOKUP(Table1[[#This Row],[Course ]], CCF!B:B, CCF!A:A)</f>
        <v>FSD103</v>
      </c>
      <c r="K947" t="s">
        <v>366</v>
      </c>
      <c r="L947">
        <f>_xlfn.XLOOKUP(K947, CCF!B:B, CCF!C:C)</f>
        <v>109990</v>
      </c>
      <c r="M947" t="s">
        <v>9</v>
      </c>
    </row>
    <row r="948" spans="1:13" x14ac:dyDescent="0.3">
      <c r="A948">
        <v>947</v>
      </c>
      <c r="B948" t="s">
        <v>1610</v>
      </c>
      <c r="C948" s="3">
        <v>89256</v>
      </c>
      <c r="D948" t="s">
        <v>667</v>
      </c>
      <c r="E948">
        <v>39</v>
      </c>
      <c r="F948" s="1">
        <v>45427</v>
      </c>
      <c r="G948" s="1" t="str">
        <f>TEXT(Table1[[#This Row],[Enrollment date]], "mmm")</f>
        <v>May</v>
      </c>
      <c r="H948" t="s">
        <v>360</v>
      </c>
      <c r="I948" t="s">
        <v>662</v>
      </c>
      <c r="J948" t="str">
        <f>_xlfn.XLOOKUP(Table1[[#This Row],[Course ]], CCF!B:B, CCF!A:A)</f>
        <v>BA301</v>
      </c>
      <c r="K948" t="s">
        <v>364</v>
      </c>
      <c r="L948">
        <f>_xlfn.XLOOKUP(K948, CCF!B:B, CCF!C:C)</f>
        <v>59999</v>
      </c>
      <c r="M948" t="s">
        <v>185</v>
      </c>
    </row>
    <row r="949" spans="1:13" x14ac:dyDescent="0.3">
      <c r="A949">
        <v>948</v>
      </c>
      <c r="B949" t="s">
        <v>1611</v>
      </c>
      <c r="C949" s="3">
        <v>25322</v>
      </c>
      <c r="D949" t="s">
        <v>666</v>
      </c>
      <c r="E949">
        <v>42</v>
      </c>
      <c r="F949" s="1">
        <v>45427</v>
      </c>
      <c r="G949" s="1" t="str">
        <f>TEXT(Table1[[#This Row],[Enrollment date]], "mmm")</f>
        <v>May</v>
      </c>
      <c r="H949" t="s">
        <v>360</v>
      </c>
      <c r="I949" t="s">
        <v>660</v>
      </c>
      <c r="J949" t="str">
        <f>_xlfn.XLOOKUP(Table1[[#This Row],[Course ]], CCF!B:B, CCF!A:A)</f>
        <v>DM101</v>
      </c>
      <c r="K949" t="s">
        <v>365</v>
      </c>
      <c r="L949">
        <f>_xlfn.XLOOKUP(K949, CCF!B:B, CCF!C:C)</f>
        <v>85499</v>
      </c>
      <c r="M949" t="s">
        <v>16</v>
      </c>
    </row>
    <row r="950" spans="1:13" x14ac:dyDescent="0.3">
      <c r="A950">
        <v>949</v>
      </c>
      <c r="B950" t="s">
        <v>1612</v>
      </c>
      <c r="C950" s="3">
        <v>35923</v>
      </c>
      <c r="D950" t="s">
        <v>667</v>
      </c>
      <c r="E950">
        <v>62</v>
      </c>
      <c r="F950" s="1">
        <v>45427</v>
      </c>
      <c r="G950" s="1" t="str">
        <f>TEXT(Table1[[#This Row],[Enrollment date]], "mmm")</f>
        <v>May</v>
      </c>
      <c r="H950" t="s">
        <v>360</v>
      </c>
      <c r="I950" t="s">
        <v>660</v>
      </c>
      <c r="J950" t="str">
        <f>_xlfn.XLOOKUP(Table1[[#This Row],[Course ]], CCF!B:B, CCF!A:A)</f>
        <v>DM101</v>
      </c>
      <c r="K950" t="s">
        <v>365</v>
      </c>
      <c r="L950">
        <f>_xlfn.XLOOKUP(K950, CCF!B:B, CCF!C:C)</f>
        <v>85499</v>
      </c>
      <c r="M950" t="s">
        <v>112</v>
      </c>
    </row>
    <row r="951" spans="1:13" x14ac:dyDescent="0.3">
      <c r="A951">
        <v>950</v>
      </c>
      <c r="B951" t="s">
        <v>1613</v>
      </c>
      <c r="C951" s="3">
        <v>85599</v>
      </c>
      <c r="D951" t="s">
        <v>666</v>
      </c>
      <c r="E951">
        <v>29</v>
      </c>
      <c r="F951" s="1">
        <v>45428</v>
      </c>
      <c r="G951" s="1" t="str">
        <f>TEXT(Table1[[#This Row],[Enrollment date]], "mmm")</f>
        <v>May</v>
      </c>
      <c r="H951" t="s">
        <v>360</v>
      </c>
      <c r="I951" t="s">
        <v>661</v>
      </c>
      <c r="J951" t="str">
        <f>_xlfn.XLOOKUP(Table1[[#This Row],[Course ]], CCF!B:B, CCF!A:A)</f>
        <v>DM101</v>
      </c>
      <c r="K951" t="s">
        <v>365</v>
      </c>
      <c r="L951">
        <f>_xlfn.XLOOKUP(K951, CCF!B:B, CCF!C:C)</f>
        <v>85499</v>
      </c>
      <c r="M951" t="s">
        <v>174</v>
      </c>
    </row>
    <row r="952" spans="1:13" x14ac:dyDescent="0.3">
      <c r="A952">
        <v>951</v>
      </c>
      <c r="B952" t="s">
        <v>1614</v>
      </c>
      <c r="C952" s="3">
        <v>33670</v>
      </c>
      <c r="D952" t="s">
        <v>666</v>
      </c>
      <c r="E952">
        <v>44</v>
      </c>
      <c r="F952" s="1">
        <v>45428</v>
      </c>
      <c r="G952" s="1" t="str">
        <f>TEXT(Table1[[#This Row],[Enrollment date]], "mmm")</f>
        <v>May</v>
      </c>
      <c r="H952" t="s">
        <v>360</v>
      </c>
      <c r="I952" t="s">
        <v>663</v>
      </c>
      <c r="J952" t="str">
        <f>_xlfn.XLOOKUP(Table1[[#This Row],[Course ]], CCF!B:B, CCF!A:A)</f>
        <v>DM101</v>
      </c>
      <c r="K952" t="s">
        <v>365</v>
      </c>
      <c r="L952">
        <f>_xlfn.XLOOKUP(K952, CCF!B:B, CCF!C:C)</f>
        <v>85499</v>
      </c>
      <c r="M952" t="s">
        <v>267</v>
      </c>
    </row>
    <row r="953" spans="1:13" x14ac:dyDescent="0.3">
      <c r="A953">
        <v>952</v>
      </c>
      <c r="B953" t="s">
        <v>1615</v>
      </c>
      <c r="C953" s="3">
        <v>71047</v>
      </c>
      <c r="D953" t="s">
        <v>666</v>
      </c>
      <c r="E953">
        <v>48</v>
      </c>
      <c r="F953" s="1">
        <v>45428</v>
      </c>
      <c r="G953" s="1" t="str">
        <f>TEXT(Table1[[#This Row],[Enrollment date]], "mmm")</f>
        <v>May</v>
      </c>
      <c r="H953" t="s">
        <v>360</v>
      </c>
      <c r="I953" t="s">
        <v>660</v>
      </c>
      <c r="J953" t="str">
        <f>_xlfn.XLOOKUP(Table1[[#This Row],[Course ]], CCF!B:B, CCF!A:A)</f>
        <v>BA301</v>
      </c>
      <c r="K953" t="s">
        <v>364</v>
      </c>
      <c r="L953">
        <f>_xlfn.XLOOKUP(K953, CCF!B:B, CCF!C:C)</f>
        <v>59999</v>
      </c>
      <c r="M953" t="s">
        <v>9</v>
      </c>
    </row>
    <row r="954" spans="1:13" x14ac:dyDescent="0.3">
      <c r="A954">
        <v>953</v>
      </c>
      <c r="B954" t="s">
        <v>1616</v>
      </c>
      <c r="C954" s="3">
        <v>24056</v>
      </c>
      <c r="D954" t="s">
        <v>666</v>
      </c>
      <c r="E954">
        <v>78</v>
      </c>
      <c r="F954" s="1">
        <v>45428</v>
      </c>
      <c r="G954" s="1" t="str">
        <f>TEXT(Table1[[#This Row],[Enrollment date]], "mmm")</f>
        <v>May</v>
      </c>
      <c r="H954" t="s">
        <v>360</v>
      </c>
      <c r="I954" t="s">
        <v>659</v>
      </c>
      <c r="J954" t="str">
        <f>_xlfn.XLOOKUP(Table1[[#This Row],[Course ]], CCF!B:B, CCF!A:A)</f>
        <v>DM101</v>
      </c>
      <c r="K954" t="s">
        <v>365</v>
      </c>
      <c r="L954">
        <f>_xlfn.XLOOKUP(K954, CCF!B:B, CCF!C:C)</f>
        <v>85499</v>
      </c>
      <c r="M954" t="s">
        <v>18</v>
      </c>
    </row>
    <row r="955" spans="1:13" x14ac:dyDescent="0.3">
      <c r="A955">
        <v>954</v>
      </c>
      <c r="B955" t="s">
        <v>1617</v>
      </c>
      <c r="C955" s="3">
        <v>10940</v>
      </c>
      <c r="D955" t="s">
        <v>666</v>
      </c>
      <c r="E955">
        <v>24</v>
      </c>
      <c r="F955" s="1">
        <v>45428</v>
      </c>
      <c r="G955" s="1" t="str">
        <f>TEXT(Table1[[#This Row],[Enrollment date]], "mmm")</f>
        <v>May</v>
      </c>
      <c r="H955" t="s">
        <v>360</v>
      </c>
      <c r="I955" t="s">
        <v>661</v>
      </c>
      <c r="J955" t="str">
        <f>_xlfn.XLOOKUP(Table1[[#This Row],[Course ]], CCF!B:B, CCF!A:A)</f>
        <v>DM101</v>
      </c>
      <c r="K955" t="s">
        <v>365</v>
      </c>
      <c r="L955">
        <f>_xlfn.XLOOKUP(K955, CCF!B:B, CCF!C:C)</f>
        <v>85499</v>
      </c>
      <c r="M955" t="s">
        <v>299</v>
      </c>
    </row>
    <row r="956" spans="1:13" x14ac:dyDescent="0.3">
      <c r="A956">
        <v>955</v>
      </c>
      <c r="B956" t="s">
        <v>1618</v>
      </c>
      <c r="C956" s="3">
        <v>87509</v>
      </c>
      <c r="D956" t="s">
        <v>667</v>
      </c>
      <c r="E956">
        <v>27</v>
      </c>
      <c r="F956" s="1">
        <v>45428</v>
      </c>
      <c r="G956" s="1" t="str">
        <f>TEXT(Table1[[#This Row],[Enrollment date]], "mmm")</f>
        <v>May</v>
      </c>
      <c r="H956" t="s">
        <v>360</v>
      </c>
      <c r="I956" t="s">
        <v>659</v>
      </c>
      <c r="J956" t="str">
        <f>_xlfn.XLOOKUP(Table1[[#This Row],[Course ]], CCF!B:B, CCF!A:A)</f>
        <v>BA301</v>
      </c>
      <c r="K956" t="s">
        <v>364</v>
      </c>
      <c r="L956">
        <f>_xlfn.XLOOKUP(K956, CCF!B:B, CCF!C:C)</f>
        <v>59999</v>
      </c>
      <c r="M956" t="s">
        <v>9</v>
      </c>
    </row>
    <row r="957" spans="1:13" x14ac:dyDescent="0.3">
      <c r="A957">
        <v>956</v>
      </c>
      <c r="B957" t="s">
        <v>1619</v>
      </c>
      <c r="C957" s="3">
        <v>74474</v>
      </c>
      <c r="D957" t="s">
        <v>666</v>
      </c>
      <c r="E957">
        <v>26</v>
      </c>
      <c r="F957" s="1">
        <v>45428</v>
      </c>
      <c r="G957" s="1" t="str">
        <f>TEXT(Table1[[#This Row],[Enrollment date]], "mmm")</f>
        <v>May</v>
      </c>
      <c r="H957" t="s">
        <v>360</v>
      </c>
      <c r="I957" t="s">
        <v>661</v>
      </c>
      <c r="J957" t="str">
        <f>_xlfn.XLOOKUP(Table1[[#This Row],[Course ]], CCF!B:B, CCF!A:A)</f>
        <v>DM101</v>
      </c>
      <c r="K957" t="s">
        <v>365</v>
      </c>
      <c r="L957">
        <f>_xlfn.XLOOKUP(K957, CCF!B:B, CCF!C:C)</f>
        <v>85499</v>
      </c>
      <c r="M957" t="s">
        <v>73</v>
      </c>
    </row>
    <row r="958" spans="1:13" x14ac:dyDescent="0.3">
      <c r="A958">
        <v>957</v>
      </c>
      <c r="B958" t="s">
        <v>1620</v>
      </c>
      <c r="C958" s="3">
        <v>93652</v>
      </c>
      <c r="D958" t="s">
        <v>666</v>
      </c>
      <c r="E958">
        <v>34</v>
      </c>
      <c r="F958" s="1">
        <v>45429</v>
      </c>
      <c r="G958" s="1" t="str">
        <f>TEXT(Table1[[#This Row],[Enrollment date]], "mmm")</f>
        <v>May</v>
      </c>
      <c r="H958" t="s">
        <v>360</v>
      </c>
      <c r="I958" t="s">
        <v>661</v>
      </c>
      <c r="J958" t="str">
        <f>_xlfn.XLOOKUP(Table1[[#This Row],[Course ]], CCF!B:B, CCF!A:A)</f>
        <v>DM101</v>
      </c>
      <c r="K958" t="s">
        <v>365</v>
      </c>
      <c r="L958">
        <f>_xlfn.XLOOKUP(K958, CCF!B:B, CCF!C:C)</f>
        <v>85499</v>
      </c>
      <c r="M958" t="s">
        <v>91</v>
      </c>
    </row>
    <row r="959" spans="1:13" x14ac:dyDescent="0.3">
      <c r="A959">
        <v>958</v>
      </c>
      <c r="B959" t="s">
        <v>1621</v>
      </c>
      <c r="C959" s="3">
        <v>68000</v>
      </c>
      <c r="D959" t="s">
        <v>666</v>
      </c>
      <c r="E959">
        <v>40</v>
      </c>
      <c r="F959" s="1">
        <v>45429</v>
      </c>
      <c r="G959" s="1" t="str">
        <f>TEXT(Table1[[#This Row],[Enrollment date]], "mmm")</f>
        <v>May</v>
      </c>
      <c r="H959" t="s">
        <v>360</v>
      </c>
      <c r="I959" t="s">
        <v>659</v>
      </c>
      <c r="J959" t="str">
        <f>_xlfn.XLOOKUP(Table1[[#This Row],[Course ]], CCF!B:B, CCF!A:A)</f>
        <v>DA202</v>
      </c>
      <c r="K959" t="s">
        <v>363</v>
      </c>
      <c r="L959">
        <f>_xlfn.XLOOKUP(K959, CCF!B:B, CCF!C:C)</f>
        <v>79999</v>
      </c>
      <c r="M959" t="s">
        <v>498</v>
      </c>
    </row>
    <row r="960" spans="1:13" x14ac:dyDescent="0.3">
      <c r="A960">
        <v>959</v>
      </c>
      <c r="B960" t="s">
        <v>1622</v>
      </c>
      <c r="C960" s="3">
        <v>19441</v>
      </c>
      <c r="D960" t="s">
        <v>666</v>
      </c>
      <c r="E960">
        <v>30</v>
      </c>
      <c r="F960" s="1">
        <v>45429</v>
      </c>
      <c r="G960" s="1" t="str">
        <f>TEXT(Table1[[#This Row],[Enrollment date]], "mmm")</f>
        <v>May</v>
      </c>
      <c r="H960" t="s">
        <v>360</v>
      </c>
      <c r="I960" t="s">
        <v>659</v>
      </c>
      <c r="J960" t="str">
        <f>_xlfn.XLOOKUP(Table1[[#This Row],[Course ]], CCF!B:B, CCF!A:A)</f>
        <v>DA202</v>
      </c>
      <c r="K960" t="s">
        <v>363</v>
      </c>
      <c r="L960">
        <f>_xlfn.XLOOKUP(K960, CCF!B:B, CCF!C:C)</f>
        <v>79999</v>
      </c>
      <c r="M960" t="s">
        <v>80</v>
      </c>
    </row>
    <row r="961" spans="1:13" x14ac:dyDescent="0.3">
      <c r="A961">
        <v>960</v>
      </c>
      <c r="B961" t="s">
        <v>1623</v>
      </c>
      <c r="C961" s="3">
        <v>80257</v>
      </c>
      <c r="D961" t="s">
        <v>666</v>
      </c>
      <c r="E961">
        <v>37</v>
      </c>
      <c r="F961" s="1">
        <v>45429</v>
      </c>
      <c r="G961" s="1" t="str">
        <f>TEXT(Table1[[#This Row],[Enrollment date]], "mmm")</f>
        <v>May</v>
      </c>
      <c r="H961" t="s">
        <v>360</v>
      </c>
      <c r="I961" t="s">
        <v>661</v>
      </c>
      <c r="J961" t="str">
        <f>_xlfn.XLOOKUP(Table1[[#This Row],[Course ]], CCF!B:B, CCF!A:A)</f>
        <v>DM101</v>
      </c>
      <c r="K961" t="s">
        <v>365</v>
      </c>
      <c r="L961">
        <f>_xlfn.XLOOKUP(K961, CCF!B:B, CCF!C:C)</f>
        <v>85499</v>
      </c>
      <c r="M961" t="s">
        <v>238</v>
      </c>
    </row>
    <row r="962" spans="1:13" x14ac:dyDescent="0.3">
      <c r="A962">
        <v>961</v>
      </c>
      <c r="B962" t="s">
        <v>1624</v>
      </c>
      <c r="C962" s="3">
        <v>85916</v>
      </c>
      <c r="D962" t="s">
        <v>666</v>
      </c>
      <c r="E962">
        <v>60</v>
      </c>
      <c r="F962" s="1">
        <v>45429</v>
      </c>
      <c r="G962" s="1" t="str">
        <f>TEXT(Table1[[#This Row],[Enrollment date]], "mmm")</f>
        <v>May</v>
      </c>
      <c r="H962" t="s">
        <v>360</v>
      </c>
      <c r="I962" t="s">
        <v>660</v>
      </c>
      <c r="J962" t="str">
        <f>_xlfn.XLOOKUP(Table1[[#This Row],[Course ]], CCF!B:B, CCF!A:A)</f>
        <v>DM101</v>
      </c>
      <c r="K962" t="s">
        <v>365</v>
      </c>
      <c r="L962">
        <f>_xlfn.XLOOKUP(K962, CCF!B:B, CCF!C:C)</f>
        <v>85499</v>
      </c>
      <c r="M962" t="s">
        <v>9</v>
      </c>
    </row>
    <row r="963" spans="1:13" x14ac:dyDescent="0.3">
      <c r="A963">
        <v>962</v>
      </c>
      <c r="B963" t="s">
        <v>1625</v>
      </c>
      <c r="C963" s="3">
        <v>85039</v>
      </c>
      <c r="D963" t="s">
        <v>666</v>
      </c>
      <c r="E963">
        <v>22</v>
      </c>
      <c r="F963" s="1">
        <v>45429</v>
      </c>
      <c r="G963" s="1" t="str">
        <f>TEXT(Table1[[#This Row],[Enrollment date]], "mmm")</f>
        <v>May</v>
      </c>
      <c r="H963" t="s">
        <v>360</v>
      </c>
      <c r="I963" t="s">
        <v>659</v>
      </c>
      <c r="J963" t="str">
        <f>_xlfn.XLOOKUP(Table1[[#This Row],[Course ]], CCF!B:B, CCF!A:A)</f>
        <v>DA202</v>
      </c>
      <c r="K963" t="s">
        <v>363</v>
      </c>
      <c r="L963">
        <f>_xlfn.XLOOKUP(K963, CCF!B:B, CCF!C:C)</f>
        <v>79999</v>
      </c>
      <c r="M963" t="s">
        <v>20</v>
      </c>
    </row>
    <row r="964" spans="1:13" x14ac:dyDescent="0.3">
      <c r="A964">
        <v>963</v>
      </c>
      <c r="B964" t="s">
        <v>1626</v>
      </c>
      <c r="C964" s="3">
        <v>31722</v>
      </c>
      <c r="D964" t="s">
        <v>666</v>
      </c>
      <c r="E964">
        <v>26</v>
      </c>
      <c r="F964" s="1">
        <v>45429</v>
      </c>
      <c r="G964" s="1" t="str">
        <f>TEXT(Table1[[#This Row],[Enrollment date]], "mmm")</f>
        <v>May</v>
      </c>
      <c r="H964" t="s">
        <v>360</v>
      </c>
      <c r="I964" t="s">
        <v>659</v>
      </c>
      <c r="J964" t="str">
        <f>_xlfn.XLOOKUP(Table1[[#This Row],[Course ]], CCF!B:B, CCF!A:A)</f>
        <v>DA202</v>
      </c>
      <c r="K964" t="s">
        <v>363</v>
      </c>
      <c r="L964">
        <f>_xlfn.XLOOKUP(K964, CCF!B:B, CCF!C:C)</f>
        <v>79999</v>
      </c>
      <c r="M964" t="s">
        <v>25</v>
      </c>
    </row>
    <row r="965" spans="1:13" x14ac:dyDescent="0.3">
      <c r="A965">
        <v>964</v>
      </c>
      <c r="B965" t="s">
        <v>1627</v>
      </c>
      <c r="C965" s="3">
        <v>56052</v>
      </c>
      <c r="D965" t="s">
        <v>666</v>
      </c>
      <c r="E965">
        <v>44</v>
      </c>
      <c r="F965" s="1">
        <v>45429</v>
      </c>
      <c r="G965" s="1" t="str">
        <f>TEXT(Table1[[#This Row],[Enrollment date]], "mmm")</f>
        <v>May</v>
      </c>
      <c r="H965" t="s">
        <v>360</v>
      </c>
      <c r="I965" t="s">
        <v>659</v>
      </c>
      <c r="J965" t="str">
        <f>_xlfn.XLOOKUP(Table1[[#This Row],[Course ]], CCF!B:B, CCF!A:A)</f>
        <v>UX401</v>
      </c>
      <c r="K965" t="s">
        <v>367</v>
      </c>
      <c r="L965">
        <f>_xlfn.XLOOKUP(K965, CCF!B:B, CCF!C:C)</f>
        <v>67990</v>
      </c>
      <c r="M965" t="s">
        <v>25</v>
      </c>
    </row>
    <row r="966" spans="1:13" x14ac:dyDescent="0.3">
      <c r="A966">
        <v>965</v>
      </c>
      <c r="B966" t="s">
        <v>1628</v>
      </c>
      <c r="C966" s="3">
        <v>30278</v>
      </c>
      <c r="D966" t="s">
        <v>666</v>
      </c>
      <c r="E966">
        <v>40</v>
      </c>
      <c r="F966" s="1">
        <v>45429</v>
      </c>
      <c r="G966" s="1" t="str">
        <f>TEXT(Table1[[#This Row],[Enrollment date]], "mmm")</f>
        <v>May</v>
      </c>
      <c r="H966" t="s">
        <v>360</v>
      </c>
      <c r="I966" t="s">
        <v>660</v>
      </c>
      <c r="J966" t="str">
        <f>_xlfn.XLOOKUP(Table1[[#This Row],[Course ]], CCF!B:B, CCF!A:A)</f>
        <v>DM101</v>
      </c>
      <c r="K966" t="s">
        <v>365</v>
      </c>
      <c r="L966">
        <f>_xlfn.XLOOKUP(K966, CCF!B:B, CCF!C:C)</f>
        <v>85499</v>
      </c>
      <c r="M966" t="s">
        <v>20</v>
      </c>
    </row>
    <row r="967" spans="1:13" x14ac:dyDescent="0.3">
      <c r="A967">
        <v>966</v>
      </c>
      <c r="B967" t="s">
        <v>1629</v>
      </c>
      <c r="C967" s="3">
        <v>68080</v>
      </c>
      <c r="D967" t="s">
        <v>666</v>
      </c>
      <c r="E967">
        <v>70</v>
      </c>
      <c r="F967" s="1">
        <v>45429</v>
      </c>
      <c r="G967" s="1" t="str">
        <f>TEXT(Table1[[#This Row],[Enrollment date]], "mmm")</f>
        <v>May</v>
      </c>
      <c r="H967" t="s">
        <v>360</v>
      </c>
      <c r="I967" t="s">
        <v>660</v>
      </c>
      <c r="J967" t="str">
        <f>_xlfn.XLOOKUP(Table1[[#This Row],[Course ]], CCF!B:B, CCF!A:A)</f>
        <v>DA202</v>
      </c>
      <c r="K967" t="s">
        <v>363</v>
      </c>
      <c r="L967">
        <f>_xlfn.XLOOKUP(K967, CCF!B:B, CCF!C:C)</f>
        <v>79999</v>
      </c>
      <c r="M967" t="s">
        <v>28</v>
      </c>
    </row>
    <row r="968" spans="1:13" x14ac:dyDescent="0.3">
      <c r="A968">
        <v>967</v>
      </c>
      <c r="B968" t="s">
        <v>1630</v>
      </c>
      <c r="C968" s="3">
        <v>43401</v>
      </c>
      <c r="D968" t="s">
        <v>666</v>
      </c>
      <c r="E968">
        <v>20</v>
      </c>
      <c r="F968" s="1">
        <v>45430</v>
      </c>
      <c r="G968" s="1" t="str">
        <f>TEXT(Table1[[#This Row],[Enrollment date]], "mmm")</f>
        <v>May</v>
      </c>
      <c r="H968" t="s">
        <v>360</v>
      </c>
      <c r="I968" t="s">
        <v>660</v>
      </c>
      <c r="J968" t="str">
        <f>_xlfn.XLOOKUP(Table1[[#This Row],[Course ]], CCF!B:B, CCF!A:A)</f>
        <v>DA202</v>
      </c>
      <c r="K968" t="s">
        <v>363</v>
      </c>
      <c r="L968">
        <f>_xlfn.XLOOKUP(K968, CCF!B:B, CCF!C:C)</f>
        <v>79999</v>
      </c>
      <c r="M968" t="s">
        <v>181</v>
      </c>
    </row>
    <row r="969" spans="1:13" x14ac:dyDescent="0.3">
      <c r="A969">
        <v>968</v>
      </c>
      <c r="B969" t="s">
        <v>1631</v>
      </c>
      <c r="C969" s="3">
        <v>44182</v>
      </c>
      <c r="D969" t="s">
        <v>666</v>
      </c>
      <c r="E969">
        <v>33</v>
      </c>
      <c r="F969" s="1">
        <v>45430</v>
      </c>
      <c r="G969" s="1" t="str">
        <f>TEXT(Table1[[#This Row],[Enrollment date]], "mmm")</f>
        <v>May</v>
      </c>
      <c r="H969" t="s">
        <v>360</v>
      </c>
      <c r="I969" t="s">
        <v>660</v>
      </c>
      <c r="J969" t="str">
        <f>_xlfn.XLOOKUP(Table1[[#This Row],[Course ]], CCF!B:B, CCF!A:A)</f>
        <v>DA202</v>
      </c>
      <c r="K969" t="s">
        <v>363</v>
      </c>
      <c r="L969">
        <f>_xlfn.XLOOKUP(K969, CCF!B:B, CCF!C:C)</f>
        <v>79999</v>
      </c>
      <c r="M969" t="s">
        <v>145</v>
      </c>
    </row>
    <row r="970" spans="1:13" x14ac:dyDescent="0.3">
      <c r="A970">
        <v>969</v>
      </c>
      <c r="B970" t="s">
        <v>1632</v>
      </c>
      <c r="C970" s="3">
        <v>91551</v>
      </c>
      <c r="D970" t="s">
        <v>667</v>
      </c>
      <c r="E970">
        <v>35</v>
      </c>
      <c r="F970" s="1">
        <v>45430</v>
      </c>
      <c r="G970" s="1" t="str">
        <f>TEXT(Table1[[#This Row],[Enrollment date]], "mmm")</f>
        <v>May</v>
      </c>
      <c r="H970" t="s">
        <v>360</v>
      </c>
      <c r="I970" t="s">
        <v>662</v>
      </c>
      <c r="J970" t="str">
        <f>_xlfn.XLOOKUP(Table1[[#This Row],[Course ]], CCF!B:B, CCF!A:A)</f>
        <v>DA202</v>
      </c>
      <c r="K970" t="s">
        <v>363</v>
      </c>
      <c r="L970">
        <f>_xlfn.XLOOKUP(K970, CCF!B:B, CCF!C:C)</f>
        <v>79999</v>
      </c>
      <c r="M970" t="s">
        <v>159</v>
      </c>
    </row>
    <row r="971" spans="1:13" x14ac:dyDescent="0.3">
      <c r="A971">
        <v>970</v>
      </c>
      <c r="B971" t="s">
        <v>1633</v>
      </c>
      <c r="C971" s="3">
        <v>33244</v>
      </c>
      <c r="D971" t="s">
        <v>666</v>
      </c>
      <c r="E971">
        <v>24</v>
      </c>
      <c r="F971" s="1">
        <v>45430</v>
      </c>
      <c r="G971" s="1" t="str">
        <f>TEXT(Table1[[#This Row],[Enrollment date]], "mmm")</f>
        <v>May</v>
      </c>
      <c r="H971" t="s">
        <v>360</v>
      </c>
      <c r="I971" t="s">
        <v>659</v>
      </c>
      <c r="J971" t="str">
        <f>_xlfn.XLOOKUP(Table1[[#This Row],[Course ]], CCF!B:B, CCF!A:A)</f>
        <v>DM101</v>
      </c>
      <c r="K971" t="s">
        <v>365</v>
      </c>
      <c r="L971">
        <f>_xlfn.XLOOKUP(K971, CCF!B:B, CCF!C:C)</f>
        <v>85499</v>
      </c>
      <c r="M971" t="s">
        <v>209</v>
      </c>
    </row>
    <row r="972" spans="1:13" x14ac:dyDescent="0.3">
      <c r="A972">
        <v>971</v>
      </c>
      <c r="B972" t="s">
        <v>1634</v>
      </c>
      <c r="C972" s="3">
        <v>73522</v>
      </c>
      <c r="D972" t="s">
        <v>666</v>
      </c>
      <c r="E972">
        <v>75</v>
      </c>
      <c r="F972" s="1">
        <v>45430</v>
      </c>
      <c r="G972" s="1" t="str">
        <f>TEXT(Table1[[#This Row],[Enrollment date]], "mmm")</f>
        <v>May</v>
      </c>
      <c r="H972" t="s">
        <v>360</v>
      </c>
      <c r="I972" t="s">
        <v>660</v>
      </c>
      <c r="J972" t="str">
        <f>_xlfn.XLOOKUP(Table1[[#This Row],[Course ]], CCF!B:B, CCF!A:A)</f>
        <v>DM101</v>
      </c>
      <c r="K972" t="s">
        <v>365</v>
      </c>
      <c r="L972">
        <f>_xlfn.XLOOKUP(K972, CCF!B:B, CCF!C:C)</f>
        <v>85499</v>
      </c>
      <c r="M972" t="s">
        <v>499</v>
      </c>
    </row>
    <row r="973" spans="1:13" x14ac:dyDescent="0.3">
      <c r="A973">
        <v>972</v>
      </c>
      <c r="B973" t="s">
        <v>1635</v>
      </c>
      <c r="C973" s="3">
        <v>97609</v>
      </c>
      <c r="D973" t="s">
        <v>666</v>
      </c>
      <c r="E973">
        <v>60</v>
      </c>
      <c r="F973" s="1">
        <v>45430</v>
      </c>
      <c r="G973" s="1" t="str">
        <f>TEXT(Table1[[#This Row],[Enrollment date]], "mmm")</f>
        <v>May</v>
      </c>
      <c r="H973" t="s">
        <v>360</v>
      </c>
      <c r="I973" t="s">
        <v>661</v>
      </c>
      <c r="J973" t="str">
        <f>_xlfn.XLOOKUP(Table1[[#This Row],[Course ]], CCF!B:B, CCF!A:A)</f>
        <v>DM101</v>
      </c>
      <c r="K973" t="s">
        <v>365</v>
      </c>
      <c r="L973">
        <f>_xlfn.XLOOKUP(K973, CCF!B:B, CCF!C:C)</f>
        <v>85499</v>
      </c>
      <c r="M973" t="s">
        <v>17</v>
      </c>
    </row>
    <row r="974" spans="1:13" x14ac:dyDescent="0.3">
      <c r="A974">
        <v>973</v>
      </c>
      <c r="B974" t="s">
        <v>1636</v>
      </c>
      <c r="C974" s="3">
        <v>87798</v>
      </c>
      <c r="D974" t="s">
        <v>666</v>
      </c>
      <c r="E974">
        <v>23</v>
      </c>
      <c r="F974" s="1">
        <v>45430</v>
      </c>
      <c r="G974" s="1" t="str">
        <f>TEXT(Table1[[#This Row],[Enrollment date]], "mmm")</f>
        <v>May</v>
      </c>
      <c r="H974" t="s">
        <v>360</v>
      </c>
      <c r="I974" t="s">
        <v>660</v>
      </c>
      <c r="J974" t="str">
        <f>_xlfn.XLOOKUP(Table1[[#This Row],[Course ]], CCF!B:B, CCF!A:A)</f>
        <v>BA301</v>
      </c>
      <c r="K974" t="s">
        <v>364</v>
      </c>
      <c r="L974">
        <f>_xlfn.XLOOKUP(K974, CCF!B:B, CCF!C:C)</f>
        <v>59999</v>
      </c>
      <c r="M974" t="s">
        <v>27</v>
      </c>
    </row>
    <row r="975" spans="1:13" x14ac:dyDescent="0.3">
      <c r="A975">
        <v>974</v>
      </c>
      <c r="B975" t="s">
        <v>1637</v>
      </c>
      <c r="C975" s="3">
        <v>37020</v>
      </c>
      <c r="D975" t="s">
        <v>666</v>
      </c>
      <c r="E975">
        <v>26</v>
      </c>
      <c r="F975" s="1">
        <v>45430</v>
      </c>
      <c r="G975" s="1" t="str">
        <f>TEXT(Table1[[#This Row],[Enrollment date]], "mmm")</f>
        <v>May</v>
      </c>
      <c r="H975" t="s">
        <v>360</v>
      </c>
      <c r="I975" t="s">
        <v>660</v>
      </c>
      <c r="J975" t="str">
        <f>_xlfn.XLOOKUP(Table1[[#This Row],[Course ]], CCF!B:B, CCF!A:A)</f>
        <v>DA202</v>
      </c>
      <c r="K975" t="s">
        <v>363</v>
      </c>
      <c r="L975">
        <f>_xlfn.XLOOKUP(K975, CCF!B:B, CCF!C:C)</f>
        <v>79999</v>
      </c>
      <c r="M975" t="s">
        <v>196</v>
      </c>
    </row>
    <row r="976" spans="1:13" x14ac:dyDescent="0.3">
      <c r="A976">
        <v>975</v>
      </c>
      <c r="B976" t="s">
        <v>1638</v>
      </c>
      <c r="C976" s="3">
        <v>26219</v>
      </c>
      <c r="D976" t="s">
        <v>666</v>
      </c>
      <c r="E976">
        <v>28</v>
      </c>
      <c r="F976" s="1">
        <v>45431</v>
      </c>
      <c r="G976" s="1" t="str">
        <f>TEXT(Table1[[#This Row],[Enrollment date]], "mmm")</f>
        <v>May</v>
      </c>
      <c r="H976" t="s">
        <v>361</v>
      </c>
      <c r="I976" t="s">
        <v>662</v>
      </c>
      <c r="J976" t="str">
        <f>_xlfn.XLOOKUP(Table1[[#This Row],[Course ]], CCF!B:B, CCF!A:A)</f>
        <v>DA202</v>
      </c>
      <c r="K976" t="s">
        <v>363</v>
      </c>
      <c r="L976">
        <f>_xlfn.XLOOKUP(K976, CCF!B:B, CCF!C:C)</f>
        <v>79999</v>
      </c>
      <c r="M976" t="s">
        <v>500</v>
      </c>
    </row>
    <row r="977" spans="1:13" x14ac:dyDescent="0.3">
      <c r="A977">
        <v>976</v>
      </c>
      <c r="B977" t="s">
        <v>1639</v>
      </c>
      <c r="C977" s="3">
        <v>31577</v>
      </c>
      <c r="D977" t="s">
        <v>666</v>
      </c>
      <c r="E977">
        <v>25</v>
      </c>
      <c r="F977" s="1">
        <v>45431</v>
      </c>
      <c r="G977" s="1" t="str">
        <f>TEXT(Table1[[#This Row],[Enrollment date]], "mmm")</f>
        <v>May</v>
      </c>
      <c r="H977" t="s">
        <v>360</v>
      </c>
      <c r="I977" t="s">
        <v>663</v>
      </c>
      <c r="J977" t="str">
        <f>_xlfn.XLOOKUP(Table1[[#This Row],[Course ]], CCF!B:B, CCF!A:A)</f>
        <v>DA202</v>
      </c>
      <c r="K977" t="s">
        <v>363</v>
      </c>
      <c r="L977">
        <f>_xlfn.XLOOKUP(K977, CCF!B:B, CCF!C:C)</f>
        <v>79999</v>
      </c>
      <c r="M977" t="s">
        <v>9</v>
      </c>
    </row>
    <row r="978" spans="1:13" x14ac:dyDescent="0.3">
      <c r="A978">
        <v>977</v>
      </c>
      <c r="B978" t="s">
        <v>1640</v>
      </c>
      <c r="C978" s="3">
        <v>45464</v>
      </c>
      <c r="D978" t="s">
        <v>666</v>
      </c>
      <c r="E978">
        <v>19</v>
      </c>
      <c r="F978" s="1">
        <v>45431</v>
      </c>
      <c r="G978" s="1" t="str">
        <f>TEXT(Table1[[#This Row],[Enrollment date]], "mmm")</f>
        <v>May</v>
      </c>
      <c r="H978" t="s">
        <v>360</v>
      </c>
      <c r="I978" t="s">
        <v>660</v>
      </c>
      <c r="J978" t="str">
        <f>_xlfn.XLOOKUP(Table1[[#This Row],[Course ]], CCF!B:B, CCF!A:A)</f>
        <v>UX401</v>
      </c>
      <c r="K978" t="s">
        <v>367</v>
      </c>
      <c r="L978">
        <f>_xlfn.XLOOKUP(K978, CCF!B:B, CCF!C:C)</f>
        <v>67990</v>
      </c>
      <c r="M978" t="s">
        <v>111</v>
      </c>
    </row>
    <row r="979" spans="1:13" x14ac:dyDescent="0.3">
      <c r="A979">
        <v>978</v>
      </c>
      <c r="B979" t="s">
        <v>1641</v>
      </c>
      <c r="C979" s="3">
        <v>18805</v>
      </c>
      <c r="D979" t="s">
        <v>666</v>
      </c>
      <c r="E979">
        <v>54</v>
      </c>
      <c r="F979" s="1">
        <v>45431</v>
      </c>
      <c r="G979" s="1" t="str">
        <f>TEXT(Table1[[#This Row],[Enrollment date]], "mmm")</f>
        <v>May</v>
      </c>
      <c r="H979" t="s">
        <v>360</v>
      </c>
      <c r="I979" t="s">
        <v>661</v>
      </c>
      <c r="J979" t="str">
        <f>_xlfn.XLOOKUP(Table1[[#This Row],[Course ]], CCF!B:B, CCF!A:A)</f>
        <v>DA202</v>
      </c>
      <c r="K979" t="s">
        <v>363</v>
      </c>
      <c r="L979">
        <f>_xlfn.XLOOKUP(K979, CCF!B:B, CCF!C:C)</f>
        <v>79999</v>
      </c>
      <c r="M979" t="s">
        <v>18</v>
      </c>
    </row>
    <row r="980" spans="1:13" x14ac:dyDescent="0.3">
      <c r="A980">
        <v>979</v>
      </c>
      <c r="B980" t="s">
        <v>1642</v>
      </c>
      <c r="C980" s="3">
        <v>90430</v>
      </c>
      <c r="D980" t="s">
        <v>667</v>
      </c>
      <c r="E980">
        <v>45</v>
      </c>
      <c r="F980" s="1">
        <v>45431</v>
      </c>
      <c r="G980" s="1" t="str">
        <f>TEXT(Table1[[#This Row],[Enrollment date]], "mmm")</f>
        <v>May</v>
      </c>
      <c r="H980" t="s">
        <v>360</v>
      </c>
      <c r="I980" t="s">
        <v>660</v>
      </c>
      <c r="J980" t="str">
        <f>_xlfn.XLOOKUP(Table1[[#This Row],[Course ]], CCF!B:B, CCF!A:A)</f>
        <v>BA301</v>
      </c>
      <c r="K980" t="s">
        <v>364</v>
      </c>
      <c r="L980">
        <f>_xlfn.XLOOKUP(K980, CCF!B:B, CCF!C:C)</f>
        <v>59999</v>
      </c>
      <c r="M980" t="s">
        <v>20</v>
      </c>
    </row>
    <row r="981" spans="1:13" x14ac:dyDescent="0.3">
      <c r="A981">
        <v>980</v>
      </c>
      <c r="B981" t="s">
        <v>1643</v>
      </c>
      <c r="C981" s="3">
        <v>16856</v>
      </c>
      <c r="D981" t="s">
        <v>666</v>
      </c>
      <c r="E981">
        <v>49</v>
      </c>
      <c r="F981" s="1">
        <v>45431</v>
      </c>
      <c r="G981" s="1" t="str">
        <f>TEXT(Table1[[#This Row],[Enrollment date]], "mmm")</f>
        <v>May</v>
      </c>
      <c r="H981" t="s">
        <v>360</v>
      </c>
      <c r="I981" t="s">
        <v>659</v>
      </c>
      <c r="J981" t="str">
        <f>_xlfn.XLOOKUP(Table1[[#This Row],[Course ]], CCF!B:B, CCF!A:A)</f>
        <v>FSD103</v>
      </c>
      <c r="K981" t="s">
        <v>366</v>
      </c>
      <c r="L981">
        <f>_xlfn.XLOOKUP(K981, CCF!B:B, CCF!C:C)</f>
        <v>109990</v>
      </c>
      <c r="M981" t="s">
        <v>501</v>
      </c>
    </row>
    <row r="982" spans="1:13" x14ac:dyDescent="0.3">
      <c r="A982">
        <v>981</v>
      </c>
      <c r="B982" t="s">
        <v>1644</v>
      </c>
      <c r="C982" s="3">
        <v>94294</v>
      </c>
      <c r="D982" t="s">
        <v>666</v>
      </c>
      <c r="E982">
        <v>46</v>
      </c>
      <c r="F982" s="1">
        <v>45431</v>
      </c>
      <c r="G982" s="1" t="str">
        <f>TEXT(Table1[[#This Row],[Enrollment date]], "mmm")</f>
        <v>May</v>
      </c>
      <c r="H982" t="s">
        <v>360</v>
      </c>
      <c r="I982" t="s">
        <v>665</v>
      </c>
      <c r="J982" t="str">
        <f>_xlfn.XLOOKUP(Table1[[#This Row],[Course ]], CCF!B:B, CCF!A:A)</f>
        <v>BA301</v>
      </c>
      <c r="K982" t="s">
        <v>364</v>
      </c>
      <c r="L982">
        <f>_xlfn.XLOOKUP(K982, CCF!B:B, CCF!C:C)</f>
        <v>59999</v>
      </c>
      <c r="M982" t="s">
        <v>27</v>
      </c>
    </row>
    <row r="983" spans="1:13" x14ac:dyDescent="0.3">
      <c r="A983">
        <v>982</v>
      </c>
      <c r="B983" t="s">
        <v>1645</v>
      </c>
      <c r="C983" s="3">
        <v>67210</v>
      </c>
      <c r="D983" t="s">
        <v>667</v>
      </c>
      <c r="E983">
        <v>60</v>
      </c>
      <c r="F983" s="1">
        <v>45431</v>
      </c>
      <c r="G983" s="1" t="str">
        <f>TEXT(Table1[[#This Row],[Enrollment date]], "mmm")</f>
        <v>May</v>
      </c>
      <c r="H983" t="s">
        <v>360</v>
      </c>
      <c r="I983" t="s">
        <v>660</v>
      </c>
      <c r="J983" t="str">
        <f>_xlfn.XLOOKUP(Table1[[#This Row],[Course ]], CCF!B:B, CCF!A:A)</f>
        <v>BA301</v>
      </c>
      <c r="K983" t="s">
        <v>364</v>
      </c>
      <c r="L983">
        <f>_xlfn.XLOOKUP(K983, CCF!B:B, CCF!C:C)</f>
        <v>59999</v>
      </c>
      <c r="M983" t="s">
        <v>258</v>
      </c>
    </row>
    <row r="984" spans="1:13" x14ac:dyDescent="0.3">
      <c r="A984">
        <v>983</v>
      </c>
      <c r="B984" t="s">
        <v>1646</v>
      </c>
      <c r="C984" s="3">
        <v>62891</v>
      </c>
      <c r="D984" t="s">
        <v>667</v>
      </c>
      <c r="E984">
        <v>34</v>
      </c>
      <c r="F984" s="1">
        <v>45431</v>
      </c>
      <c r="G984" s="1" t="str">
        <f>TEXT(Table1[[#This Row],[Enrollment date]], "mmm")</f>
        <v>May</v>
      </c>
      <c r="H984" t="s">
        <v>360</v>
      </c>
      <c r="I984" t="s">
        <v>659</v>
      </c>
      <c r="J984" t="str">
        <f>_xlfn.XLOOKUP(Table1[[#This Row],[Course ]], CCF!B:B, CCF!A:A)</f>
        <v>BA301</v>
      </c>
      <c r="K984" t="s">
        <v>364</v>
      </c>
      <c r="L984">
        <f>_xlfn.XLOOKUP(K984, CCF!B:B, CCF!C:C)</f>
        <v>59999</v>
      </c>
      <c r="M984" t="s">
        <v>7</v>
      </c>
    </row>
    <row r="985" spans="1:13" x14ac:dyDescent="0.3">
      <c r="A985">
        <v>984</v>
      </c>
      <c r="B985" t="s">
        <v>1647</v>
      </c>
      <c r="C985" s="3">
        <v>15143</v>
      </c>
      <c r="D985" t="s">
        <v>666</v>
      </c>
      <c r="E985">
        <v>78</v>
      </c>
      <c r="F985" s="1">
        <v>45431</v>
      </c>
      <c r="G985" s="1" t="str">
        <f>TEXT(Table1[[#This Row],[Enrollment date]], "mmm")</f>
        <v>May</v>
      </c>
      <c r="H985" t="s">
        <v>360</v>
      </c>
      <c r="I985" t="s">
        <v>659</v>
      </c>
      <c r="J985" t="str">
        <f>_xlfn.XLOOKUP(Table1[[#This Row],[Course ]], CCF!B:B, CCF!A:A)</f>
        <v>DM101</v>
      </c>
      <c r="K985" t="s">
        <v>365</v>
      </c>
      <c r="L985">
        <f>_xlfn.XLOOKUP(K985, CCF!B:B, CCF!C:C)</f>
        <v>85499</v>
      </c>
      <c r="M985" t="s">
        <v>27</v>
      </c>
    </row>
    <row r="986" spans="1:13" x14ac:dyDescent="0.3">
      <c r="A986">
        <v>985</v>
      </c>
      <c r="B986" t="s">
        <v>1648</v>
      </c>
      <c r="C986" s="3">
        <v>81610</v>
      </c>
      <c r="D986" t="s">
        <v>666</v>
      </c>
      <c r="E986">
        <v>34</v>
      </c>
      <c r="F986" s="1">
        <v>45431</v>
      </c>
      <c r="G986" s="1" t="str">
        <f>TEXT(Table1[[#This Row],[Enrollment date]], "mmm")</f>
        <v>May</v>
      </c>
      <c r="H986" t="s">
        <v>360</v>
      </c>
      <c r="I986" t="s">
        <v>659</v>
      </c>
      <c r="J986" t="str">
        <f>_xlfn.XLOOKUP(Table1[[#This Row],[Course ]], CCF!B:B, CCF!A:A)</f>
        <v>FSD103</v>
      </c>
      <c r="K986" t="s">
        <v>366</v>
      </c>
      <c r="L986">
        <f>_xlfn.XLOOKUP(K986, CCF!B:B, CCF!C:C)</f>
        <v>109990</v>
      </c>
      <c r="M986" t="s">
        <v>106</v>
      </c>
    </row>
    <row r="987" spans="1:13" x14ac:dyDescent="0.3">
      <c r="A987">
        <v>986</v>
      </c>
      <c r="B987" t="s">
        <v>1649</v>
      </c>
      <c r="C987" s="3">
        <v>43079</v>
      </c>
      <c r="D987" t="s">
        <v>667</v>
      </c>
      <c r="E987">
        <v>41</v>
      </c>
      <c r="F987" s="1">
        <v>45432</v>
      </c>
      <c r="G987" s="1" t="str">
        <f>TEXT(Table1[[#This Row],[Enrollment date]], "mmm")</f>
        <v>May</v>
      </c>
      <c r="H987" t="s">
        <v>360</v>
      </c>
      <c r="I987" t="s">
        <v>660</v>
      </c>
      <c r="J987" t="str">
        <f>_xlfn.XLOOKUP(Table1[[#This Row],[Course ]], CCF!B:B, CCF!A:A)</f>
        <v>DA202</v>
      </c>
      <c r="K987" t="s">
        <v>363</v>
      </c>
      <c r="L987">
        <f>_xlfn.XLOOKUP(K987, CCF!B:B, CCF!C:C)</f>
        <v>79999</v>
      </c>
      <c r="M987" t="s">
        <v>18</v>
      </c>
    </row>
    <row r="988" spans="1:13" x14ac:dyDescent="0.3">
      <c r="A988">
        <v>987</v>
      </c>
      <c r="B988" t="s">
        <v>1650</v>
      </c>
      <c r="C988" s="3">
        <v>80960</v>
      </c>
      <c r="D988" t="s">
        <v>667</v>
      </c>
      <c r="E988">
        <v>36</v>
      </c>
      <c r="F988" s="1">
        <v>45432</v>
      </c>
      <c r="G988" s="1" t="str">
        <f>TEXT(Table1[[#This Row],[Enrollment date]], "mmm")</f>
        <v>May</v>
      </c>
      <c r="H988" t="s">
        <v>360</v>
      </c>
      <c r="I988" t="s">
        <v>663</v>
      </c>
      <c r="J988" t="str">
        <f>_xlfn.XLOOKUP(Table1[[#This Row],[Course ]], CCF!B:B, CCF!A:A)</f>
        <v>DA202</v>
      </c>
      <c r="K988" t="s">
        <v>363</v>
      </c>
      <c r="L988">
        <f>_xlfn.XLOOKUP(K988, CCF!B:B, CCF!C:C)</f>
        <v>79999</v>
      </c>
      <c r="M988" t="s">
        <v>9</v>
      </c>
    </row>
    <row r="989" spans="1:13" x14ac:dyDescent="0.3">
      <c r="A989">
        <v>988</v>
      </c>
      <c r="B989" t="s">
        <v>736</v>
      </c>
      <c r="C989" s="3">
        <v>65895</v>
      </c>
      <c r="D989" t="s">
        <v>666</v>
      </c>
      <c r="E989">
        <v>38</v>
      </c>
      <c r="F989" s="1">
        <v>45432</v>
      </c>
      <c r="G989" s="1" t="str">
        <f>TEXT(Table1[[#This Row],[Enrollment date]], "mmm")</f>
        <v>May</v>
      </c>
      <c r="H989" t="s">
        <v>360</v>
      </c>
      <c r="I989" t="s">
        <v>665</v>
      </c>
      <c r="J989" t="str">
        <f>_xlfn.XLOOKUP(Table1[[#This Row],[Course ]], CCF!B:B, CCF!A:A)</f>
        <v>DM101</v>
      </c>
      <c r="K989" t="s">
        <v>365</v>
      </c>
      <c r="L989">
        <f>_xlfn.XLOOKUP(K989, CCF!B:B, CCF!C:C)</f>
        <v>85499</v>
      </c>
      <c r="M989" t="s">
        <v>28</v>
      </c>
    </row>
    <row r="990" spans="1:13" x14ac:dyDescent="0.3">
      <c r="A990">
        <v>989</v>
      </c>
      <c r="B990" t="s">
        <v>1651</v>
      </c>
      <c r="C990" s="3">
        <v>20444</v>
      </c>
      <c r="D990" t="s">
        <v>666</v>
      </c>
      <c r="E990">
        <v>26</v>
      </c>
      <c r="F990" s="1">
        <v>45432</v>
      </c>
      <c r="G990" s="1" t="str">
        <f>TEXT(Table1[[#This Row],[Enrollment date]], "mmm")</f>
        <v>May</v>
      </c>
      <c r="H990" t="s">
        <v>360</v>
      </c>
      <c r="I990" t="s">
        <v>660</v>
      </c>
      <c r="J990" t="str">
        <f>_xlfn.XLOOKUP(Table1[[#This Row],[Course ]], CCF!B:B, CCF!A:A)</f>
        <v>DA202</v>
      </c>
      <c r="K990" t="s">
        <v>363</v>
      </c>
      <c r="L990">
        <f>_xlfn.XLOOKUP(K990, CCF!B:B, CCF!C:C)</f>
        <v>79999</v>
      </c>
      <c r="M990" t="s">
        <v>193</v>
      </c>
    </row>
    <row r="991" spans="1:13" x14ac:dyDescent="0.3">
      <c r="A991">
        <v>990</v>
      </c>
      <c r="B991" t="s">
        <v>1652</v>
      </c>
      <c r="C991" s="3">
        <v>20989</v>
      </c>
      <c r="D991" t="s">
        <v>666</v>
      </c>
      <c r="E991">
        <v>34</v>
      </c>
      <c r="F991" s="1">
        <v>45432</v>
      </c>
      <c r="G991" s="1" t="str">
        <f>TEXT(Table1[[#This Row],[Enrollment date]], "mmm")</f>
        <v>May</v>
      </c>
      <c r="H991" t="s">
        <v>360</v>
      </c>
      <c r="I991" t="s">
        <v>664</v>
      </c>
      <c r="J991" t="str">
        <f>_xlfn.XLOOKUP(Table1[[#This Row],[Course ]], CCF!B:B, CCF!A:A)</f>
        <v>DA202</v>
      </c>
      <c r="K991" t="s">
        <v>363</v>
      </c>
      <c r="L991">
        <f>_xlfn.XLOOKUP(K991, CCF!B:B, CCF!C:C)</f>
        <v>79999</v>
      </c>
      <c r="M991" t="s">
        <v>28</v>
      </c>
    </row>
    <row r="992" spans="1:13" x14ac:dyDescent="0.3">
      <c r="A992">
        <v>991</v>
      </c>
      <c r="B992" t="s">
        <v>1653</v>
      </c>
      <c r="C992" s="3">
        <v>58012</v>
      </c>
      <c r="D992" t="s">
        <v>666</v>
      </c>
      <c r="E992">
        <v>47</v>
      </c>
      <c r="F992" s="1">
        <v>45432</v>
      </c>
      <c r="G992" s="1" t="str">
        <f>TEXT(Table1[[#This Row],[Enrollment date]], "mmm")</f>
        <v>May</v>
      </c>
      <c r="H992" t="s">
        <v>360</v>
      </c>
      <c r="I992" t="s">
        <v>661</v>
      </c>
      <c r="J992" t="str">
        <f>_xlfn.XLOOKUP(Table1[[#This Row],[Course ]], CCF!B:B, CCF!A:A)</f>
        <v>BA301</v>
      </c>
      <c r="K992" t="s">
        <v>364</v>
      </c>
      <c r="L992">
        <f>_xlfn.XLOOKUP(K992, CCF!B:B, CCF!C:C)</f>
        <v>59999</v>
      </c>
      <c r="M992" t="s">
        <v>27</v>
      </c>
    </row>
    <row r="993" spans="1:13" x14ac:dyDescent="0.3">
      <c r="A993">
        <v>992</v>
      </c>
      <c r="B993" t="s">
        <v>1654</v>
      </c>
      <c r="C993" s="3">
        <v>92564</v>
      </c>
      <c r="D993" t="s">
        <v>666</v>
      </c>
      <c r="E993">
        <v>48</v>
      </c>
      <c r="F993" s="1">
        <v>45433</v>
      </c>
      <c r="G993" s="1" t="str">
        <f>TEXT(Table1[[#This Row],[Enrollment date]], "mmm")</f>
        <v>May</v>
      </c>
      <c r="H993" t="s">
        <v>3</v>
      </c>
      <c r="I993" t="s">
        <v>660</v>
      </c>
      <c r="J993" t="str">
        <f>_xlfn.XLOOKUP(Table1[[#This Row],[Course ]], CCF!B:B, CCF!A:A)</f>
        <v>DA202</v>
      </c>
      <c r="K993" t="s">
        <v>363</v>
      </c>
      <c r="L993">
        <f>_xlfn.XLOOKUP(K993, CCF!B:B, CCF!C:C)</f>
        <v>79999</v>
      </c>
      <c r="M993" t="s">
        <v>9</v>
      </c>
    </row>
    <row r="994" spans="1:13" x14ac:dyDescent="0.3">
      <c r="A994">
        <v>993</v>
      </c>
      <c r="B994" t="s">
        <v>1655</v>
      </c>
      <c r="C994" s="3">
        <v>39562</v>
      </c>
      <c r="D994" t="s">
        <v>666</v>
      </c>
      <c r="E994">
        <v>29</v>
      </c>
      <c r="F994" s="1">
        <v>45433</v>
      </c>
      <c r="G994" s="1" t="str">
        <f>TEXT(Table1[[#This Row],[Enrollment date]], "mmm")</f>
        <v>May</v>
      </c>
      <c r="H994" t="s">
        <v>360</v>
      </c>
      <c r="I994" t="s">
        <v>661</v>
      </c>
      <c r="J994" t="str">
        <f>_xlfn.XLOOKUP(Table1[[#This Row],[Course ]], CCF!B:B, CCF!A:A)</f>
        <v>BA301</v>
      </c>
      <c r="K994" t="s">
        <v>364</v>
      </c>
      <c r="L994">
        <f>_xlfn.XLOOKUP(K994, CCF!B:B, CCF!C:C)</f>
        <v>59999</v>
      </c>
      <c r="M994" t="s">
        <v>12</v>
      </c>
    </row>
    <row r="995" spans="1:13" x14ac:dyDescent="0.3">
      <c r="A995">
        <v>994</v>
      </c>
      <c r="B995" t="s">
        <v>1656</v>
      </c>
      <c r="C995" s="3">
        <v>30730</v>
      </c>
      <c r="D995" t="s">
        <v>666</v>
      </c>
      <c r="E995">
        <v>40</v>
      </c>
      <c r="F995" s="1">
        <v>45433</v>
      </c>
      <c r="G995" s="1" t="str">
        <f>TEXT(Table1[[#This Row],[Enrollment date]], "mmm")</f>
        <v>May</v>
      </c>
      <c r="H995" t="s">
        <v>360</v>
      </c>
      <c r="I995" t="s">
        <v>661</v>
      </c>
      <c r="J995" t="str">
        <f>_xlfn.XLOOKUP(Table1[[#This Row],[Course ]], CCF!B:B, CCF!A:A)</f>
        <v>FSD103</v>
      </c>
      <c r="K995" t="s">
        <v>366</v>
      </c>
      <c r="L995">
        <f>_xlfn.XLOOKUP(K995, CCF!B:B, CCF!C:C)</f>
        <v>109990</v>
      </c>
      <c r="M995" t="s">
        <v>65</v>
      </c>
    </row>
    <row r="996" spans="1:13" x14ac:dyDescent="0.3">
      <c r="A996">
        <v>995</v>
      </c>
      <c r="B996" t="s">
        <v>1657</v>
      </c>
      <c r="C996" s="3">
        <v>54552</v>
      </c>
      <c r="D996" t="s">
        <v>667</v>
      </c>
      <c r="E996">
        <v>20</v>
      </c>
      <c r="F996" s="1">
        <v>45433</v>
      </c>
      <c r="G996" s="1" t="str">
        <f>TEXT(Table1[[#This Row],[Enrollment date]], "mmm")</f>
        <v>May</v>
      </c>
      <c r="H996" t="s">
        <v>360</v>
      </c>
      <c r="I996" t="s">
        <v>660</v>
      </c>
      <c r="J996" t="str">
        <f>_xlfn.XLOOKUP(Table1[[#This Row],[Course ]], CCF!B:B, CCF!A:A)</f>
        <v>DA202</v>
      </c>
      <c r="K996" t="s">
        <v>363</v>
      </c>
      <c r="L996">
        <f>_xlfn.XLOOKUP(K996, CCF!B:B, CCF!C:C)</f>
        <v>79999</v>
      </c>
      <c r="M996" t="s">
        <v>157</v>
      </c>
    </row>
    <row r="997" spans="1:13" x14ac:dyDescent="0.3">
      <c r="A997">
        <v>996</v>
      </c>
      <c r="B997" t="s">
        <v>1658</v>
      </c>
      <c r="C997" s="3">
        <v>21351</v>
      </c>
      <c r="D997" t="s">
        <v>666</v>
      </c>
      <c r="E997">
        <v>45</v>
      </c>
      <c r="F997" s="1">
        <v>45433</v>
      </c>
      <c r="G997" s="1" t="str">
        <f>TEXT(Table1[[#This Row],[Enrollment date]], "mmm")</f>
        <v>May</v>
      </c>
      <c r="H997" t="s">
        <v>360</v>
      </c>
      <c r="I997" t="s">
        <v>661</v>
      </c>
      <c r="J997" t="str">
        <f>_xlfn.XLOOKUP(Table1[[#This Row],[Course ]], CCF!B:B, CCF!A:A)</f>
        <v>DA202</v>
      </c>
      <c r="K997" t="s">
        <v>363</v>
      </c>
      <c r="L997">
        <f>_xlfn.XLOOKUP(K997, CCF!B:B, CCF!C:C)</f>
        <v>79999</v>
      </c>
      <c r="M997" t="s">
        <v>16</v>
      </c>
    </row>
    <row r="998" spans="1:13" x14ac:dyDescent="0.3">
      <c r="A998">
        <v>997</v>
      </c>
      <c r="B998" t="s">
        <v>1659</v>
      </c>
      <c r="C998" s="3">
        <v>42991</v>
      </c>
      <c r="D998" t="s">
        <v>666</v>
      </c>
      <c r="E998">
        <v>30</v>
      </c>
      <c r="F998" s="1">
        <v>45433</v>
      </c>
      <c r="G998" s="1" t="str">
        <f>TEXT(Table1[[#This Row],[Enrollment date]], "mmm")</f>
        <v>May</v>
      </c>
      <c r="H998" t="s">
        <v>360</v>
      </c>
      <c r="I998" t="s">
        <v>660</v>
      </c>
      <c r="J998" t="str">
        <f>_xlfn.XLOOKUP(Table1[[#This Row],[Course ]], CCF!B:B, CCF!A:A)</f>
        <v>BA301</v>
      </c>
      <c r="K998" t="s">
        <v>364</v>
      </c>
      <c r="L998">
        <f>_xlfn.XLOOKUP(K998, CCF!B:B, CCF!C:C)</f>
        <v>59999</v>
      </c>
      <c r="M998" t="s">
        <v>271</v>
      </c>
    </row>
    <row r="999" spans="1:13" x14ac:dyDescent="0.3">
      <c r="A999">
        <v>998</v>
      </c>
      <c r="B999" t="s">
        <v>1660</v>
      </c>
      <c r="C999" s="3">
        <v>72630</v>
      </c>
      <c r="D999" t="s">
        <v>666</v>
      </c>
      <c r="E999">
        <v>40</v>
      </c>
      <c r="F999" s="1">
        <v>45433</v>
      </c>
      <c r="G999" s="1" t="str">
        <f>TEXT(Table1[[#This Row],[Enrollment date]], "mmm")</f>
        <v>May</v>
      </c>
      <c r="H999" t="s">
        <v>360</v>
      </c>
      <c r="I999" t="s">
        <v>662</v>
      </c>
      <c r="J999" t="str">
        <f>_xlfn.XLOOKUP(Table1[[#This Row],[Course ]], CCF!B:B, CCF!A:A)</f>
        <v>DA202</v>
      </c>
      <c r="K999" t="s">
        <v>363</v>
      </c>
      <c r="L999">
        <f>_xlfn.XLOOKUP(K999, CCF!B:B, CCF!C:C)</f>
        <v>79999</v>
      </c>
      <c r="M999" t="s">
        <v>176</v>
      </c>
    </row>
    <row r="1000" spans="1:13" x14ac:dyDescent="0.3">
      <c r="A1000">
        <v>999</v>
      </c>
      <c r="B1000" t="s">
        <v>1661</v>
      </c>
      <c r="C1000" s="3">
        <v>69573</v>
      </c>
      <c r="D1000" t="s">
        <v>667</v>
      </c>
      <c r="E1000">
        <v>42</v>
      </c>
      <c r="F1000" s="1">
        <v>45434</v>
      </c>
      <c r="G1000" s="1" t="str">
        <f>TEXT(Table1[[#This Row],[Enrollment date]], "mmm")</f>
        <v>May</v>
      </c>
      <c r="H1000" t="s">
        <v>360</v>
      </c>
      <c r="I1000" t="s">
        <v>660</v>
      </c>
      <c r="J1000" t="str">
        <f>_xlfn.XLOOKUP(Table1[[#This Row],[Course ]], CCF!B:B, CCF!A:A)</f>
        <v>DA202</v>
      </c>
      <c r="K1000" t="s">
        <v>363</v>
      </c>
      <c r="L1000">
        <f>_xlfn.XLOOKUP(K1000, CCF!B:B, CCF!C:C)</f>
        <v>79999</v>
      </c>
      <c r="M1000" t="s">
        <v>22</v>
      </c>
    </row>
    <row r="1001" spans="1:13" x14ac:dyDescent="0.3">
      <c r="A1001">
        <v>1000</v>
      </c>
      <c r="B1001" t="s">
        <v>1662</v>
      </c>
      <c r="C1001" s="3">
        <v>69431</v>
      </c>
      <c r="D1001" t="s">
        <v>666</v>
      </c>
      <c r="E1001">
        <v>34</v>
      </c>
      <c r="F1001" s="1">
        <v>45435</v>
      </c>
      <c r="G1001" s="1" t="str">
        <f>TEXT(Table1[[#This Row],[Enrollment date]], "mmm")</f>
        <v>May</v>
      </c>
      <c r="H1001" t="s">
        <v>360</v>
      </c>
      <c r="I1001" t="s">
        <v>659</v>
      </c>
      <c r="J1001" t="str">
        <f>_xlfn.XLOOKUP(Table1[[#This Row],[Course ]], CCF!B:B, CCF!A:A)</f>
        <v>DA202</v>
      </c>
      <c r="K1001" t="s">
        <v>363</v>
      </c>
      <c r="L1001">
        <f>_xlfn.XLOOKUP(K1001, CCF!B:B, CCF!C:C)</f>
        <v>79999</v>
      </c>
      <c r="M1001" t="s">
        <v>502</v>
      </c>
    </row>
    <row r="1002" spans="1:13" x14ac:dyDescent="0.3">
      <c r="A1002">
        <v>1001</v>
      </c>
      <c r="B1002" t="s">
        <v>1663</v>
      </c>
      <c r="C1002" s="3">
        <v>79450</v>
      </c>
      <c r="D1002" t="s">
        <v>666</v>
      </c>
      <c r="E1002">
        <v>39</v>
      </c>
      <c r="F1002" s="1">
        <v>45435</v>
      </c>
      <c r="G1002" s="1" t="str">
        <f>TEXT(Table1[[#This Row],[Enrollment date]], "mmm")</f>
        <v>May</v>
      </c>
      <c r="H1002" t="s">
        <v>360</v>
      </c>
      <c r="I1002" t="s">
        <v>659</v>
      </c>
      <c r="J1002" t="str">
        <f>_xlfn.XLOOKUP(Table1[[#This Row],[Course ]], CCF!B:B, CCF!A:A)</f>
        <v>DM101</v>
      </c>
      <c r="K1002" t="s">
        <v>365</v>
      </c>
      <c r="L1002">
        <f>_xlfn.XLOOKUP(K1002, CCF!B:B, CCF!C:C)</f>
        <v>85499</v>
      </c>
      <c r="M1002" t="s">
        <v>503</v>
      </c>
    </row>
    <row r="1003" spans="1:13" x14ac:dyDescent="0.3">
      <c r="A1003">
        <v>1002</v>
      </c>
      <c r="B1003" t="s">
        <v>1664</v>
      </c>
      <c r="C1003" s="3">
        <v>61202</v>
      </c>
      <c r="D1003" t="s">
        <v>666</v>
      </c>
      <c r="E1003">
        <v>75</v>
      </c>
      <c r="F1003" s="1">
        <v>45435</v>
      </c>
      <c r="G1003" s="1" t="str">
        <f>TEXT(Table1[[#This Row],[Enrollment date]], "mmm")</f>
        <v>May</v>
      </c>
      <c r="H1003" t="s">
        <v>360</v>
      </c>
      <c r="I1003" t="s">
        <v>659</v>
      </c>
      <c r="J1003" t="str">
        <f>_xlfn.XLOOKUP(Table1[[#This Row],[Course ]], CCF!B:B, CCF!A:A)</f>
        <v>DM101</v>
      </c>
      <c r="K1003" t="s">
        <v>365</v>
      </c>
      <c r="L1003">
        <f>_xlfn.XLOOKUP(K1003, CCF!B:B, CCF!C:C)</f>
        <v>85499</v>
      </c>
      <c r="M1003" t="s">
        <v>38</v>
      </c>
    </row>
    <row r="1004" spans="1:13" x14ac:dyDescent="0.3">
      <c r="A1004">
        <v>1003</v>
      </c>
      <c r="B1004" t="s">
        <v>1665</v>
      </c>
      <c r="C1004" s="3">
        <v>47046</v>
      </c>
      <c r="D1004" t="s">
        <v>666</v>
      </c>
      <c r="E1004">
        <v>20</v>
      </c>
      <c r="F1004" s="1">
        <v>45435</v>
      </c>
      <c r="G1004" s="1" t="str">
        <f>TEXT(Table1[[#This Row],[Enrollment date]], "mmm")</f>
        <v>May</v>
      </c>
      <c r="H1004" t="s">
        <v>360</v>
      </c>
      <c r="I1004" t="s">
        <v>659</v>
      </c>
      <c r="J1004" t="str">
        <f>_xlfn.XLOOKUP(Table1[[#This Row],[Course ]], CCF!B:B, CCF!A:A)</f>
        <v>FSD103</v>
      </c>
      <c r="K1004" t="s">
        <v>366</v>
      </c>
      <c r="L1004">
        <f>_xlfn.XLOOKUP(K1004, CCF!B:B, CCF!C:C)</f>
        <v>109990</v>
      </c>
      <c r="M1004" t="s">
        <v>504</v>
      </c>
    </row>
    <row r="1005" spans="1:13" x14ac:dyDescent="0.3">
      <c r="A1005">
        <v>1004</v>
      </c>
      <c r="B1005" t="s">
        <v>1666</v>
      </c>
      <c r="C1005" s="3">
        <v>85753</v>
      </c>
      <c r="D1005" t="s">
        <v>666</v>
      </c>
      <c r="E1005">
        <v>27</v>
      </c>
      <c r="F1005" s="1">
        <v>45435</v>
      </c>
      <c r="G1005" s="1" t="str">
        <f>TEXT(Table1[[#This Row],[Enrollment date]], "mmm")</f>
        <v>May</v>
      </c>
      <c r="H1005" t="s">
        <v>360</v>
      </c>
      <c r="I1005" t="s">
        <v>661</v>
      </c>
      <c r="J1005" t="str">
        <f>_xlfn.XLOOKUP(Table1[[#This Row],[Course ]], CCF!B:B, CCF!A:A)</f>
        <v>DM101</v>
      </c>
      <c r="K1005" t="s">
        <v>365</v>
      </c>
      <c r="L1005">
        <f>_xlfn.XLOOKUP(K1005, CCF!B:B, CCF!C:C)</f>
        <v>85499</v>
      </c>
      <c r="M1005" t="s">
        <v>154</v>
      </c>
    </row>
    <row r="1006" spans="1:13" x14ac:dyDescent="0.3">
      <c r="A1006">
        <v>1005</v>
      </c>
      <c r="B1006" t="s">
        <v>1667</v>
      </c>
      <c r="C1006" s="3">
        <v>77447</v>
      </c>
      <c r="D1006" t="s">
        <v>666</v>
      </c>
      <c r="E1006">
        <v>34</v>
      </c>
      <c r="F1006" s="1">
        <v>45435</v>
      </c>
      <c r="G1006" s="1" t="str">
        <f>TEXT(Table1[[#This Row],[Enrollment date]], "mmm")</f>
        <v>May</v>
      </c>
      <c r="H1006" t="s">
        <v>3</v>
      </c>
      <c r="I1006" t="s">
        <v>661</v>
      </c>
      <c r="J1006" t="str">
        <f>_xlfn.XLOOKUP(Table1[[#This Row],[Course ]], CCF!B:B, CCF!A:A)</f>
        <v>FSD103</v>
      </c>
      <c r="K1006" t="s">
        <v>366</v>
      </c>
      <c r="L1006">
        <f>_xlfn.XLOOKUP(K1006, CCF!B:B, CCF!C:C)</f>
        <v>109990</v>
      </c>
      <c r="M1006" t="s">
        <v>16</v>
      </c>
    </row>
    <row r="1007" spans="1:13" x14ac:dyDescent="0.3">
      <c r="A1007">
        <v>1006</v>
      </c>
      <c r="B1007" t="s">
        <v>1668</v>
      </c>
      <c r="C1007" s="3">
        <v>60266</v>
      </c>
      <c r="D1007" t="s">
        <v>666</v>
      </c>
      <c r="E1007">
        <v>78</v>
      </c>
      <c r="F1007" s="1">
        <v>45435</v>
      </c>
      <c r="G1007" s="1" t="str">
        <f>TEXT(Table1[[#This Row],[Enrollment date]], "mmm")</f>
        <v>May</v>
      </c>
      <c r="H1007" t="s">
        <v>360</v>
      </c>
      <c r="I1007" t="s">
        <v>659</v>
      </c>
      <c r="J1007" t="str">
        <f>_xlfn.XLOOKUP(Table1[[#This Row],[Course ]], CCF!B:B, CCF!A:A)</f>
        <v>DA202</v>
      </c>
      <c r="K1007" t="s">
        <v>363</v>
      </c>
      <c r="L1007">
        <f>_xlfn.XLOOKUP(K1007, CCF!B:B, CCF!C:C)</f>
        <v>79999</v>
      </c>
      <c r="M1007" t="s">
        <v>33</v>
      </c>
    </row>
    <row r="1008" spans="1:13" x14ac:dyDescent="0.3">
      <c r="A1008">
        <v>1007</v>
      </c>
      <c r="B1008" t="s">
        <v>1669</v>
      </c>
      <c r="C1008" s="3">
        <v>96713</v>
      </c>
      <c r="D1008" t="s">
        <v>666</v>
      </c>
      <c r="E1008">
        <v>37</v>
      </c>
      <c r="F1008" s="1">
        <v>45436</v>
      </c>
      <c r="G1008" s="1" t="str">
        <f>TEXT(Table1[[#This Row],[Enrollment date]], "mmm")</f>
        <v>May</v>
      </c>
      <c r="H1008" t="s">
        <v>3</v>
      </c>
      <c r="I1008" t="s">
        <v>660</v>
      </c>
      <c r="J1008" t="str">
        <f>_xlfn.XLOOKUP(Table1[[#This Row],[Course ]], CCF!B:B, CCF!A:A)</f>
        <v>DM101</v>
      </c>
      <c r="K1008" t="s">
        <v>365</v>
      </c>
      <c r="L1008">
        <f>_xlfn.XLOOKUP(K1008, CCF!B:B, CCF!C:C)</f>
        <v>85499</v>
      </c>
      <c r="M1008" t="s">
        <v>55</v>
      </c>
    </row>
    <row r="1009" spans="1:13" x14ac:dyDescent="0.3">
      <c r="A1009">
        <v>1008</v>
      </c>
      <c r="B1009" t="s">
        <v>1670</v>
      </c>
      <c r="C1009" s="3">
        <v>84215</v>
      </c>
      <c r="D1009" t="s">
        <v>666</v>
      </c>
      <c r="E1009">
        <v>36</v>
      </c>
      <c r="F1009" s="1">
        <v>45436</v>
      </c>
      <c r="G1009" s="1" t="str">
        <f>TEXT(Table1[[#This Row],[Enrollment date]], "mmm")</f>
        <v>May</v>
      </c>
      <c r="H1009" t="s">
        <v>360</v>
      </c>
      <c r="I1009" t="s">
        <v>661</v>
      </c>
      <c r="J1009" t="str">
        <f>_xlfn.XLOOKUP(Table1[[#This Row],[Course ]], CCF!B:B, CCF!A:A)</f>
        <v>FSD103</v>
      </c>
      <c r="K1009" t="s">
        <v>366</v>
      </c>
      <c r="L1009">
        <f>_xlfn.XLOOKUP(K1009, CCF!B:B, CCF!C:C)</f>
        <v>109990</v>
      </c>
      <c r="M1009" t="s">
        <v>16</v>
      </c>
    </row>
    <row r="1010" spans="1:13" x14ac:dyDescent="0.3">
      <c r="A1010">
        <v>1009</v>
      </c>
      <c r="B1010" t="s">
        <v>1671</v>
      </c>
      <c r="C1010" s="3">
        <v>77302</v>
      </c>
      <c r="D1010" t="s">
        <v>666</v>
      </c>
      <c r="E1010">
        <v>57</v>
      </c>
      <c r="F1010" s="1">
        <v>45436</v>
      </c>
      <c r="G1010" s="1" t="str">
        <f>TEXT(Table1[[#This Row],[Enrollment date]], "mmm")</f>
        <v>May</v>
      </c>
      <c r="H1010" t="s">
        <v>360</v>
      </c>
      <c r="I1010" t="s">
        <v>660</v>
      </c>
      <c r="J1010" t="str">
        <f>_xlfn.XLOOKUP(Table1[[#This Row],[Course ]], CCF!B:B, CCF!A:A)</f>
        <v>DM101</v>
      </c>
      <c r="K1010" t="s">
        <v>365</v>
      </c>
      <c r="L1010">
        <f>_xlfn.XLOOKUP(K1010, CCF!B:B, CCF!C:C)</f>
        <v>85499</v>
      </c>
      <c r="M1010" t="s">
        <v>27</v>
      </c>
    </row>
    <row r="1011" spans="1:13" x14ac:dyDescent="0.3">
      <c r="A1011">
        <v>1010</v>
      </c>
      <c r="B1011" t="s">
        <v>1672</v>
      </c>
      <c r="C1011" s="3">
        <v>87089</v>
      </c>
      <c r="D1011" t="s">
        <v>666</v>
      </c>
      <c r="E1011">
        <v>27</v>
      </c>
      <c r="F1011" s="1">
        <v>45436</v>
      </c>
      <c r="G1011" s="1" t="str">
        <f>TEXT(Table1[[#This Row],[Enrollment date]], "mmm")</f>
        <v>May</v>
      </c>
      <c r="H1011" t="s">
        <v>360</v>
      </c>
      <c r="I1011" t="s">
        <v>659</v>
      </c>
      <c r="J1011" t="str">
        <f>_xlfn.XLOOKUP(Table1[[#This Row],[Course ]], CCF!B:B, CCF!A:A)</f>
        <v>DA202</v>
      </c>
      <c r="K1011" t="s">
        <v>363</v>
      </c>
      <c r="L1011">
        <f>_xlfn.XLOOKUP(K1011, CCF!B:B, CCF!C:C)</f>
        <v>79999</v>
      </c>
      <c r="M1011" t="s">
        <v>196</v>
      </c>
    </row>
    <row r="1012" spans="1:13" x14ac:dyDescent="0.3">
      <c r="A1012">
        <v>1011</v>
      </c>
      <c r="B1012" t="s">
        <v>1673</v>
      </c>
      <c r="C1012" s="3">
        <v>93343</v>
      </c>
      <c r="D1012" t="s">
        <v>666</v>
      </c>
      <c r="E1012">
        <v>51</v>
      </c>
      <c r="F1012" s="1">
        <v>45436</v>
      </c>
      <c r="G1012" s="1" t="str">
        <f>TEXT(Table1[[#This Row],[Enrollment date]], "mmm")</f>
        <v>May</v>
      </c>
      <c r="H1012" t="s">
        <v>3</v>
      </c>
      <c r="I1012" t="s">
        <v>660</v>
      </c>
      <c r="J1012" t="str">
        <f>_xlfn.XLOOKUP(Table1[[#This Row],[Course ]], CCF!B:B, CCF!A:A)</f>
        <v>DM101</v>
      </c>
      <c r="K1012" t="s">
        <v>365</v>
      </c>
      <c r="L1012">
        <f>_xlfn.XLOOKUP(K1012, CCF!B:B, CCF!C:C)</f>
        <v>85499</v>
      </c>
      <c r="M1012" t="s">
        <v>17</v>
      </c>
    </row>
    <row r="1013" spans="1:13" x14ac:dyDescent="0.3">
      <c r="A1013">
        <v>1012</v>
      </c>
      <c r="B1013" t="s">
        <v>1674</v>
      </c>
      <c r="C1013" s="3">
        <v>11683</v>
      </c>
      <c r="D1013" t="s">
        <v>666</v>
      </c>
      <c r="E1013">
        <v>49</v>
      </c>
      <c r="F1013" s="1">
        <v>45436</v>
      </c>
      <c r="G1013" s="1" t="str">
        <f>TEXT(Table1[[#This Row],[Enrollment date]], "mmm")</f>
        <v>May</v>
      </c>
      <c r="H1013" t="s">
        <v>360</v>
      </c>
      <c r="I1013" t="s">
        <v>661</v>
      </c>
      <c r="J1013" t="str">
        <f>_xlfn.XLOOKUP(Table1[[#This Row],[Course ]], CCF!B:B, CCF!A:A)</f>
        <v>DA202</v>
      </c>
      <c r="K1013" t="s">
        <v>363</v>
      </c>
      <c r="L1013">
        <f>_xlfn.XLOOKUP(K1013, CCF!B:B, CCF!C:C)</f>
        <v>79999</v>
      </c>
      <c r="M1013" t="s">
        <v>59</v>
      </c>
    </row>
    <row r="1014" spans="1:13" x14ac:dyDescent="0.3">
      <c r="A1014">
        <v>1013</v>
      </c>
      <c r="B1014" t="s">
        <v>1675</v>
      </c>
      <c r="C1014" s="3">
        <v>56171</v>
      </c>
      <c r="D1014" t="s">
        <v>666</v>
      </c>
      <c r="E1014">
        <v>22</v>
      </c>
      <c r="F1014" s="1">
        <v>45436</v>
      </c>
      <c r="G1014" s="1" t="str">
        <f>TEXT(Table1[[#This Row],[Enrollment date]], "mmm")</f>
        <v>May</v>
      </c>
      <c r="H1014" t="s">
        <v>360</v>
      </c>
      <c r="I1014" t="s">
        <v>661</v>
      </c>
      <c r="J1014" t="str">
        <f>_xlfn.XLOOKUP(Table1[[#This Row],[Course ]], CCF!B:B, CCF!A:A)</f>
        <v>DA202</v>
      </c>
      <c r="K1014" t="s">
        <v>363</v>
      </c>
      <c r="L1014">
        <f>_xlfn.XLOOKUP(K1014, CCF!B:B, CCF!C:C)</f>
        <v>79999</v>
      </c>
      <c r="M1014" t="s">
        <v>17</v>
      </c>
    </row>
    <row r="1015" spans="1:13" x14ac:dyDescent="0.3">
      <c r="A1015">
        <v>1014</v>
      </c>
      <c r="B1015" t="s">
        <v>1676</v>
      </c>
      <c r="C1015" s="3">
        <v>23488</v>
      </c>
      <c r="D1015" t="s">
        <v>666</v>
      </c>
      <c r="E1015">
        <v>35</v>
      </c>
      <c r="F1015" s="1">
        <v>45437</v>
      </c>
      <c r="G1015" s="1" t="str">
        <f>TEXT(Table1[[#This Row],[Enrollment date]], "mmm")</f>
        <v>May</v>
      </c>
      <c r="H1015" t="s">
        <v>360</v>
      </c>
      <c r="I1015" t="s">
        <v>659</v>
      </c>
      <c r="J1015" t="str">
        <f>_xlfn.XLOOKUP(Table1[[#This Row],[Course ]], CCF!B:B, CCF!A:A)</f>
        <v>DM101</v>
      </c>
      <c r="K1015" t="s">
        <v>365</v>
      </c>
      <c r="L1015">
        <f>_xlfn.XLOOKUP(K1015, CCF!B:B, CCF!C:C)</f>
        <v>85499</v>
      </c>
      <c r="M1015" t="s">
        <v>16</v>
      </c>
    </row>
    <row r="1016" spans="1:13" x14ac:dyDescent="0.3">
      <c r="A1016">
        <v>1015</v>
      </c>
      <c r="B1016" t="s">
        <v>1677</v>
      </c>
      <c r="C1016" s="3">
        <v>22688</v>
      </c>
      <c r="D1016" t="s">
        <v>666</v>
      </c>
      <c r="E1016">
        <v>68</v>
      </c>
      <c r="F1016" s="1">
        <v>45437</v>
      </c>
      <c r="G1016" s="1" t="str">
        <f>TEXT(Table1[[#This Row],[Enrollment date]], "mmm")</f>
        <v>May</v>
      </c>
      <c r="H1016" t="s">
        <v>3</v>
      </c>
      <c r="I1016" t="s">
        <v>661</v>
      </c>
      <c r="J1016" t="str">
        <f>_xlfn.XLOOKUP(Table1[[#This Row],[Course ]], CCF!B:B, CCF!A:A)</f>
        <v>DM101</v>
      </c>
      <c r="K1016" t="s">
        <v>365</v>
      </c>
      <c r="L1016">
        <f>_xlfn.XLOOKUP(K1016, CCF!B:B, CCF!C:C)</f>
        <v>85499</v>
      </c>
      <c r="M1016" t="s">
        <v>16</v>
      </c>
    </row>
    <row r="1017" spans="1:13" x14ac:dyDescent="0.3">
      <c r="A1017">
        <v>1016</v>
      </c>
      <c r="B1017" t="s">
        <v>1678</v>
      </c>
      <c r="C1017" s="3">
        <v>45474</v>
      </c>
      <c r="D1017" t="s">
        <v>666</v>
      </c>
      <c r="E1017">
        <v>39</v>
      </c>
      <c r="F1017" s="1">
        <v>45437</v>
      </c>
      <c r="G1017" s="1" t="str">
        <f>TEXT(Table1[[#This Row],[Enrollment date]], "mmm")</f>
        <v>May</v>
      </c>
      <c r="H1017" t="s">
        <v>360</v>
      </c>
      <c r="I1017" t="s">
        <v>661</v>
      </c>
      <c r="J1017" t="str">
        <f>_xlfn.XLOOKUP(Table1[[#This Row],[Course ]], CCF!B:B, CCF!A:A)</f>
        <v>DM101</v>
      </c>
      <c r="K1017" t="s">
        <v>365</v>
      </c>
      <c r="L1017">
        <f>_xlfn.XLOOKUP(K1017, CCF!B:B, CCF!C:C)</f>
        <v>85499</v>
      </c>
      <c r="M1017" t="s">
        <v>53</v>
      </c>
    </row>
    <row r="1018" spans="1:13" x14ac:dyDescent="0.3">
      <c r="A1018">
        <v>1017</v>
      </c>
      <c r="B1018" t="s">
        <v>1679</v>
      </c>
      <c r="C1018" s="3">
        <v>99021</v>
      </c>
      <c r="D1018" t="s">
        <v>667</v>
      </c>
      <c r="E1018">
        <v>38</v>
      </c>
      <c r="F1018" s="1">
        <v>45437</v>
      </c>
      <c r="G1018" s="1" t="str">
        <f>TEXT(Table1[[#This Row],[Enrollment date]], "mmm")</f>
        <v>May</v>
      </c>
      <c r="H1018" t="s">
        <v>360</v>
      </c>
      <c r="I1018" t="s">
        <v>661</v>
      </c>
      <c r="J1018" t="str">
        <f>_xlfn.XLOOKUP(Table1[[#This Row],[Course ]], CCF!B:B, CCF!A:A)</f>
        <v>DM101</v>
      </c>
      <c r="K1018" t="s">
        <v>365</v>
      </c>
      <c r="L1018">
        <f>_xlfn.XLOOKUP(K1018, CCF!B:B, CCF!C:C)</f>
        <v>85499</v>
      </c>
      <c r="M1018" t="s">
        <v>505</v>
      </c>
    </row>
    <row r="1019" spans="1:13" x14ac:dyDescent="0.3">
      <c r="A1019">
        <v>1018</v>
      </c>
      <c r="B1019" t="s">
        <v>1680</v>
      </c>
      <c r="C1019" s="3">
        <v>65299</v>
      </c>
      <c r="D1019" t="s">
        <v>667</v>
      </c>
      <c r="E1019">
        <v>52</v>
      </c>
      <c r="F1019" s="1">
        <v>45437</v>
      </c>
      <c r="G1019" s="1" t="str">
        <f>TEXT(Table1[[#This Row],[Enrollment date]], "mmm")</f>
        <v>May</v>
      </c>
      <c r="H1019" t="s">
        <v>360</v>
      </c>
      <c r="I1019" t="s">
        <v>665</v>
      </c>
      <c r="J1019" t="str">
        <f>_xlfn.XLOOKUP(Table1[[#This Row],[Course ]], CCF!B:B, CCF!A:A)</f>
        <v>DM101</v>
      </c>
      <c r="K1019" t="s">
        <v>365</v>
      </c>
      <c r="L1019">
        <f>_xlfn.XLOOKUP(K1019, CCF!B:B, CCF!C:C)</f>
        <v>85499</v>
      </c>
      <c r="M1019" t="s">
        <v>203</v>
      </c>
    </row>
    <row r="1020" spans="1:13" x14ac:dyDescent="0.3">
      <c r="A1020">
        <v>1019</v>
      </c>
      <c r="B1020" t="s">
        <v>1681</v>
      </c>
      <c r="C1020" s="3">
        <v>76479</v>
      </c>
      <c r="D1020" t="s">
        <v>666</v>
      </c>
      <c r="E1020">
        <v>26</v>
      </c>
      <c r="F1020" s="1">
        <v>45437</v>
      </c>
      <c r="G1020" s="1" t="str">
        <f>TEXT(Table1[[#This Row],[Enrollment date]], "mmm")</f>
        <v>May</v>
      </c>
      <c r="H1020" t="s">
        <v>3</v>
      </c>
      <c r="I1020" t="s">
        <v>660</v>
      </c>
      <c r="J1020" t="str">
        <f>_xlfn.XLOOKUP(Table1[[#This Row],[Course ]], CCF!B:B, CCF!A:A)</f>
        <v>UX401</v>
      </c>
      <c r="K1020" t="s">
        <v>367</v>
      </c>
      <c r="L1020">
        <f>_xlfn.XLOOKUP(K1020, CCF!B:B, CCF!C:C)</f>
        <v>67990</v>
      </c>
      <c r="M1020" t="s">
        <v>16</v>
      </c>
    </row>
    <row r="1021" spans="1:13" x14ac:dyDescent="0.3">
      <c r="A1021">
        <v>1020</v>
      </c>
      <c r="B1021" t="s">
        <v>1682</v>
      </c>
      <c r="C1021" s="3">
        <v>61673</v>
      </c>
      <c r="D1021" t="s">
        <v>667</v>
      </c>
      <c r="E1021">
        <v>36</v>
      </c>
      <c r="F1021" s="1">
        <v>45437</v>
      </c>
      <c r="G1021" s="1" t="str">
        <f>TEXT(Table1[[#This Row],[Enrollment date]], "mmm")</f>
        <v>May</v>
      </c>
      <c r="H1021" t="s">
        <v>360</v>
      </c>
      <c r="I1021" t="s">
        <v>660</v>
      </c>
      <c r="J1021" t="str">
        <f>_xlfn.XLOOKUP(Table1[[#This Row],[Course ]], CCF!B:B, CCF!A:A)</f>
        <v>DA202</v>
      </c>
      <c r="K1021" t="s">
        <v>363</v>
      </c>
      <c r="L1021">
        <f>_xlfn.XLOOKUP(K1021, CCF!B:B, CCF!C:C)</f>
        <v>79999</v>
      </c>
      <c r="M1021" t="s">
        <v>80</v>
      </c>
    </row>
    <row r="1022" spans="1:13" x14ac:dyDescent="0.3">
      <c r="A1022">
        <v>1021</v>
      </c>
      <c r="B1022" t="s">
        <v>1683</v>
      </c>
      <c r="C1022" s="3">
        <v>13255</v>
      </c>
      <c r="D1022" t="s">
        <v>667</v>
      </c>
      <c r="E1022">
        <v>44</v>
      </c>
      <c r="F1022" s="1">
        <v>45437</v>
      </c>
      <c r="G1022" s="1" t="str">
        <f>TEXT(Table1[[#This Row],[Enrollment date]], "mmm")</f>
        <v>May</v>
      </c>
      <c r="H1022" t="s">
        <v>360</v>
      </c>
      <c r="I1022" t="s">
        <v>660</v>
      </c>
      <c r="J1022" t="str">
        <f>_xlfn.XLOOKUP(Table1[[#This Row],[Course ]], CCF!B:B, CCF!A:A)</f>
        <v>DA202</v>
      </c>
      <c r="K1022" t="s">
        <v>363</v>
      </c>
      <c r="L1022">
        <f>_xlfn.XLOOKUP(K1022, CCF!B:B, CCF!C:C)</f>
        <v>79999</v>
      </c>
      <c r="M1022" t="s">
        <v>9</v>
      </c>
    </row>
    <row r="1023" spans="1:13" x14ac:dyDescent="0.3">
      <c r="A1023">
        <v>1022</v>
      </c>
      <c r="B1023" t="s">
        <v>1684</v>
      </c>
      <c r="C1023" s="3">
        <v>83937</v>
      </c>
      <c r="D1023" t="s">
        <v>666</v>
      </c>
      <c r="E1023">
        <v>57</v>
      </c>
      <c r="F1023" s="1">
        <v>45437</v>
      </c>
      <c r="G1023" s="1" t="str">
        <f>TEXT(Table1[[#This Row],[Enrollment date]], "mmm")</f>
        <v>May</v>
      </c>
      <c r="H1023" t="s">
        <v>360</v>
      </c>
      <c r="I1023" t="s">
        <v>662</v>
      </c>
      <c r="J1023" t="str">
        <f>_xlfn.XLOOKUP(Table1[[#This Row],[Course ]], CCF!B:B, CCF!A:A)</f>
        <v>DM101</v>
      </c>
      <c r="K1023" t="s">
        <v>365</v>
      </c>
      <c r="L1023">
        <f>_xlfn.XLOOKUP(K1023, CCF!B:B, CCF!C:C)</f>
        <v>85499</v>
      </c>
      <c r="M1023" t="s">
        <v>9</v>
      </c>
    </row>
    <row r="1024" spans="1:13" x14ac:dyDescent="0.3">
      <c r="A1024">
        <v>1023</v>
      </c>
      <c r="B1024" t="s">
        <v>1685</v>
      </c>
      <c r="C1024" s="3">
        <v>36149</v>
      </c>
      <c r="D1024" t="s">
        <v>666</v>
      </c>
      <c r="E1024">
        <v>24</v>
      </c>
      <c r="F1024" s="1">
        <v>45437</v>
      </c>
      <c r="G1024" s="1" t="str">
        <f>TEXT(Table1[[#This Row],[Enrollment date]], "mmm")</f>
        <v>May</v>
      </c>
      <c r="H1024" t="s">
        <v>360</v>
      </c>
      <c r="I1024" t="s">
        <v>662</v>
      </c>
      <c r="J1024" t="str">
        <f>_xlfn.XLOOKUP(Table1[[#This Row],[Course ]], CCF!B:B, CCF!A:A)</f>
        <v>BA301</v>
      </c>
      <c r="K1024" t="s">
        <v>364</v>
      </c>
      <c r="L1024">
        <f>_xlfn.XLOOKUP(K1024, CCF!B:B, CCF!C:C)</f>
        <v>59999</v>
      </c>
      <c r="M1024" t="s">
        <v>140</v>
      </c>
    </row>
    <row r="1025" spans="1:13" x14ac:dyDescent="0.3">
      <c r="A1025">
        <v>1024</v>
      </c>
      <c r="B1025" t="s">
        <v>1686</v>
      </c>
      <c r="C1025" s="3">
        <v>79567</v>
      </c>
      <c r="D1025" t="s">
        <v>667</v>
      </c>
      <c r="E1025">
        <v>44</v>
      </c>
      <c r="F1025" s="1">
        <v>45437</v>
      </c>
      <c r="G1025" s="1" t="str">
        <f>TEXT(Table1[[#This Row],[Enrollment date]], "mmm")</f>
        <v>May</v>
      </c>
      <c r="H1025" t="s">
        <v>360</v>
      </c>
      <c r="I1025" t="s">
        <v>660</v>
      </c>
      <c r="J1025" t="str">
        <f>_xlfn.XLOOKUP(Table1[[#This Row],[Course ]], CCF!B:B, CCF!A:A)</f>
        <v>UX401</v>
      </c>
      <c r="K1025" t="s">
        <v>367</v>
      </c>
      <c r="L1025">
        <f>_xlfn.XLOOKUP(K1025, CCF!B:B, CCF!C:C)</f>
        <v>67990</v>
      </c>
      <c r="M1025" t="s">
        <v>53</v>
      </c>
    </row>
    <row r="1026" spans="1:13" x14ac:dyDescent="0.3">
      <c r="A1026">
        <v>1025</v>
      </c>
      <c r="B1026" t="s">
        <v>1687</v>
      </c>
      <c r="C1026" s="3">
        <v>41547</v>
      </c>
      <c r="D1026" t="s">
        <v>667</v>
      </c>
      <c r="E1026">
        <v>74</v>
      </c>
      <c r="F1026" s="1">
        <v>45438</v>
      </c>
      <c r="G1026" s="1" t="str">
        <f>TEXT(Table1[[#This Row],[Enrollment date]], "mmm")</f>
        <v>May</v>
      </c>
      <c r="H1026" t="s">
        <v>360</v>
      </c>
      <c r="I1026" t="s">
        <v>659</v>
      </c>
      <c r="J1026" t="str">
        <f>_xlfn.XLOOKUP(Table1[[#This Row],[Course ]], CCF!B:B, CCF!A:A)</f>
        <v>DA202</v>
      </c>
      <c r="K1026" t="s">
        <v>363</v>
      </c>
      <c r="L1026">
        <f>_xlfn.XLOOKUP(K1026, CCF!B:B, CCF!C:C)</f>
        <v>79999</v>
      </c>
      <c r="M1026" t="s">
        <v>18</v>
      </c>
    </row>
    <row r="1027" spans="1:13" x14ac:dyDescent="0.3">
      <c r="A1027">
        <v>1026</v>
      </c>
      <c r="B1027" t="s">
        <v>1688</v>
      </c>
      <c r="C1027" s="3">
        <v>62231</v>
      </c>
      <c r="D1027" t="s">
        <v>667</v>
      </c>
      <c r="E1027">
        <v>32</v>
      </c>
      <c r="F1027" s="1">
        <v>45438</v>
      </c>
      <c r="G1027" s="1" t="str">
        <f>TEXT(Table1[[#This Row],[Enrollment date]], "mmm")</f>
        <v>May</v>
      </c>
      <c r="H1027" t="s">
        <v>360</v>
      </c>
      <c r="I1027" t="s">
        <v>660</v>
      </c>
      <c r="J1027" t="str">
        <f>_xlfn.XLOOKUP(Table1[[#This Row],[Course ]], CCF!B:B, CCF!A:A)</f>
        <v>BA301</v>
      </c>
      <c r="K1027" t="s">
        <v>364</v>
      </c>
      <c r="L1027">
        <f>_xlfn.XLOOKUP(K1027, CCF!B:B, CCF!C:C)</f>
        <v>59999</v>
      </c>
      <c r="M1027" t="s">
        <v>43</v>
      </c>
    </row>
    <row r="1028" spans="1:13" x14ac:dyDescent="0.3">
      <c r="A1028">
        <v>1027</v>
      </c>
      <c r="B1028" t="s">
        <v>1689</v>
      </c>
      <c r="C1028" s="3">
        <v>46218</v>
      </c>
      <c r="D1028" t="s">
        <v>666</v>
      </c>
      <c r="E1028">
        <v>57</v>
      </c>
      <c r="F1028" s="1">
        <v>45438</v>
      </c>
      <c r="G1028" s="1" t="str">
        <f>TEXT(Table1[[#This Row],[Enrollment date]], "mmm")</f>
        <v>May</v>
      </c>
      <c r="H1028" t="s">
        <v>360</v>
      </c>
      <c r="I1028" t="s">
        <v>661</v>
      </c>
      <c r="J1028" t="str">
        <f>_xlfn.XLOOKUP(Table1[[#This Row],[Course ]], CCF!B:B, CCF!A:A)</f>
        <v>DM101</v>
      </c>
      <c r="K1028" t="s">
        <v>365</v>
      </c>
      <c r="L1028">
        <f>_xlfn.XLOOKUP(K1028, CCF!B:B, CCF!C:C)</f>
        <v>85499</v>
      </c>
      <c r="M1028" t="s">
        <v>231</v>
      </c>
    </row>
    <row r="1029" spans="1:13" x14ac:dyDescent="0.3">
      <c r="A1029">
        <v>1028</v>
      </c>
      <c r="B1029" t="s">
        <v>1690</v>
      </c>
      <c r="C1029" s="3">
        <v>83129</v>
      </c>
      <c r="D1029" t="s">
        <v>666</v>
      </c>
      <c r="E1029">
        <v>28</v>
      </c>
      <c r="F1029" s="1">
        <v>45438</v>
      </c>
      <c r="G1029" s="1" t="str">
        <f>TEXT(Table1[[#This Row],[Enrollment date]], "mmm")</f>
        <v>May</v>
      </c>
      <c r="H1029" t="s">
        <v>360</v>
      </c>
      <c r="I1029" t="s">
        <v>663</v>
      </c>
      <c r="J1029" t="str">
        <f>_xlfn.XLOOKUP(Table1[[#This Row],[Course ]], CCF!B:B, CCF!A:A)</f>
        <v>BA301</v>
      </c>
      <c r="K1029" t="s">
        <v>364</v>
      </c>
      <c r="L1029">
        <f>_xlfn.XLOOKUP(K1029, CCF!B:B, CCF!C:C)</f>
        <v>59999</v>
      </c>
      <c r="M1029" t="s">
        <v>17</v>
      </c>
    </row>
    <row r="1030" spans="1:13" x14ac:dyDescent="0.3">
      <c r="A1030">
        <v>1029</v>
      </c>
      <c r="B1030" t="s">
        <v>1691</v>
      </c>
      <c r="C1030" s="3">
        <v>85872</v>
      </c>
      <c r="D1030" t="s">
        <v>666</v>
      </c>
      <c r="E1030">
        <v>21</v>
      </c>
      <c r="F1030" s="1">
        <v>45438</v>
      </c>
      <c r="G1030" s="1" t="str">
        <f>TEXT(Table1[[#This Row],[Enrollment date]], "mmm")</f>
        <v>May</v>
      </c>
      <c r="H1030" t="s">
        <v>360</v>
      </c>
      <c r="I1030" t="s">
        <v>660</v>
      </c>
      <c r="J1030" t="str">
        <f>_xlfn.XLOOKUP(Table1[[#This Row],[Course ]], CCF!B:B, CCF!A:A)</f>
        <v>FSD103</v>
      </c>
      <c r="K1030" t="s">
        <v>366</v>
      </c>
      <c r="L1030">
        <f>_xlfn.XLOOKUP(K1030, CCF!B:B, CCF!C:C)</f>
        <v>109990</v>
      </c>
      <c r="M1030" t="s">
        <v>30</v>
      </c>
    </row>
    <row r="1031" spans="1:13" x14ac:dyDescent="0.3">
      <c r="A1031">
        <v>1030</v>
      </c>
      <c r="B1031" t="s">
        <v>1692</v>
      </c>
      <c r="C1031" s="3">
        <v>97277</v>
      </c>
      <c r="D1031" t="s">
        <v>666</v>
      </c>
      <c r="E1031">
        <v>32</v>
      </c>
      <c r="F1031" s="1">
        <v>45438</v>
      </c>
      <c r="G1031" s="1" t="str">
        <f>TEXT(Table1[[#This Row],[Enrollment date]], "mmm")</f>
        <v>May</v>
      </c>
      <c r="H1031" t="s">
        <v>360</v>
      </c>
      <c r="I1031" t="s">
        <v>663</v>
      </c>
      <c r="J1031" t="str">
        <f>_xlfn.XLOOKUP(Table1[[#This Row],[Course ]], CCF!B:B, CCF!A:A)</f>
        <v>DA202</v>
      </c>
      <c r="K1031" t="s">
        <v>363</v>
      </c>
      <c r="L1031">
        <f>_xlfn.XLOOKUP(K1031, CCF!B:B, CCF!C:C)</f>
        <v>79999</v>
      </c>
      <c r="M1031" t="s">
        <v>9</v>
      </c>
    </row>
    <row r="1032" spans="1:13" x14ac:dyDescent="0.3">
      <c r="A1032">
        <v>1031</v>
      </c>
      <c r="B1032" t="s">
        <v>1693</v>
      </c>
      <c r="C1032" s="3">
        <v>46326</v>
      </c>
      <c r="D1032" t="s">
        <v>666</v>
      </c>
      <c r="E1032">
        <v>18</v>
      </c>
      <c r="F1032" s="1">
        <v>45438</v>
      </c>
      <c r="G1032" s="1" t="str">
        <f>TEXT(Table1[[#This Row],[Enrollment date]], "mmm")</f>
        <v>May</v>
      </c>
      <c r="H1032" t="s">
        <v>360</v>
      </c>
      <c r="I1032" t="s">
        <v>663</v>
      </c>
      <c r="J1032" t="str">
        <f>_xlfn.XLOOKUP(Table1[[#This Row],[Course ]], CCF!B:B, CCF!A:A)</f>
        <v>DM101</v>
      </c>
      <c r="K1032" t="s">
        <v>365</v>
      </c>
      <c r="L1032">
        <f>_xlfn.XLOOKUP(K1032, CCF!B:B, CCF!C:C)</f>
        <v>85499</v>
      </c>
      <c r="M1032" t="s">
        <v>301</v>
      </c>
    </row>
    <row r="1033" spans="1:13" x14ac:dyDescent="0.3">
      <c r="A1033">
        <v>1032</v>
      </c>
      <c r="B1033" t="s">
        <v>1694</v>
      </c>
      <c r="C1033" s="3">
        <v>60924</v>
      </c>
      <c r="D1033" t="s">
        <v>666</v>
      </c>
      <c r="E1033">
        <v>48</v>
      </c>
      <c r="F1033" s="1">
        <v>45438</v>
      </c>
      <c r="G1033" s="1" t="str">
        <f>TEXT(Table1[[#This Row],[Enrollment date]], "mmm")</f>
        <v>May</v>
      </c>
      <c r="H1033" t="s">
        <v>360</v>
      </c>
      <c r="I1033" t="s">
        <v>660</v>
      </c>
      <c r="J1033" t="str">
        <f>_xlfn.XLOOKUP(Table1[[#This Row],[Course ]], CCF!B:B, CCF!A:A)</f>
        <v>BA301</v>
      </c>
      <c r="K1033" t="s">
        <v>364</v>
      </c>
      <c r="L1033">
        <f>_xlfn.XLOOKUP(K1033, CCF!B:B, CCF!C:C)</f>
        <v>59999</v>
      </c>
      <c r="M1033" t="s">
        <v>506</v>
      </c>
    </row>
    <row r="1034" spans="1:13" x14ac:dyDescent="0.3">
      <c r="A1034">
        <v>1033</v>
      </c>
      <c r="B1034" t="s">
        <v>1695</v>
      </c>
      <c r="C1034" s="3">
        <v>92594</v>
      </c>
      <c r="D1034" t="s">
        <v>667</v>
      </c>
      <c r="E1034">
        <v>27</v>
      </c>
      <c r="F1034" s="1">
        <v>45438</v>
      </c>
      <c r="G1034" s="1" t="str">
        <f>TEXT(Table1[[#This Row],[Enrollment date]], "mmm")</f>
        <v>May</v>
      </c>
      <c r="H1034" t="s">
        <v>360</v>
      </c>
      <c r="I1034" t="s">
        <v>659</v>
      </c>
      <c r="J1034" t="str">
        <f>_xlfn.XLOOKUP(Table1[[#This Row],[Course ]], CCF!B:B, CCF!A:A)</f>
        <v>DM101</v>
      </c>
      <c r="K1034" t="s">
        <v>365</v>
      </c>
      <c r="L1034">
        <f>_xlfn.XLOOKUP(K1034, CCF!B:B, CCF!C:C)</f>
        <v>85499</v>
      </c>
      <c r="M1034" t="s">
        <v>454</v>
      </c>
    </row>
    <row r="1035" spans="1:13" x14ac:dyDescent="0.3">
      <c r="A1035">
        <v>1034</v>
      </c>
      <c r="B1035" t="s">
        <v>1696</v>
      </c>
      <c r="C1035" s="3">
        <v>70017</v>
      </c>
      <c r="D1035" t="s">
        <v>667</v>
      </c>
      <c r="E1035">
        <v>30</v>
      </c>
      <c r="F1035" s="1">
        <v>45438</v>
      </c>
      <c r="G1035" s="1" t="str">
        <f>TEXT(Table1[[#This Row],[Enrollment date]], "mmm")</f>
        <v>May</v>
      </c>
      <c r="H1035" t="s">
        <v>360</v>
      </c>
      <c r="I1035" t="s">
        <v>660</v>
      </c>
      <c r="J1035" t="str">
        <f>_xlfn.XLOOKUP(Table1[[#This Row],[Course ]], CCF!B:B, CCF!A:A)</f>
        <v>DA202</v>
      </c>
      <c r="K1035" t="s">
        <v>363</v>
      </c>
      <c r="L1035">
        <f>_xlfn.XLOOKUP(K1035, CCF!B:B, CCF!C:C)</f>
        <v>79999</v>
      </c>
      <c r="M1035" t="s">
        <v>86</v>
      </c>
    </row>
    <row r="1036" spans="1:13" x14ac:dyDescent="0.3">
      <c r="A1036">
        <v>1035</v>
      </c>
      <c r="B1036" t="s">
        <v>1697</v>
      </c>
      <c r="C1036" s="3">
        <v>47215</v>
      </c>
      <c r="D1036" t="s">
        <v>667</v>
      </c>
      <c r="E1036">
        <v>25</v>
      </c>
      <c r="F1036" s="1">
        <v>45439</v>
      </c>
      <c r="G1036" s="1" t="str">
        <f>TEXT(Table1[[#This Row],[Enrollment date]], "mmm")</f>
        <v>May</v>
      </c>
      <c r="H1036" t="s">
        <v>360</v>
      </c>
      <c r="I1036" t="s">
        <v>661</v>
      </c>
      <c r="J1036" t="str">
        <f>_xlfn.XLOOKUP(Table1[[#This Row],[Course ]], CCF!B:B, CCF!A:A)</f>
        <v>DA202</v>
      </c>
      <c r="K1036" t="s">
        <v>363</v>
      </c>
      <c r="L1036">
        <f>_xlfn.XLOOKUP(K1036, CCF!B:B, CCF!C:C)</f>
        <v>79999</v>
      </c>
      <c r="M1036" t="s">
        <v>18</v>
      </c>
    </row>
    <row r="1037" spans="1:13" x14ac:dyDescent="0.3">
      <c r="A1037">
        <v>1036</v>
      </c>
      <c r="B1037" t="s">
        <v>1698</v>
      </c>
      <c r="C1037" s="3">
        <v>20686</v>
      </c>
      <c r="D1037" t="s">
        <v>666</v>
      </c>
      <c r="E1037">
        <v>33</v>
      </c>
      <c r="F1037" s="1">
        <v>45439</v>
      </c>
      <c r="G1037" s="1" t="str">
        <f>TEXT(Table1[[#This Row],[Enrollment date]], "mmm")</f>
        <v>May</v>
      </c>
      <c r="H1037" t="s">
        <v>3</v>
      </c>
      <c r="I1037" t="s">
        <v>659</v>
      </c>
      <c r="J1037" t="str">
        <f>_xlfn.XLOOKUP(Table1[[#This Row],[Course ]], CCF!B:B, CCF!A:A)</f>
        <v>DM101</v>
      </c>
      <c r="K1037" t="s">
        <v>365</v>
      </c>
      <c r="L1037">
        <f>_xlfn.XLOOKUP(K1037, CCF!B:B, CCF!C:C)</f>
        <v>85499</v>
      </c>
      <c r="M1037" t="s">
        <v>99</v>
      </c>
    </row>
    <row r="1038" spans="1:13" x14ac:dyDescent="0.3">
      <c r="A1038">
        <v>1037</v>
      </c>
      <c r="B1038" t="s">
        <v>1699</v>
      </c>
      <c r="C1038" s="3">
        <v>57401</v>
      </c>
      <c r="D1038" t="s">
        <v>666</v>
      </c>
      <c r="E1038">
        <v>45</v>
      </c>
      <c r="F1038" s="1">
        <v>45440</v>
      </c>
      <c r="G1038" s="1" t="str">
        <f>TEXT(Table1[[#This Row],[Enrollment date]], "mmm")</f>
        <v>May</v>
      </c>
      <c r="H1038" t="s">
        <v>360</v>
      </c>
      <c r="I1038" t="s">
        <v>661</v>
      </c>
      <c r="J1038" t="str">
        <f>_xlfn.XLOOKUP(Table1[[#This Row],[Course ]], CCF!B:B, CCF!A:A)</f>
        <v>DA202</v>
      </c>
      <c r="K1038" t="s">
        <v>363</v>
      </c>
      <c r="L1038">
        <f>_xlfn.XLOOKUP(K1038, CCF!B:B, CCF!C:C)</f>
        <v>79999</v>
      </c>
      <c r="M1038" t="s">
        <v>16</v>
      </c>
    </row>
    <row r="1039" spans="1:13" x14ac:dyDescent="0.3">
      <c r="A1039">
        <v>1038</v>
      </c>
      <c r="B1039" t="s">
        <v>1700</v>
      </c>
      <c r="C1039" s="3">
        <v>73977</v>
      </c>
      <c r="D1039" t="s">
        <v>666</v>
      </c>
      <c r="E1039">
        <v>65</v>
      </c>
      <c r="F1039" s="1">
        <v>45440</v>
      </c>
      <c r="G1039" s="1" t="str">
        <f>TEXT(Table1[[#This Row],[Enrollment date]], "mmm")</f>
        <v>May</v>
      </c>
      <c r="H1039" t="s">
        <v>3</v>
      </c>
      <c r="I1039" t="s">
        <v>664</v>
      </c>
      <c r="J1039" t="str">
        <f>_xlfn.XLOOKUP(Table1[[#This Row],[Course ]], CCF!B:B, CCF!A:A)</f>
        <v>DM101</v>
      </c>
      <c r="K1039" t="s">
        <v>365</v>
      </c>
      <c r="L1039">
        <f>_xlfn.XLOOKUP(K1039, CCF!B:B, CCF!C:C)</f>
        <v>85499</v>
      </c>
      <c r="M1039" t="s">
        <v>30</v>
      </c>
    </row>
    <row r="1040" spans="1:13" x14ac:dyDescent="0.3">
      <c r="A1040">
        <v>1039</v>
      </c>
      <c r="B1040" t="s">
        <v>1701</v>
      </c>
      <c r="C1040" s="3">
        <v>25026</v>
      </c>
      <c r="D1040" t="s">
        <v>666</v>
      </c>
      <c r="E1040">
        <v>69</v>
      </c>
      <c r="F1040" s="1">
        <v>45440</v>
      </c>
      <c r="G1040" s="1" t="str">
        <f>TEXT(Table1[[#This Row],[Enrollment date]], "mmm")</f>
        <v>May</v>
      </c>
      <c r="H1040" t="s">
        <v>360</v>
      </c>
      <c r="I1040" t="s">
        <v>662</v>
      </c>
      <c r="J1040" t="str">
        <f>_xlfn.XLOOKUP(Table1[[#This Row],[Course ]], CCF!B:B, CCF!A:A)</f>
        <v>DA202</v>
      </c>
      <c r="K1040" t="s">
        <v>363</v>
      </c>
      <c r="L1040">
        <f>_xlfn.XLOOKUP(K1040, CCF!B:B, CCF!C:C)</f>
        <v>79999</v>
      </c>
      <c r="M1040" t="s">
        <v>104</v>
      </c>
    </row>
    <row r="1041" spans="1:13" x14ac:dyDescent="0.3">
      <c r="A1041">
        <v>1040</v>
      </c>
      <c r="B1041" t="s">
        <v>1702</v>
      </c>
      <c r="C1041" s="3">
        <v>22055</v>
      </c>
      <c r="D1041" t="s">
        <v>667</v>
      </c>
      <c r="E1041">
        <v>42</v>
      </c>
      <c r="F1041" s="1">
        <v>45440</v>
      </c>
      <c r="G1041" s="1" t="str">
        <f>TEXT(Table1[[#This Row],[Enrollment date]], "mmm")</f>
        <v>May</v>
      </c>
      <c r="H1041" t="s">
        <v>360</v>
      </c>
      <c r="I1041" t="s">
        <v>660</v>
      </c>
      <c r="J1041" t="str">
        <f>_xlfn.XLOOKUP(Table1[[#This Row],[Course ]], CCF!B:B, CCF!A:A)</f>
        <v>DM101</v>
      </c>
      <c r="K1041" t="s">
        <v>365</v>
      </c>
      <c r="L1041">
        <f>_xlfn.XLOOKUP(K1041, CCF!B:B, CCF!C:C)</f>
        <v>85499</v>
      </c>
      <c r="M1041" t="s">
        <v>9</v>
      </c>
    </row>
    <row r="1042" spans="1:13" x14ac:dyDescent="0.3">
      <c r="A1042">
        <v>1041</v>
      </c>
      <c r="B1042" t="s">
        <v>1703</v>
      </c>
      <c r="C1042" s="3">
        <v>11853</v>
      </c>
      <c r="D1042" t="s">
        <v>667</v>
      </c>
      <c r="E1042">
        <v>45</v>
      </c>
      <c r="F1042" s="1">
        <v>45440</v>
      </c>
      <c r="G1042" s="1" t="str">
        <f>TEXT(Table1[[#This Row],[Enrollment date]], "mmm")</f>
        <v>May</v>
      </c>
      <c r="H1042" t="s">
        <v>360</v>
      </c>
      <c r="I1042" t="s">
        <v>663</v>
      </c>
      <c r="J1042" t="str">
        <f>_xlfn.XLOOKUP(Table1[[#This Row],[Course ]], CCF!B:B, CCF!A:A)</f>
        <v>DA202</v>
      </c>
      <c r="K1042" t="s">
        <v>363</v>
      </c>
      <c r="L1042">
        <f>_xlfn.XLOOKUP(K1042, CCF!B:B, CCF!C:C)</f>
        <v>79999</v>
      </c>
      <c r="M1042" t="s">
        <v>50</v>
      </c>
    </row>
    <row r="1043" spans="1:13" x14ac:dyDescent="0.3">
      <c r="A1043">
        <v>1042</v>
      </c>
      <c r="B1043" t="s">
        <v>1704</v>
      </c>
      <c r="C1043" s="3">
        <v>39251</v>
      </c>
      <c r="D1043" t="s">
        <v>666</v>
      </c>
      <c r="E1043">
        <v>62</v>
      </c>
      <c r="F1043" s="1">
        <v>45441</v>
      </c>
      <c r="G1043" s="1" t="str">
        <f>TEXT(Table1[[#This Row],[Enrollment date]], "mmm")</f>
        <v>May</v>
      </c>
      <c r="H1043" t="s">
        <v>360</v>
      </c>
      <c r="I1043" t="s">
        <v>661</v>
      </c>
      <c r="J1043" t="str">
        <f>_xlfn.XLOOKUP(Table1[[#This Row],[Course ]], CCF!B:B, CCF!A:A)</f>
        <v>DM101</v>
      </c>
      <c r="K1043" t="s">
        <v>365</v>
      </c>
      <c r="L1043">
        <f>_xlfn.XLOOKUP(K1043, CCF!B:B, CCF!C:C)</f>
        <v>85499</v>
      </c>
      <c r="M1043" t="s">
        <v>181</v>
      </c>
    </row>
    <row r="1044" spans="1:13" x14ac:dyDescent="0.3">
      <c r="A1044">
        <v>1043</v>
      </c>
      <c r="B1044" t="s">
        <v>1705</v>
      </c>
      <c r="C1044" s="3">
        <v>38393</v>
      </c>
      <c r="D1044" t="s">
        <v>666</v>
      </c>
      <c r="E1044">
        <v>44</v>
      </c>
      <c r="F1044" s="1">
        <v>45441</v>
      </c>
      <c r="G1044" s="1" t="str">
        <f>TEXT(Table1[[#This Row],[Enrollment date]], "mmm")</f>
        <v>May</v>
      </c>
      <c r="H1044" t="s">
        <v>360</v>
      </c>
      <c r="I1044" t="s">
        <v>660</v>
      </c>
      <c r="J1044" t="str">
        <f>_xlfn.XLOOKUP(Table1[[#This Row],[Course ]], CCF!B:B, CCF!A:A)</f>
        <v>DM101</v>
      </c>
      <c r="K1044" t="s">
        <v>365</v>
      </c>
      <c r="L1044">
        <f>_xlfn.XLOOKUP(K1044, CCF!B:B, CCF!C:C)</f>
        <v>85499</v>
      </c>
      <c r="M1044" t="s">
        <v>507</v>
      </c>
    </row>
    <row r="1045" spans="1:13" x14ac:dyDescent="0.3">
      <c r="A1045">
        <v>1044</v>
      </c>
      <c r="B1045" t="s">
        <v>1706</v>
      </c>
      <c r="C1045" s="3">
        <v>40081</v>
      </c>
      <c r="D1045" t="s">
        <v>667</v>
      </c>
      <c r="E1045">
        <v>68</v>
      </c>
      <c r="F1045" s="1">
        <v>45441</v>
      </c>
      <c r="G1045" s="1" t="str">
        <f>TEXT(Table1[[#This Row],[Enrollment date]], "mmm")</f>
        <v>May</v>
      </c>
      <c r="H1045" t="s">
        <v>360</v>
      </c>
      <c r="I1045" t="s">
        <v>660</v>
      </c>
      <c r="J1045" t="str">
        <f>_xlfn.XLOOKUP(Table1[[#This Row],[Course ]], CCF!B:B, CCF!A:A)</f>
        <v>DM101</v>
      </c>
      <c r="K1045" t="s">
        <v>365</v>
      </c>
      <c r="L1045">
        <f>_xlfn.XLOOKUP(K1045, CCF!B:B, CCF!C:C)</f>
        <v>85499</v>
      </c>
      <c r="M1045" t="s">
        <v>266</v>
      </c>
    </row>
    <row r="1046" spans="1:13" x14ac:dyDescent="0.3">
      <c r="A1046">
        <v>1045</v>
      </c>
      <c r="B1046" t="s">
        <v>1707</v>
      </c>
      <c r="C1046" s="3">
        <v>92656</v>
      </c>
      <c r="D1046" t="s">
        <v>667</v>
      </c>
      <c r="E1046">
        <v>57</v>
      </c>
      <c r="F1046" s="1">
        <v>45441</v>
      </c>
      <c r="G1046" s="1" t="str">
        <f>TEXT(Table1[[#This Row],[Enrollment date]], "mmm")</f>
        <v>May</v>
      </c>
      <c r="H1046" t="s">
        <v>360</v>
      </c>
      <c r="I1046" t="s">
        <v>661</v>
      </c>
      <c r="J1046" t="str">
        <f>_xlfn.XLOOKUP(Table1[[#This Row],[Course ]], CCF!B:B, CCF!A:A)</f>
        <v>FSD103</v>
      </c>
      <c r="K1046" t="s">
        <v>366</v>
      </c>
      <c r="L1046">
        <f>_xlfn.XLOOKUP(K1046, CCF!B:B, CCF!C:C)</f>
        <v>109990</v>
      </c>
      <c r="M1046" t="s">
        <v>9</v>
      </c>
    </row>
    <row r="1047" spans="1:13" x14ac:dyDescent="0.3">
      <c r="A1047">
        <v>1046</v>
      </c>
      <c r="B1047" t="s">
        <v>1708</v>
      </c>
      <c r="C1047" s="3">
        <v>86270</v>
      </c>
      <c r="D1047" t="s">
        <v>667</v>
      </c>
      <c r="E1047">
        <v>39</v>
      </c>
      <c r="F1047" s="1">
        <v>45441</v>
      </c>
      <c r="G1047" s="1" t="str">
        <f>TEXT(Table1[[#This Row],[Enrollment date]], "mmm")</f>
        <v>May</v>
      </c>
      <c r="H1047" t="s">
        <v>360</v>
      </c>
      <c r="I1047" t="s">
        <v>661</v>
      </c>
      <c r="J1047" t="str">
        <f>_xlfn.XLOOKUP(Table1[[#This Row],[Course ]], CCF!B:B, CCF!A:A)</f>
        <v>FSD103</v>
      </c>
      <c r="K1047" t="s">
        <v>366</v>
      </c>
      <c r="L1047">
        <f>_xlfn.XLOOKUP(K1047, CCF!B:B, CCF!C:C)</f>
        <v>109990</v>
      </c>
      <c r="M1047" t="s">
        <v>25</v>
      </c>
    </row>
    <row r="1048" spans="1:13" x14ac:dyDescent="0.3">
      <c r="A1048">
        <v>1047</v>
      </c>
      <c r="B1048" t="s">
        <v>1709</v>
      </c>
      <c r="C1048" s="3">
        <v>78128</v>
      </c>
      <c r="D1048" t="s">
        <v>667</v>
      </c>
      <c r="E1048">
        <v>25</v>
      </c>
      <c r="F1048" s="1">
        <v>45441</v>
      </c>
      <c r="G1048" s="1" t="str">
        <f>TEXT(Table1[[#This Row],[Enrollment date]], "mmm")</f>
        <v>May</v>
      </c>
      <c r="H1048" t="s">
        <v>360</v>
      </c>
      <c r="I1048" t="s">
        <v>660</v>
      </c>
      <c r="J1048" t="str">
        <f>_xlfn.XLOOKUP(Table1[[#This Row],[Course ]], CCF!B:B, CCF!A:A)</f>
        <v>DA202</v>
      </c>
      <c r="K1048" t="s">
        <v>363</v>
      </c>
      <c r="L1048">
        <f>_xlfn.XLOOKUP(K1048, CCF!B:B, CCF!C:C)</f>
        <v>79999</v>
      </c>
      <c r="M1048" t="s">
        <v>16</v>
      </c>
    </row>
    <row r="1049" spans="1:13" x14ac:dyDescent="0.3">
      <c r="A1049">
        <v>1048</v>
      </c>
      <c r="B1049" t="s">
        <v>1710</v>
      </c>
      <c r="C1049" s="3">
        <v>63515</v>
      </c>
      <c r="D1049" t="s">
        <v>666</v>
      </c>
      <c r="E1049">
        <v>47</v>
      </c>
      <c r="F1049" s="1">
        <v>45442</v>
      </c>
      <c r="G1049" s="1" t="str">
        <f>TEXT(Table1[[#This Row],[Enrollment date]], "mmm")</f>
        <v>May</v>
      </c>
      <c r="H1049" t="s">
        <v>360</v>
      </c>
      <c r="I1049" t="s">
        <v>660</v>
      </c>
      <c r="J1049" t="str">
        <f>_xlfn.XLOOKUP(Table1[[#This Row],[Course ]], CCF!B:B, CCF!A:A)</f>
        <v>DA202</v>
      </c>
      <c r="K1049" t="s">
        <v>363</v>
      </c>
      <c r="L1049">
        <f>_xlfn.XLOOKUP(K1049, CCF!B:B, CCF!C:C)</f>
        <v>79999</v>
      </c>
      <c r="M1049" t="s">
        <v>9</v>
      </c>
    </row>
    <row r="1050" spans="1:13" x14ac:dyDescent="0.3">
      <c r="A1050">
        <v>1049</v>
      </c>
      <c r="B1050" t="s">
        <v>1711</v>
      </c>
      <c r="C1050" s="3">
        <v>48011</v>
      </c>
      <c r="D1050" t="s">
        <v>666</v>
      </c>
      <c r="E1050">
        <v>36</v>
      </c>
      <c r="F1050" s="1">
        <v>45442</v>
      </c>
      <c r="G1050" s="1" t="str">
        <f>TEXT(Table1[[#This Row],[Enrollment date]], "mmm")</f>
        <v>May</v>
      </c>
      <c r="H1050" t="s">
        <v>361</v>
      </c>
      <c r="I1050" t="s">
        <v>660</v>
      </c>
      <c r="J1050" t="str">
        <f>_xlfn.XLOOKUP(Table1[[#This Row],[Course ]], CCF!B:B, CCF!A:A)</f>
        <v>DA202</v>
      </c>
      <c r="K1050" t="s">
        <v>363</v>
      </c>
      <c r="L1050">
        <f>_xlfn.XLOOKUP(K1050, CCF!B:B, CCF!C:C)</f>
        <v>79999</v>
      </c>
      <c r="M1050" t="s">
        <v>9</v>
      </c>
    </row>
    <row r="1051" spans="1:13" x14ac:dyDescent="0.3">
      <c r="A1051">
        <v>1050</v>
      </c>
      <c r="B1051" t="s">
        <v>1712</v>
      </c>
      <c r="C1051" s="3">
        <v>36961</v>
      </c>
      <c r="D1051" t="s">
        <v>666</v>
      </c>
      <c r="E1051">
        <v>49</v>
      </c>
      <c r="F1051" s="1">
        <v>45442</v>
      </c>
      <c r="G1051" s="1" t="str">
        <f>TEXT(Table1[[#This Row],[Enrollment date]], "mmm")</f>
        <v>May</v>
      </c>
      <c r="H1051" t="s">
        <v>360</v>
      </c>
      <c r="I1051" t="s">
        <v>659</v>
      </c>
      <c r="J1051" t="str">
        <f>_xlfn.XLOOKUP(Table1[[#This Row],[Course ]], CCF!B:B, CCF!A:A)</f>
        <v>UX401</v>
      </c>
      <c r="K1051" t="s">
        <v>367</v>
      </c>
      <c r="L1051">
        <f>_xlfn.XLOOKUP(K1051, CCF!B:B, CCF!C:C)</f>
        <v>67990</v>
      </c>
      <c r="M1051" t="s">
        <v>508</v>
      </c>
    </row>
    <row r="1052" spans="1:13" x14ac:dyDescent="0.3">
      <c r="A1052">
        <v>1051</v>
      </c>
      <c r="B1052" t="s">
        <v>1713</v>
      </c>
      <c r="C1052" s="3">
        <v>25620</v>
      </c>
      <c r="D1052" t="s">
        <v>667</v>
      </c>
      <c r="E1052">
        <v>20</v>
      </c>
      <c r="F1052" s="1">
        <v>45442</v>
      </c>
      <c r="G1052" s="1" t="str">
        <f>TEXT(Table1[[#This Row],[Enrollment date]], "mmm")</f>
        <v>May</v>
      </c>
      <c r="H1052" t="s">
        <v>360</v>
      </c>
      <c r="I1052" t="s">
        <v>660</v>
      </c>
      <c r="J1052" t="str">
        <f>_xlfn.XLOOKUP(Table1[[#This Row],[Course ]], CCF!B:B, CCF!A:A)</f>
        <v>DM101</v>
      </c>
      <c r="K1052" t="s">
        <v>365</v>
      </c>
      <c r="L1052">
        <f>_xlfn.XLOOKUP(K1052, CCF!B:B, CCF!C:C)</f>
        <v>85499</v>
      </c>
      <c r="M1052" t="s">
        <v>83</v>
      </c>
    </row>
    <row r="1053" spans="1:13" x14ac:dyDescent="0.3">
      <c r="A1053">
        <v>1052</v>
      </c>
      <c r="B1053" t="s">
        <v>1714</v>
      </c>
      <c r="C1053" s="3">
        <v>17790</v>
      </c>
      <c r="D1053" t="s">
        <v>667</v>
      </c>
      <c r="E1053">
        <v>30</v>
      </c>
      <c r="F1053" s="1">
        <v>45442</v>
      </c>
      <c r="G1053" s="1" t="str">
        <f>TEXT(Table1[[#This Row],[Enrollment date]], "mmm")</f>
        <v>May</v>
      </c>
      <c r="H1053" t="s">
        <v>360</v>
      </c>
      <c r="I1053" t="s">
        <v>660</v>
      </c>
      <c r="J1053" t="str">
        <f>_xlfn.XLOOKUP(Table1[[#This Row],[Course ]], CCF!B:B, CCF!A:A)</f>
        <v>DM101</v>
      </c>
      <c r="K1053" t="s">
        <v>365</v>
      </c>
      <c r="L1053">
        <f>_xlfn.XLOOKUP(K1053, CCF!B:B, CCF!C:C)</f>
        <v>85499</v>
      </c>
      <c r="M1053" t="s">
        <v>38</v>
      </c>
    </row>
    <row r="1054" spans="1:13" x14ac:dyDescent="0.3">
      <c r="A1054">
        <v>1053</v>
      </c>
      <c r="B1054" t="s">
        <v>1715</v>
      </c>
      <c r="C1054" s="3">
        <v>75213</v>
      </c>
      <c r="D1054" t="s">
        <v>666</v>
      </c>
      <c r="E1054">
        <v>25</v>
      </c>
      <c r="F1054" s="1">
        <v>45442</v>
      </c>
      <c r="G1054" s="1" t="str">
        <f>TEXT(Table1[[#This Row],[Enrollment date]], "mmm")</f>
        <v>May</v>
      </c>
      <c r="H1054" t="s">
        <v>360</v>
      </c>
      <c r="I1054" t="s">
        <v>660</v>
      </c>
      <c r="J1054" t="str">
        <f>_xlfn.XLOOKUP(Table1[[#This Row],[Course ]], CCF!B:B, CCF!A:A)</f>
        <v>DM101</v>
      </c>
      <c r="K1054" t="s">
        <v>365</v>
      </c>
      <c r="L1054">
        <f>_xlfn.XLOOKUP(K1054, CCF!B:B, CCF!C:C)</f>
        <v>85499</v>
      </c>
      <c r="M1054" t="s">
        <v>17</v>
      </c>
    </row>
    <row r="1055" spans="1:13" x14ac:dyDescent="0.3">
      <c r="A1055">
        <v>1054</v>
      </c>
      <c r="B1055" t="s">
        <v>1716</v>
      </c>
      <c r="C1055" s="3">
        <v>38714</v>
      </c>
      <c r="D1055" t="s">
        <v>666</v>
      </c>
      <c r="E1055">
        <v>19</v>
      </c>
      <c r="F1055" s="1">
        <v>45442</v>
      </c>
      <c r="G1055" s="1" t="str">
        <f>TEXT(Table1[[#This Row],[Enrollment date]], "mmm")</f>
        <v>May</v>
      </c>
      <c r="H1055" t="s">
        <v>360</v>
      </c>
      <c r="I1055" t="s">
        <v>660</v>
      </c>
      <c r="J1055" t="str">
        <f>_xlfn.XLOOKUP(Table1[[#This Row],[Course ]], CCF!B:B, CCF!A:A)</f>
        <v>FSD103</v>
      </c>
      <c r="K1055" t="s">
        <v>366</v>
      </c>
      <c r="L1055">
        <f>_xlfn.XLOOKUP(K1055, CCF!B:B, CCF!C:C)</f>
        <v>109990</v>
      </c>
      <c r="M1055" t="s">
        <v>509</v>
      </c>
    </row>
    <row r="1056" spans="1:13" x14ac:dyDescent="0.3">
      <c r="A1056">
        <v>1055</v>
      </c>
      <c r="B1056" t="s">
        <v>1717</v>
      </c>
      <c r="C1056" s="3">
        <v>22525</v>
      </c>
      <c r="D1056" t="s">
        <v>666</v>
      </c>
      <c r="E1056">
        <v>41</v>
      </c>
      <c r="F1056" s="1">
        <v>45443</v>
      </c>
      <c r="G1056" s="1" t="str">
        <f>TEXT(Table1[[#This Row],[Enrollment date]], "mmm")</f>
        <v>May</v>
      </c>
      <c r="H1056" t="s">
        <v>360</v>
      </c>
      <c r="I1056" t="s">
        <v>661</v>
      </c>
      <c r="J1056" t="str">
        <f>_xlfn.XLOOKUP(Table1[[#This Row],[Course ]], CCF!B:B, CCF!A:A)</f>
        <v>DA202</v>
      </c>
      <c r="K1056" t="s">
        <v>363</v>
      </c>
      <c r="L1056">
        <f>_xlfn.XLOOKUP(K1056, CCF!B:B, CCF!C:C)</f>
        <v>79999</v>
      </c>
      <c r="M1056" t="s">
        <v>65</v>
      </c>
    </row>
    <row r="1057" spans="1:13" x14ac:dyDescent="0.3">
      <c r="A1057">
        <v>1056</v>
      </c>
      <c r="B1057" t="s">
        <v>1718</v>
      </c>
      <c r="C1057" s="3">
        <v>91600</v>
      </c>
      <c r="D1057" t="s">
        <v>666</v>
      </c>
      <c r="E1057">
        <v>61</v>
      </c>
      <c r="F1057" s="1">
        <v>45443</v>
      </c>
      <c r="G1057" s="1" t="str">
        <f>TEXT(Table1[[#This Row],[Enrollment date]], "mmm")</f>
        <v>May</v>
      </c>
      <c r="H1057" t="s">
        <v>360</v>
      </c>
      <c r="I1057" t="s">
        <v>661</v>
      </c>
      <c r="J1057" t="str">
        <f>_xlfn.XLOOKUP(Table1[[#This Row],[Course ]], CCF!B:B, CCF!A:A)</f>
        <v>DM101</v>
      </c>
      <c r="K1057" t="s">
        <v>365</v>
      </c>
      <c r="L1057">
        <f>_xlfn.XLOOKUP(K1057, CCF!B:B, CCF!C:C)</f>
        <v>85499</v>
      </c>
      <c r="M1057" t="s">
        <v>184</v>
      </c>
    </row>
    <row r="1058" spans="1:13" x14ac:dyDescent="0.3">
      <c r="A1058">
        <v>1057</v>
      </c>
      <c r="B1058" t="s">
        <v>1719</v>
      </c>
      <c r="C1058" s="3">
        <v>38483</v>
      </c>
      <c r="D1058" t="s">
        <v>667</v>
      </c>
      <c r="E1058">
        <v>23</v>
      </c>
      <c r="F1058" s="1">
        <v>45443</v>
      </c>
      <c r="G1058" s="1" t="str">
        <f>TEXT(Table1[[#This Row],[Enrollment date]], "mmm")</f>
        <v>May</v>
      </c>
      <c r="H1058" t="s">
        <v>360</v>
      </c>
      <c r="I1058" t="s">
        <v>660</v>
      </c>
      <c r="J1058" t="str">
        <f>_xlfn.XLOOKUP(Table1[[#This Row],[Course ]], CCF!B:B, CCF!A:A)</f>
        <v>CC002</v>
      </c>
      <c r="K1058" t="s">
        <v>658</v>
      </c>
      <c r="L1058">
        <f>_xlfn.XLOOKUP(K1058, CCF!B:B, CCF!C:C)</f>
        <v>99990</v>
      </c>
      <c r="M1058" t="s">
        <v>27</v>
      </c>
    </row>
    <row r="1059" spans="1:13" x14ac:dyDescent="0.3">
      <c r="A1059">
        <v>1058</v>
      </c>
      <c r="B1059" t="s">
        <v>1720</v>
      </c>
      <c r="C1059" s="3">
        <v>36147</v>
      </c>
      <c r="D1059" t="s">
        <v>666</v>
      </c>
      <c r="E1059">
        <v>27</v>
      </c>
      <c r="F1059" s="1">
        <v>45443</v>
      </c>
      <c r="G1059" s="1" t="str">
        <f>TEXT(Table1[[#This Row],[Enrollment date]], "mmm")</f>
        <v>May</v>
      </c>
      <c r="H1059" t="s">
        <v>360</v>
      </c>
      <c r="I1059" t="s">
        <v>660</v>
      </c>
      <c r="J1059" t="str">
        <f>_xlfn.XLOOKUP(Table1[[#This Row],[Course ]], CCF!B:B, CCF!A:A)</f>
        <v>HR201</v>
      </c>
      <c r="K1059" t="s">
        <v>3152</v>
      </c>
      <c r="L1059">
        <f>_xlfn.XLOOKUP(K1059, CCF!B:B, CCF!C:C)</f>
        <v>41999</v>
      </c>
      <c r="M1059" t="s">
        <v>151</v>
      </c>
    </row>
    <row r="1060" spans="1:13" x14ac:dyDescent="0.3">
      <c r="A1060">
        <v>1059</v>
      </c>
      <c r="B1060" t="s">
        <v>1721</v>
      </c>
      <c r="C1060" s="3">
        <v>68884</v>
      </c>
      <c r="D1060" t="s">
        <v>666</v>
      </c>
      <c r="E1060">
        <v>77</v>
      </c>
      <c r="F1060" s="1">
        <v>45443</v>
      </c>
      <c r="G1060" s="1" t="str">
        <f>TEXT(Table1[[#This Row],[Enrollment date]], "mmm")</f>
        <v>May</v>
      </c>
      <c r="H1060" t="s">
        <v>360</v>
      </c>
      <c r="I1060" t="s">
        <v>664</v>
      </c>
      <c r="J1060" t="str">
        <f>_xlfn.XLOOKUP(Table1[[#This Row],[Course ]], CCF!B:B, CCF!A:A)</f>
        <v>DA202</v>
      </c>
      <c r="K1060" t="s">
        <v>363</v>
      </c>
      <c r="L1060">
        <f>_xlfn.XLOOKUP(K1060, CCF!B:B, CCF!C:C)</f>
        <v>79999</v>
      </c>
      <c r="M1060" t="s">
        <v>207</v>
      </c>
    </row>
    <row r="1061" spans="1:13" x14ac:dyDescent="0.3">
      <c r="A1061">
        <v>1060</v>
      </c>
      <c r="B1061" t="s">
        <v>1722</v>
      </c>
      <c r="C1061" s="3">
        <v>59184</v>
      </c>
      <c r="D1061" t="s">
        <v>666</v>
      </c>
      <c r="E1061">
        <v>73</v>
      </c>
      <c r="F1061" s="1">
        <v>45444</v>
      </c>
      <c r="G1061" s="1" t="str">
        <f>TEXT(Table1[[#This Row],[Enrollment date]], "mmm")</f>
        <v>Jun</v>
      </c>
      <c r="H1061" t="s">
        <v>360</v>
      </c>
      <c r="I1061" t="s">
        <v>662</v>
      </c>
      <c r="J1061" t="str">
        <f>_xlfn.XLOOKUP(Table1[[#This Row],[Course ]], CCF!B:B, CCF!A:A)</f>
        <v>DA202</v>
      </c>
      <c r="K1061" t="s">
        <v>363</v>
      </c>
      <c r="L1061">
        <f>_xlfn.XLOOKUP(K1061, CCF!B:B, CCF!C:C)</f>
        <v>79999</v>
      </c>
      <c r="M1061" t="s">
        <v>144</v>
      </c>
    </row>
    <row r="1062" spans="1:13" x14ac:dyDescent="0.3">
      <c r="A1062">
        <v>1061</v>
      </c>
      <c r="B1062" t="s">
        <v>1723</v>
      </c>
      <c r="C1062" s="3">
        <v>36629</v>
      </c>
      <c r="D1062" t="s">
        <v>666</v>
      </c>
      <c r="E1062">
        <v>47</v>
      </c>
      <c r="F1062" s="1">
        <v>45444</v>
      </c>
      <c r="G1062" s="1" t="str">
        <f>TEXT(Table1[[#This Row],[Enrollment date]], "mmm")</f>
        <v>Jun</v>
      </c>
      <c r="H1062" t="s">
        <v>360</v>
      </c>
      <c r="I1062" t="s">
        <v>660</v>
      </c>
      <c r="J1062" t="str">
        <f>_xlfn.XLOOKUP(Table1[[#This Row],[Course ]], CCF!B:B, CCF!A:A)</f>
        <v>DA202</v>
      </c>
      <c r="K1062" t="s">
        <v>363</v>
      </c>
      <c r="L1062">
        <f>_xlfn.XLOOKUP(K1062, CCF!B:B, CCF!C:C)</f>
        <v>79999</v>
      </c>
      <c r="M1062" t="s">
        <v>510</v>
      </c>
    </row>
    <row r="1063" spans="1:13" x14ac:dyDescent="0.3">
      <c r="A1063">
        <v>1062</v>
      </c>
      <c r="B1063" t="s">
        <v>1724</v>
      </c>
      <c r="C1063" s="3">
        <v>20033</v>
      </c>
      <c r="D1063" t="s">
        <v>667</v>
      </c>
      <c r="E1063">
        <v>30</v>
      </c>
      <c r="F1063" s="1">
        <v>45444</v>
      </c>
      <c r="G1063" s="1" t="str">
        <f>TEXT(Table1[[#This Row],[Enrollment date]], "mmm")</f>
        <v>Jun</v>
      </c>
      <c r="H1063" t="s">
        <v>360</v>
      </c>
      <c r="I1063" t="s">
        <v>659</v>
      </c>
      <c r="J1063" t="str">
        <f>_xlfn.XLOOKUP(Table1[[#This Row],[Course ]], CCF!B:B, CCF!A:A)</f>
        <v>DM101</v>
      </c>
      <c r="K1063" t="s">
        <v>365</v>
      </c>
      <c r="L1063">
        <f>_xlfn.XLOOKUP(K1063, CCF!B:B, CCF!C:C)</f>
        <v>85499</v>
      </c>
      <c r="M1063" t="s">
        <v>238</v>
      </c>
    </row>
    <row r="1064" spans="1:13" x14ac:dyDescent="0.3">
      <c r="A1064">
        <v>1063</v>
      </c>
      <c r="B1064" t="s">
        <v>1725</v>
      </c>
      <c r="C1064" s="3">
        <v>79338</v>
      </c>
      <c r="D1064" t="s">
        <v>666</v>
      </c>
      <c r="E1064">
        <v>48</v>
      </c>
      <c r="F1064" s="1">
        <v>45444</v>
      </c>
      <c r="G1064" s="1" t="str">
        <f>TEXT(Table1[[#This Row],[Enrollment date]], "mmm")</f>
        <v>Jun</v>
      </c>
      <c r="H1064" t="s">
        <v>3</v>
      </c>
      <c r="I1064" t="s">
        <v>659</v>
      </c>
      <c r="J1064" t="str">
        <f>_xlfn.XLOOKUP(Table1[[#This Row],[Course ]], CCF!B:B, CCF!A:A)</f>
        <v>DA202</v>
      </c>
      <c r="K1064" t="s">
        <v>363</v>
      </c>
      <c r="L1064">
        <f>_xlfn.XLOOKUP(K1064, CCF!B:B, CCF!C:C)</f>
        <v>79999</v>
      </c>
      <c r="M1064" t="s">
        <v>48</v>
      </c>
    </row>
    <row r="1065" spans="1:13" x14ac:dyDescent="0.3">
      <c r="A1065">
        <v>1064</v>
      </c>
      <c r="B1065" t="s">
        <v>1726</v>
      </c>
      <c r="C1065" s="3">
        <v>11664</v>
      </c>
      <c r="D1065" t="s">
        <v>666</v>
      </c>
      <c r="E1065">
        <v>42</v>
      </c>
      <c r="F1065" s="1">
        <v>45444</v>
      </c>
      <c r="G1065" s="1" t="str">
        <f>TEXT(Table1[[#This Row],[Enrollment date]], "mmm")</f>
        <v>Jun</v>
      </c>
      <c r="H1065" t="s">
        <v>360</v>
      </c>
      <c r="I1065" t="s">
        <v>660</v>
      </c>
      <c r="J1065" t="str">
        <f>_xlfn.XLOOKUP(Table1[[#This Row],[Course ]], CCF!B:B, CCF!A:A)</f>
        <v>DA202</v>
      </c>
      <c r="K1065" t="s">
        <v>363</v>
      </c>
      <c r="L1065">
        <f>_xlfn.XLOOKUP(K1065, CCF!B:B, CCF!C:C)</f>
        <v>79999</v>
      </c>
      <c r="M1065" t="s">
        <v>134</v>
      </c>
    </row>
    <row r="1066" spans="1:13" x14ac:dyDescent="0.3">
      <c r="A1066">
        <v>1065</v>
      </c>
      <c r="B1066" t="s">
        <v>1727</v>
      </c>
      <c r="C1066" s="3">
        <v>54232</v>
      </c>
      <c r="D1066" t="s">
        <v>667</v>
      </c>
      <c r="E1066">
        <v>34</v>
      </c>
      <c r="F1066" s="1">
        <v>45444</v>
      </c>
      <c r="G1066" s="1" t="str">
        <f>TEXT(Table1[[#This Row],[Enrollment date]], "mmm")</f>
        <v>Jun</v>
      </c>
      <c r="H1066" t="s">
        <v>360</v>
      </c>
      <c r="I1066" t="s">
        <v>661</v>
      </c>
      <c r="J1066" t="str">
        <f>_xlfn.XLOOKUP(Table1[[#This Row],[Course ]], CCF!B:B, CCF!A:A)</f>
        <v>FSD103</v>
      </c>
      <c r="K1066" t="s">
        <v>366</v>
      </c>
      <c r="L1066">
        <f>_xlfn.XLOOKUP(K1066, CCF!B:B, CCF!C:C)</f>
        <v>109990</v>
      </c>
      <c r="M1066" t="s">
        <v>65</v>
      </c>
    </row>
    <row r="1067" spans="1:13" x14ac:dyDescent="0.3">
      <c r="A1067">
        <v>1066</v>
      </c>
      <c r="B1067" t="s">
        <v>1728</v>
      </c>
      <c r="C1067" s="3">
        <v>57420</v>
      </c>
      <c r="D1067" t="s">
        <v>667</v>
      </c>
      <c r="E1067">
        <v>37</v>
      </c>
      <c r="F1067" s="1">
        <v>45444</v>
      </c>
      <c r="G1067" s="1" t="str">
        <f>TEXT(Table1[[#This Row],[Enrollment date]], "mmm")</f>
        <v>Jun</v>
      </c>
      <c r="H1067" t="s">
        <v>360</v>
      </c>
      <c r="I1067" t="s">
        <v>660</v>
      </c>
      <c r="J1067" t="str">
        <f>_xlfn.XLOOKUP(Table1[[#This Row],[Course ]], CCF!B:B, CCF!A:A)</f>
        <v>FSD103</v>
      </c>
      <c r="K1067" t="s">
        <v>366</v>
      </c>
      <c r="L1067">
        <f>_xlfn.XLOOKUP(K1067, CCF!B:B, CCF!C:C)</f>
        <v>109990</v>
      </c>
      <c r="M1067" t="s">
        <v>9</v>
      </c>
    </row>
    <row r="1068" spans="1:13" x14ac:dyDescent="0.3">
      <c r="A1068">
        <v>1067</v>
      </c>
      <c r="B1068" t="s">
        <v>1729</v>
      </c>
      <c r="C1068" s="3">
        <v>38517</v>
      </c>
      <c r="D1068" t="s">
        <v>667</v>
      </c>
      <c r="E1068">
        <v>21</v>
      </c>
      <c r="F1068" s="1">
        <v>45445</v>
      </c>
      <c r="G1068" s="1" t="str">
        <f>TEXT(Table1[[#This Row],[Enrollment date]], "mmm")</f>
        <v>Jun</v>
      </c>
      <c r="H1068" t="s">
        <v>360</v>
      </c>
      <c r="I1068" t="s">
        <v>660</v>
      </c>
      <c r="J1068" t="str">
        <f>_xlfn.XLOOKUP(Table1[[#This Row],[Course ]], CCF!B:B, CCF!A:A)</f>
        <v>DM101</v>
      </c>
      <c r="K1068" t="s">
        <v>365</v>
      </c>
      <c r="L1068">
        <f>_xlfn.XLOOKUP(K1068, CCF!B:B, CCF!C:C)</f>
        <v>85499</v>
      </c>
      <c r="M1068" t="s">
        <v>16</v>
      </c>
    </row>
    <row r="1069" spans="1:13" x14ac:dyDescent="0.3">
      <c r="A1069">
        <v>1068</v>
      </c>
      <c r="B1069" t="s">
        <v>1730</v>
      </c>
      <c r="C1069" s="3">
        <v>87651</v>
      </c>
      <c r="D1069" t="s">
        <v>666</v>
      </c>
      <c r="E1069">
        <v>27</v>
      </c>
      <c r="F1069" s="1">
        <v>45445</v>
      </c>
      <c r="G1069" s="1" t="str">
        <f>TEXT(Table1[[#This Row],[Enrollment date]], "mmm")</f>
        <v>Jun</v>
      </c>
      <c r="H1069" t="s">
        <v>360</v>
      </c>
      <c r="I1069" t="s">
        <v>659</v>
      </c>
      <c r="J1069" t="str">
        <f>_xlfn.XLOOKUP(Table1[[#This Row],[Course ]], CCF!B:B, CCF!A:A)</f>
        <v>BA301</v>
      </c>
      <c r="K1069" t="s">
        <v>364</v>
      </c>
      <c r="L1069">
        <f>_xlfn.XLOOKUP(K1069, CCF!B:B, CCF!C:C)</f>
        <v>59999</v>
      </c>
      <c r="M1069" t="s">
        <v>27</v>
      </c>
    </row>
    <row r="1070" spans="1:13" x14ac:dyDescent="0.3">
      <c r="A1070">
        <v>1069</v>
      </c>
      <c r="B1070" t="s">
        <v>1731</v>
      </c>
      <c r="C1070" s="3">
        <v>95506</v>
      </c>
      <c r="D1070" t="s">
        <v>666</v>
      </c>
      <c r="E1070">
        <v>68</v>
      </c>
      <c r="F1070" s="1">
        <v>45445</v>
      </c>
      <c r="G1070" s="1" t="str">
        <f>TEXT(Table1[[#This Row],[Enrollment date]], "mmm")</f>
        <v>Jun</v>
      </c>
      <c r="H1070" t="s">
        <v>360</v>
      </c>
      <c r="I1070" t="s">
        <v>660</v>
      </c>
      <c r="J1070" t="str">
        <f>_xlfn.XLOOKUP(Table1[[#This Row],[Course ]], CCF!B:B, CCF!A:A)</f>
        <v>BA301</v>
      </c>
      <c r="K1070" t="s">
        <v>364</v>
      </c>
      <c r="L1070">
        <f>_xlfn.XLOOKUP(K1070, CCF!B:B, CCF!C:C)</f>
        <v>59999</v>
      </c>
      <c r="M1070" t="s">
        <v>27</v>
      </c>
    </row>
    <row r="1071" spans="1:13" x14ac:dyDescent="0.3">
      <c r="A1071">
        <v>1070</v>
      </c>
      <c r="B1071" t="s">
        <v>1732</v>
      </c>
      <c r="C1071" s="3">
        <v>26881</v>
      </c>
      <c r="D1071" t="s">
        <v>666</v>
      </c>
      <c r="E1071">
        <v>31</v>
      </c>
      <c r="F1071" s="1">
        <v>45445</v>
      </c>
      <c r="G1071" s="1" t="str">
        <f>TEXT(Table1[[#This Row],[Enrollment date]], "mmm")</f>
        <v>Jun</v>
      </c>
      <c r="H1071" t="s">
        <v>360</v>
      </c>
      <c r="I1071" t="s">
        <v>659</v>
      </c>
      <c r="J1071" t="str">
        <f>_xlfn.XLOOKUP(Table1[[#This Row],[Course ]], CCF!B:B, CCF!A:A)</f>
        <v>BA301</v>
      </c>
      <c r="K1071" t="s">
        <v>364</v>
      </c>
      <c r="L1071">
        <f>_xlfn.XLOOKUP(K1071, CCF!B:B, CCF!C:C)</f>
        <v>59999</v>
      </c>
      <c r="M1071" t="s">
        <v>184</v>
      </c>
    </row>
    <row r="1072" spans="1:13" x14ac:dyDescent="0.3">
      <c r="A1072">
        <v>1071</v>
      </c>
      <c r="B1072" t="s">
        <v>1733</v>
      </c>
      <c r="C1072" s="3">
        <v>97178</v>
      </c>
      <c r="D1072" t="s">
        <v>666</v>
      </c>
      <c r="E1072">
        <v>41</v>
      </c>
      <c r="F1072" s="1">
        <v>45445</v>
      </c>
      <c r="G1072" s="1" t="str">
        <f>TEXT(Table1[[#This Row],[Enrollment date]], "mmm")</f>
        <v>Jun</v>
      </c>
      <c r="H1072" t="s">
        <v>360</v>
      </c>
      <c r="I1072" t="s">
        <v>661</v>
      </c>
      <c r="J1072" t="str">
        <f>_xlfn.XLOOKUP(Table1[[#This Row],[Course ]], CCF!B:B, CCF!A:A)</f>
        <v>UX401</v>
      </c>
      <c r="K1072" t="s">
        <v>367</v>
      </c>
      <c r="L1072">
        <f>_xlfn.XLOOKUP(K1072, CCF!B:B, CCF!C:C)</f>
        <v>67990</v>
      </c>
      <c r="M1072" t="s">
        <v>18</v>
      </c>
    </row>
    <row r="1073" spans="1:13" x14ac:dyDescent="0.3">
      <c r="A1073">
        <v>1072</v>
      </c>
      <c r="B1073" t="s">
        <v>1734</v>
      </c>
      <c r="C1073" s="3">
        <v>99216</v>
      </c>
      <c r="D1073" t="s">
        <v>666</v>
      </c>
      <c r="E1073">
        <v>27</v>
      </c>
      <c r="F1073" s="1">
        <v>45446</v>
      </c>
      <c r="G1073" s="1" t="str">
        <f>TEXT(Table1[[#This Row],[Enrollment date]], "mmm")</f>
        <v>Jun</v>
      </c>
      <c r="H1073" t="s">
        <v>360</v>
      </c>
      <c r="I1073" t="s">
        <v>660</v>
      </c>
      <c r="J1073" t="str">
        <f>_xlfn.XLOOKUP(Table1[[#This Row],[Course ]], CCF!B:B, CCF!A:A)</f>
        <v>DA202</v>
      </c>
      <c r="K1073" t="s">
        <v>363</v>
      </c>
      <c r="L1073">
        <f>_xlfn.XLOOKUP(K1073, CCF!B:B, CCF!C:C)</f>
        <v>79999</v>
      </c>
      <c r="M1073" t="s">
        <v>9</v>
      </c>
    </row>
    <row r="1074" spans="1:13" x14ac:dyDescent="0.3">
      <c r="A1074">
        <v>1073</v>
      </c>
      <c r="B1074" t="s">
        <v>1735</v>
      </c>
      <c r="C1074" s="3">
        <v>67711</v>
      </c>
      <c r="D1074" t="s">
        <v>666</v>
      </c>
      <c r="E1074">
        <v>38</v>
      </c>
      <c r="F1074" s="1">
        <v>45446</v>
      </c>
      <c r="G1074" s="1" t="str">
        <f>TEXT(Table1[[#This Row],[Enrollment date]], "mmm")</f>
        <v>Jun</v>
      </c>
      <c r="H1074" t="s">
        <v>360</v>
      </c>
      <c r="I1074" t="s">
        <v>659</v>
      </c>
      <c r="J1074" t="str">
        <f>_xlfn.XLOOKUP(Table1[[#This Row],[Course ]], CCF!B:B, CCF!A:A)</f>
        <v>DM101</v>
      </c>
      <c r="K1074" t="s">
        <v>365</v>
      </c>
      <c r="L1074">
        <f>_xlfn.XLOOKUP(K1074, CCF!B:B, CCF!C:C)</f>
        <v>85499</v>
      </c>
      <c r="M1074" t="s">
        <v>2</v>
      </c>
    </row>
    <row r="1075" spans="1:13" x14ac:dyDescent="0.3">
      <c r="A1075">
        <v>1074</v>
      </c>
      <c r="B1075" t="s">
        <v>1736</v>
      </c>
      <c r="C1075" s="3">
        <v>51537</v>
      </c>
      <c r="D1075" t="s">
        <v>667</v>
      </c>
      <c r="E1075">
        <v>77</v>
      </c>
      <c r="F1075" s="1">
        <v>45446</v>
      </c>
      <c r="G1075" s="1" t="str">
        <f>TEXT(Table1[[#This Row],[Enrollment date]], "mmm")</f>
        <v>Jun</v>
      </c>
      <c r="H1075" t="s">
        <v>3</v>
      </c>
      <c r="I1075" t="s">
        <v>660</v>
      </c>
      <c r="J1075" t="str">
        <f>_xlfn.XLOOKUP(Table1[[#This Row],[Course ]], CCF!B:B, CCF!A:A)</f>
        <v>UX401</v>
      </c>
      <c r="K1075" t="s">
        <v>367</v>
      </c>
      <c r="L1075">
        <f>_xlfn.XLOOKUP(K1075, CCF!B:B, CCF!C:C)</f>
        <v>67990</v>
      </c>
      <c r="M1075" t="s">
        <v>50</v>
      </c>
    </row>
    <row r="1076" spans="1:13" x14ac:dyDescent="0.3">
      <c r="A1076">
        <v>1075</v>
      </c>
      <c r="B1076" t="s">
        <v>1737</v>
      </c>
      <c r="C1076" s="3">
        <v>80234</v>
      </c>
      <c r="D1076" t="s">
        <v>666</v>
      </c>
      <c r="E1076">
        <v>54</v>
      </c>
      <c r="F1076" s="1">
        <v>45446</v>
      </c>
      <c r="G1076" s="1" t="str">
        <f>TEXT(Table1[[#This Row],[Enrollment date]], "mmm")</f>
        <v>Jun</v>
      </c>
      <c r="H1076" t="s">
        <v>360</v>
      </c>
      <c r="I1076" t="s">
        <v>659</v>
      </c>
      <c r="J1076" t="str">
        <f>_xlfn.XLOOKUP(Table1[[#This Row],[Course ]], CCF!B:B, CCF!A:A)</f>
        <v>DM101</v>
      </c>
      <c r="K1076" t="s">
        <v>365</v>
      </c>
      <c r="L1076">
        <f>_xlfn.XLOOKUP(K1076, CCF!B:B, CCF!C:C)</f>
        <v>85499</v>
      </c>
      <c r="M1076" t="s">
        <v>143</v>
      </c>
    </row>
    <row r="1077" spans="1:13" x14ac:dyDescent="0.3">
      <c r="A1077">
        <v>1076</v>
      </c>
      <c r="B1077" t="s">
        <v>1738</v>
      </c>
      <c r="C1077" s="3">
        <v>47910</v>
      </c>
      <c r="D1077" t="s">
        <v>667</v>
      </c>
      <c r="E1077">
        <v>25</v>
      </c>
      <c r="F1077" s="1">
        <v>45446</v>
      </c>
      <c r="G1077" s="1" t="str">
        <f>TEXT(Table1[[#This Row],[Enrollment date]], "mmm")</f>
        <v>Jun</v>
      </c>
      <c r="H1077" t="s">
        <v>360</v>
      </c>
      <c r="I1077" t="s">
        <v>660</v>
      </c>
      <c r="J1077" t="str">
        <f>_xlfn.XLOOKUP(Table1[[#This Row],[Course ]], CCF!B:B, CCF!A:A)</f>
        <v>BA301</v>
      </c>
      <c r="K1077" t="s">
        <v>364</v>
      </c>
      <c r="L1077">
        <f>_xlfn.XLOOKUP(K1077, CCF!B:B, CCF!C:C)</f>
        <v>59999</v>
      </c>
      <c r="M1077" t="s">
        <v>18</v>
      </c>
    </row>
    <row r="1078" spans="1:13" x14ac:dyDescent="0.3">
      <c r="A1078">
        <v>1077</v>
      </c>
      <c r="B1078" t="s">
        <v>1739</v>
      </c>
      <c r="C1078" s="3">
        <v>78264</v>
      </c>
      <c r="D1078" t="s">
        <v>666</v>
      </c>
      <c r="E1078">
        <v>20</v>
      </c>
      <c r="F1078" s="1">
        <v>45446</v>
      </c>
      <c r="G1078" s="1" t="str">
        <f>TEXT(Table1[[#This Row],[Enrollment date]], "mmm")</f>
        <v>Jun</v>
      </c>
      <c r="H1078" t="s">
        <v>360</v>
      </c>
      <c r="I1078" t="s">
        <v>659</v>
      </c>
      <c r="J1078" t="str">
        <f>_xlfn.XLOOKUP(Table1[[#This Row],[Course ]], CCF!B:B, CCF!A:A)</f>
        <v>DM101</v>
      </c>
      <c r="K1078" t="s">
        <v>365</v>
      </c>
      <c r="L1078">
        <f>_xlfn.XLOOKUP(K1078, CCF!B:B, CCF!C:C)</f>
        <v>85499</v>
      </c>
      <c r="M1078" t="s">
        <v>16</v>
      </c>
    </row>
    <row r="1079" spans="1:13" x14ac:dyDescent="0.3">
      <c r="A1079">
        <v>1078</v>
      </c>
      <c r="B1079" t="s">
        <v>1740</v>
      </c>
      <c r="C1079" s="3">
        <v>67693</v>
      </c>
      <c r="D1079" t="s">
        <v>666</v>
      </c>
      <c r="E1079">
        <v>22</v>
      </c>
      <c r="F1079" s="1">
        <v>45446</v>
      </c>
      <c r="G1079" s="1" t="str">
        <f>TEXT(Table1[[#This Row],[Enrollment date]], "mmm")</f>
        <v>Jun</v>
      </c>
      <c r="H1079" t="s">
        <v>360</v>
      </c>
      <c r="I1079" t="s">
        <v>660</v>
      </c>
      <c r="J1079" t="str">
        <f>_xlfn.XLOOKUP(Table1[[#This Row],[Course ]], CCF!B:B, CCF!A:A)</f>
        <v>DM101</v>
      </c>
      <c r="K1079" t="s">
        <v>365</v>
      </c>
      <c r="L1079">
        <f>_xlfn.XLOOKUP(K1079, CCF!B:B, CCF!C:C)</f>
        <v>85499</v>
      </c>
      <c r="M1079" t="s">
        <v>37</v>
      </c>
    </row>
    <row r="1080" spans="1:13" x14ac:dyDescent="0.3">
      <c r="A1080">
        <v>1079</v>
      </c>
      <c r="B1080" t="s">
        <v>1741</v>
      </c>
      <c r="C1080" s="3">
        <v>16715</v>
      </c>
      <c r="D1080" t="s">
        <v>666</v>
      </c>
      <c r="E1080">
        <v>41</v>
      </c>
      <c r="F1080" s="1">
        <v>45447</v>
      </c>
      <c r="G1080" s="1" t="str">
        <f>TEXT(Table1[[#This Row],[Enrollment date]], "mmm")</f>
        <v>Jun</v>
      </c>
      <c r="H1080" t="s">
        <v>360</v>
      </c>
      <c r="I1080" t="s">
        <v>664</v>
      </c>
      <c r="J1080" t="str">
        <f>_xlfn.XLOOKUP(Table1[[#This Row],[Course ]], CCF!B:B, CCF!A:A)</f>
        <v>BA301</v>
      </c>
      <c r="K1080" t="s">
        <v>364</v>
      </c>
      <c r="L1080">
        <f>_xlfn.XLOOKUP(K1080, CCF!B:B, CCF!C:C)</f>
        <v>59999</v>
      </c>
      <c r="M1080" t="s">
        <v>20</v>
      </c>
    </row>
    <row r="1081" spans="1:13" x14ac:dyDescent="0.3">
      <c r="A1081">
        <v>1080</v>
      </c>
      <c r="B1081" t="s">
        <v>1742</v>
      </c>
      <c r="C1081" s="3">
        <v>23721</v>
      </c>
      <c r="D1081" t="s">
        <v>666</v>
      </c>
      <c r="E1081">
        <v>46</v>
      </c>
      <c r="F1081" s="1">
        <v>45447</v>
      </c>
      <c r="G1081" s="1" t="str">
        <f>TEXT(Table1[[#This Row],[Enrollment date]], "mmm")</f>
        <v>Jun</v>
      </c>
      <c r="H1081" t="s">
        <v>360</v>
      </c>
      <c r="I1081" t="s">
        <v>660</v>
      </c>
      <c r="J1081" t="str">
        <f>_xlfn.XLOOKUP(Table1[[#This Row],[Course ]], CCF!B:B, CCF!A:A)</f>
        <v>DM101</v>
      </c>
      <c r="K1081" t="s">
        <v>365</v>
      </c>
      <c r="L1081">
        <f>_xlfn.XLOOKUP(K1081, CCF!B:B, CCF!C:C)</f>
        <v>85499</v>
      </c>
      <c r="M1081" t="s">
        <v>20</v>
      </c>
    </row>
    <row r="1082" spans="1:13" x14ac:dyDescent="0.3">
      <c r="A1082">
        <v>1081</v>
      </c>
      <c r="B1082" t="s">
        <v>1743</v>
      </c>
      <c r="C1082" s="3">
        <v>80428</v>
      </c>
      <c r="D1082" t="s">
        <v>666</v>
      </c>
      <c r="E1082">
        <v>19</v>
      </c>
      <c r="F1082" s="1">
        <v>45447</v>
      </c>
      <c r="G1082" s="1" t="str">
        <f>TEXT(Table1[[#This Row],[Enrollment date]], "mmm")</f>
        <v>Jun</v>
      </c>
      <c r="H1082" t="s">
        <v>360</v>
      </c>
      <c r="I1082" t="s">
        <v>665</v>
      </c>
      <c r="J1082" t="str">
        <f>_xlfn.XLOOKUP(Table1[[#This Row],[Course ]], CCF!B:B, CCF!A:A)</f>
        <v>UX401</v>
      </c>
      <c r="K1082" t="s">
        <v>367</v>
      </c>
      <c r="L1082">
        <f>_xlfn.XLOOKUP(K1082, CCF!B:B, CCF!C:C)</f>
        <v>67990</v>
      </c>
      <c r="M1082" t="s">
        <v>81</v>
      </c>
    </row>
    <row r="1083" spans="1:13" x14ac:dyDescent="0.3">
      <c r="A1083">
        <v>1082</v>
      </c>
      <c r="B1083" t="s">
        <v>1744</v>
      </c>
      <c r="C1083" s="3">
        <v>93016</v>
      </c>
      <c r="D1083" t="s">
        <v>666</v>
      </c>
      <c r="E1083">
        <v>73</v>
      </c>
      <c r="F1083" s="1">
        <v>45447</v>
      </c>
      <c r="G1083" s="1" t="str">
        <f>TEXT(Table1[[#This Row],[Enrollment date]], "mmm")</f>
        <v>Jun</v>
      </c>
      <c r="H1083" t="s">
        <v>360</v>
      </c>
      <c r="I1083" t="s">
        <v>661</v>
      </c>
      <c r="J1083" t="str">
        <f>_xlfn.XLOOKUP(Table1[[#This Row],[Course ]], CCF!B:B, CCF!A:A)</f>
        <v>DM101</v>
      </c>
      <c r="K1083" t="s">
        <v>365</v>
      </c>
      <c r="L1083">
        <f>_xlfn.XLOOKUP(K1083, CCF!B:B, CCF!C:C)</f>
        <v>85499</v>
      </c>
      <c r="M1083" t="s">
        <v>86</v>
      </c>
    </row>
    <row r="1084" spans="1:13" x14ac:dyDescent="0.3">
      <c r="A1084">
        <v>1083</v>
      </c>
      <c r="B1084" t="s">
        <v>1745</v>
      </c>
      <c r="C1084" s="3">
        <v>43176</v>
      </c>
      <c r="D1084" t="s">
        <v>667</v>
      </c>
      <c r="E1084">
        <v>44</v>
      </c>
      <c r="F1084" s="1">
        <v>45447</v>
      </c>
      <c r="G1084" s="1" t="str">
        <f>TEXT(Table1[[#This Row],[Enrollment date]], "mmm")</f>
        <v>Jun</v>
      </c>
      <c r="H1084" t="s">
        <v>360</v>
      </c>
      <c r="I1084" t="s">
        <v>660</v>
      </c>
      <c r="J1084" t="str">
        <f>_xlfn.XLOOKUP(Table1[[#This Row],[Course ]], CCF!B:B, CCF!A:A)</f>
        <v>BA301</v>
      </c>
      <c r="K1084" t="s">
        <v>364</v>
      </c>
      <c r="L1084">
        <f>_xlfn.XLOOKUP(K1084, CCF!B:B, CCF!C:C)</f>
        <v>59999</v>
      </c>
      <c r="M1084" t="s">
        <v>9</v>
      </c>
    </row>
    <row r="1085" spans="1:13" x14ac:dyDescent="0.3">
      <c r="A1085">
        <v>1084</v>
      </c>
      <c r="B1085" t="s">
        <v>1746</v>
      </c>
      <c r="C1085" s="3">
        <v>86977</v>
      </c>
      <c r="D1085" t="s">
        <v>666</v>
      </c>
      <c r="E1085">
        <v>41</v>
      </c>
      <c r="F1085" s="1">
        <v>45448</v>
      </c>
      <c r="G1085" s="1" t="str">
        <f>TEXT(Table1[[#This Row],[Enrollment date]], "mmm")</f>
        <v>Jun</v>
      </c>
      <c r="H1085" t="s">
        <v>360</v>
      </c>
      <c r="I1085" t="s">
        <v>664</v>
      </c>
      <c r="J1085" t="str">
        <f>_xlfn.XLOOKUP(Table1[[#This Row],[Course ]], CCF!B:B, CCF!A:A)</f>
        <v>DM101</v>
      </c>
      <c r="K1085" t="s">
        <v>365</v>
      </c>
      <c r="L1085">
        <f>_xlfn.XLOOKUP(K1085, CCF!B:B, CCF!C:C)</f>
        <v>85499</v>
      </c>
      <c r="M1085" t="s">
        <v>184</v>
      </c>
    </row>
    <row r="1086" spans="1:13" x14ac:dyDescent="0.3">
      <c r="A1086">
        <v>1085</v>
      </c>
      <c r="B1086" t="s">
        <v>1747</v>
      </c>
      <c r="C1086" s="3">
        <v>87578</v>
      </c>
      <c r="D1086" t="s">
        <v>666</v>
      </c>
      <c r="E1086">
        <v>26</v>
      </c>
      <c r="F1086" s="1">
        <v>45448</v>
      </c>
      <c r="G1086" s="1" t="str">
        <f>TEXT(Table1[[#This Row],[Enrollment date]], "mmm")</f>
        <v>Jun</v>
      </c>
      <c r="H1086" t="s">
        <v>360</v>
      </c>
      <c r="I1086" t="s">
        <v>661</v>
      </c>
      <c r="J1086" t="str">
        <f>_xlfn.XLOOKUP(Table1[[#This Row],[Course ]], CCF!B:B, CCF!A:A)</f>
        <v>DM101</v>
      </c>
      <c r="K1086" t="s">
        <v>365</v>
      </c>
      <c r="L1086">
        <f>_xlfn.XLOOKUP(K1086, CCF!B:B, CCF!C:C)</f>
        <v>85499</v>
      </c>
      <c r="M1086" t="s">
        <v>142</v>
      </c>
    </row>
    <row r="1087" spans="1:13" x14ac:dyDescent="0.3">
      <c r="A1087">
        <v>1086</v>
      </c>
      <c r="B1087" t="s">
        <v>1748</v>
      </c>
      <c r="C1087" s="3">
        <v>14354</v>
      </c>
      <c r="D1087" t="s">
        <v>667</v>
      </c>
      <c r="E1087">
        <v>43</v>
      </c>
      <c r="F1087" s="1">
        <v>45448</v>
      </c>
      <c r="G1087" s="1" t="str">
        <f>TEXT(Table1[[#This Row],[Enrollment date]], "mmm")</f>
        <v>Jun</v>
      </c>
      <c r="H1087" t="s">
        <v>360</v>
      </c>
      <c r="I1087" t="s">
        <v>664</v>
      </c>
      <c r="J1087" t="str">
        <f>_xlfn.XLOOKUP(Table1[[#This Row],[Course ]], CCF!B:B, CCF!A:A)</f>
        <v>DA202</v>
      </c>
      <c r="K1087" t="s">
        <v>363</v>
      </c>
      <c r="L1087">
        <f>_xlfn.XLOOKUP(K1087, CCF!B:B, CCF!C:C)</f>
        <v>79999</v>
      </c>
      <c r="M1087" t="s">
        <v>27</v>
      </c>
    </row>
    <row r="1088" spans="1:13" x14ac:dyDescent="0.3">
      <c r="A1088">
        <v>1087</v>
      </c>
      <c r="B1088" t="s">
        <v>1749</v>
      </c>
      <c r="C1088" s="3">
        <v>22980</v>
      </c>
      <c r="D1088" t="s">
        <v>666</v>
      </c>
      <c r="E1088">
        <v>24</v>
      </c>
      <c r="F1088" s="1">
        <v>45449</v>
      </c>
      <c r="G1088" s="1" t="str">
        <f>TEXT(Table1[[#This Row],[Enrollment date]], "mmm")</f>
        <v>Jun</v>
      </c>
      <c r="H1088" t="s">
        <v>360</v>
      </c>
      <c r="I1088" t="s">
        <v>659</v>
      </c>
      <c r="J1088" t="str">
        <f>_xlfn.XLOOKUP(Table1[[#This Row],[Course ]], CCF!B:B, CCF!A:A)</f>
        <v>FSD103</v>
      </c>
      <c r="K1088" t="s">
        <v>366</v>
      </c>
      <c r="L1088">
        <f>_xlfn.XLOOKUP(K1088, CCF!B:B, CCF!C:C)</f>
        <v>109990</v>
      </c>
      <c r="M1088" t="s">
        <v>53</v>
      </c>
    </row>
    <row r="1089" spans="1:13" x14ac:dyDescent="0.3">
      <c r="A1089">
        <v>1088</v>
      </c>
      <c r="B1089" t="s">
        <v>1750</v>
      </c>
      <c r="C1089" s="3">
        <v>61128</v>
      </c>
      <c r="D1089" t="s">
        <v>666</v>
      </c>
      <c r="E1089">
        <v>53</v>
      </c>
      <c r="F1089" s="1">
        <v>45449</v>
      </c>
      <c r="G1089" s="1" t="str">
        <f>TEXT(Table1[[#This Row],[Enrollment date]], "mmm")</f>
        <v>Jun</v>
      </c>
      <c r="H1089" t="s">
        <v>360</v>
      </c>
      <c r="I1089" t="s">
        <v>663</v>
      </c>
      <c r="J1089" t="str">
        <f>_xlfn.XLOOKUP(Table1[[#This Row],[Course ]], CCF!B:B, CCF!A:A)</f>
        <v>FSD103</v>
      </c>
      <c r="K1089" t="s">
        <v>366</v>
      </c>
      <c r="L1089">
        <f>_xlfn.XLOOKUP(K1089, CCF!B:B, CCF!C:C)</f>
        <v>109990</v>
      </c>
      <c r="M1089" t="s">
        <v>28</v>
      </c>
    </row>
    <row r="1090" spans="1:13" x14ac:dyDescent="0.3">
      <c r="A1090">
        <v>1089</v>
      </c>
      <c r="B1090" t="s">
        <v>1751</v>
      </c>
      <c r="C1090" s="3">
        <v>33070</v>
      </c>
      <c r="D1090" t="s">
        <v>666</v>
      </c>
      <c r="E1090">
        <v>40</v>
      </c>
      <c r="F1090" s="1">
        <v>45449</v>
      </c>
      <c r="G1090" s="1" t="str">
        <f>TEXT(Table1[[#This Row],[Enrollment date]], "mmm")</f>
        <v>Jun</v>
      </c>
      <c r="H1090" t="s">
        <v>360</v>
      </c>
      <c r="I1090" t="s">
        <v>661</v>
      </c>
      <c r="J1090" t="str">
        <f>_xlfn.XLOOKUP(Table1[[#This Row],[Course ]], CCF!B:B, CCF!A:A)</f>
        <v>FSD103</v>
      </c>
      <c r="K1090" t="s">
        <v>366</v>
      </c>
      <c r="L1090">
        <f>_xlfn.XLOOKUP(K1090, CCF!B:B, CCF!C:C)</f>
        <v>109990</v>
      </c>
      <c r="M1090" t="s">
        <v>17</v>
      </c>
    </row>
    <row r="1091" spans="1:13" x14ac:dyDescent="0.3">
      <c r="A1091">
        <v>1090</v>
      </c>
      <c r="B1091" t="s">
        <v>1752</v>
      </c>
      <c r="C1091" s="3">
        <v>89387</v>
      </c>
      <c r="D1091" t="s">
        <v>666</v>
      </c>
      <c r="E1091">
        <v>47</v>
      </c>
      <c r="F1091" s="1">
        <v>45449</v>
      </c>
      <c r="G1091" s="1" t="str">
        <f>TEXT(Table1[[#This Row],[Enrollment date]], "mmm")</f>
        <v>Jun</v>
      </c>
      <c r="H1091" t="s">
        <v>360</v>
      </c>
      <c r="I1091" t="s">
        <v>659</v>
      </c>
      <c r="J1091" t="str">
        <f>_xlfn.XLOOKUP(Table1[[#This Row],[Course ]], CCF!B:B, CCF!A:A)</f>
        <v>DM101</v>
      </c>
      <c r="K1091" t="s">
        <v>365</v>
      </c>
      <c r="L1091">
        <f>_xlfn.XLOOKUP(K1091, CCF!B:B, CCF!C:C)</f>
        <v>85499</v>
      </c>
      <c r="M1091" t="s">
        <v>214</v>
      </c>
    </row>
    <row r="1092" spans="1:13" x14ac:dyDescent="0.3">
      <c r="A1092">
        <v>1091</v>
      </c>
      <c r="B1092" t="s">
        <v>1753</v>
      </c>
      <c r="C1092" s="3">
        <v>27313</v>
      </c>
      <c r="D1092" t="s">
        <v>667</v>
      </c>
      <c r="E1092">
        <v>48</v>
      </c>
      <c r="F1092" s="1">
        <v>45449</v>
      </c>
      <c r="G1092" s="1" t="str">
        <f>TEXT(Table1[[#This Row],[Enrollment date]], "mmm")</f>
        <v>Jun</v>
      </c>
      <c r="H1092" t="s">
        <v>360</v>
      </c>
      <c r="I1092" t="s">
        <v>661</v>
      </c>
      <c r="J1092" t="str">
        <f>_xlfn.XLOOKUP(Table1[[#This Row],[Course ]], CCF!B:B, CCF!A:A)</f>
        <v>DM101</v>
      </c>
      <c r="K1092" t="s">
        <v>365</v>
      </c>
      <c r="L1092">
        <f>_xlfn.XLOOKUP(K1092, CCF!B:B, CCF!C:C)</f>
        <v>85499</v>
      </c>
      <c r="M1092" t="s">
        <v>18</v>
      </c>
    </row>
    <row r="1093" spans="1:13" x14ac:dyDescent="0.3">
      <c r="A1093">
        <v>1092</v>
      </c>
      <c r="B1093" t="s">
        <v>1754</v>
      </c>
      <c r="C1093" s="3">
        <v>55106</v>
      </c>
      <c r="D1093" t="s">
        <v>666</v>
      </c>
      <c r="E1093">
        <v>28</v>
      </c>
      <c r="F1093" s="1">
        <v>45449</v>
      </c>
      <c r="G1093" s="1" t="str">
        <f>TEXT(Table1[[#This Row],[Enrollment date]], "mmm")</f>
        <v>Jun</v>
      </c>
      <c r="H1093" t="s">
        <v>360</v>
      </c>
      <c r="I1093" t="s">
        <v>661</v>
      </c>
      <c r="J1093" t="str">
        <f>_xlfn.XLOOKUP(Table1[[#This Row],[Course ]], CCF!B:B, CCF!A:A)</f>
        <v>DM101</v>
      </c>
      <c r="K1093" t="s">
        <v>365</v>
      </c>
      <c r="L1093">
        <f>_xlfn.XLOOKUP(K1093, CCF!B:B, CCF!C:C)</f>
        <v>85499</v>
      </c>
      <c r="M1093" t="s">
        <v>157</v>
      </c>
    </row>
    <row r="1094" spans="1:13" x14ac:dyDescent="0.3">
      <c r="A1094">
        <v>1093</v>
      </c>
      <c r="B1094" t="s">
        <v>1755</v>
      </c>
      <c r="C1094" s="3">
        <v>57843</v>
      </c>
      <c r="D1094" t="s">
        <v>666</v>
      </c>
      <c r="E1094">
        <v>27</v>
      </c>
      <c r="F1094" s="1">
        <v>45449</v>
      </c>
      <c r="G1094" s="1" t="str">
        <f>TEXT(Table1[[#This Row],[Enrollment date]], "mmm")</f>
        <v>Jun</v>
      </c>
      <c r="H1094" t="s">
        <v>360</v>
      </c>
      <c r="I1094" t="s">
        <v>659</v>
      </c>
      <c r="J1094" t="str">
        <f>_xlfn.XLOOKUP(Table1[[#This Row],[Course ]], CCF!B:B, CCF!A:A)</f>
        <v>DA202</v>
      </c>
      <c r="K1094" t="s">
        <v>363</v>
      </c>
      <c r="L1094">
        <f>_xlfn.XLOOKUP(K1094, CCF!B:B, CCF!C:C)</f>
        <v>79999</v>
      </c>
      <c r="M1094" t="s">
        <v>30</v>
      </c>
    </row>
    <row r="1095" spans="1:13" x14ac:dyDescent="0.3">
      <c r="A1095">
        <v>1094</v>
      </c>
      <c r="B1095" t="s">
        <v>1756</v>
      </c>
      <c r="C1095" s="3">
        <v>86712</v>
      </c>
      <c r="D1095" t="s">
        <v>666</v>
      </c>
      <c r="E1095">
        <v>48</v>
      </c>
      <c r="F1095" s="1">
        <v>45450</v>
      </c>
      <c r="G1095" s="1" t="str">
        <f>TEXT(Table1[[#This Row],[Enrollment date]], "mmm")</f>
        <v>Jun</v>
      </c>
      <c r="H1095" t="s">
        <v>360</v>
      </c>
      <c r="I1095" t="s">
        <v>660</v>
      </c>
      <c r="J1095" t="str">
        <f>_xlfn.XLOOKUP(Table1[[#This Row],[Course ]], CCF!B:B, CCF!A:A)</f>
        <v>DA202</v>
      </c>
      <c r="K1095" t="s">
        <v>363</v>
      </c>
      <c r="L1095">
        <f>_xlfn.XLOOKUP(K1095, CCF!B:B, CCF!C:C)</f>
        <v>79999</v>
      </c>
      <c r="M1095" t="s">
        <v>9</v>
      </c>
    </row>
    <row r="1096" spans="1:13" x14ac:dyDescent="0.3">
      <c r="A1096">
        <v>1095</v>
      </c>
      <c r="B1096" t="s">
        <v>1757</v>
      </c>
      <c r="C1096" s="3">
        <v>50352</v>
      </c>
      <c r="D1096" t="s">
        <v>666</v>
      </c>
      <c r="E1096">
        <v>21</v>
      </c>
      <c r="F1096" s="1">
        <v>45450</v>
      </c>
      <c r="G1096" s="1" t="str">
        <f>TEXT(Table1[[#This Row],[Enrollment date]], "mmm")</f>
        <v>Jun</v>
      </c>
      <c r="H1096" t="s">
        <v>360</v>
      </c>
      <c r="I1096" t="s">
        <v>659</v>
      </c>
      <c r="J1096" t="str">
        <f>_xlfn.XLOOKUP(Table1[[#This Row],[Course ]], CCF!B:B, CCF!A:A)</f>
        <v>FSD103</v>
      </c>
      <c r="K1096" t="s">
        <v>366</v>
      </c>
      <c r="L1096">
        <f>_xlfn.XLOOKUP(K1096, CCF!B:B, CCF!C:C)</f>
        <v>109990</v>
      </c>
      <c r="M1096" t="s">
        <v>20</v>
      </c>
    </row>
    <row r="1097" spans="1:13" x14ac:dyDescent="0.3">
      <c r="A1097">
        <v>1096</v>
      </c>
      <c r="B1097" t="s">
        <v>1758</v>
      </c>
      <c r="C1097" s="3">
        <v>47128</v>
      </c>
      <c r="D1097" t="s">
        <v>666</v>
      </c>
      <c r="E1097">
        <v>42</v>
      </c>
      <c r="F1097" s="1">
        <v>45450</v>
      </c>
      <c r="G1097" s="1" t="str">
        <f>TEXT(Table1[[#This Row],[Enrollment date]], "mmm")</f>
        <v>Jun</v>
      </c>
      <c r="H1097" t="s">
        <v>360</v>
      </c>
      <c r="I1097" t="s">
        <v>660</v>
      </c>
      <c r="J1097" t="str">
        <f>_xlfn.XLOOKUP(Table1[[#This Row],[Course ]], CCF!B:B, CCF!A:A)</f>
        <v>DM101</v>
      </c>
      <c r="K1097" t="s">
        <v>365</v>
      </c>
      <c r="L1097">
        <f>_xlfn.XLOOKUP(K1097, CCF!B:B, CCF!C:C)</f>
        <v>85499</v>
      </c>
      <c r="M1097" t="s">
        <v>20</v>
      </c>
    </row>
    <row r="1098" spans="1:13" x14ac:dyDescent="0.3">
      <c r="A1098">
        <v>1097</v>
      </c>
      <c r="B1098" t="s">
        <v>1759</v>
      </c>
      <c r="C1098" s="3">
        <v>88054</v>
      </c>
      <c r="D1098" t="s">
        <v>666</v>
      </c>
      <c r="E1098">
        <v>59</v>
      </c>
      <c r="F1098" s="1">
        <v>45450</v>
      </c>
      <c r="G1098" s="1" t="str">
        <f>TEXT(Table1[[#This Row],[Enrollment date]], "mmm")</f>
        <v>Jun</v>
      </c>
      <c r="H1098" t="s">
        <v>3</v>
      </c>
      <c r="I1098" t="s">
        <v>660</v>
      </c>
      <c r="J1098" t="str">
        <f>_xlfn.XLOOKUP(Table1[[#This Row],[Course ]], CCF!B:B, CCF!A:A)</f>
        <v>BA301</v>
      </c>
      <c r="K1098" t="s">
        <v>364</v>
      </c>
      <c r="L1098">
        <f>_xlfn.XLOOKUP(K1098, CCF!B:B, CCF!C:C)</f>
        <v>59999</v>
      </c>
      <c r="M1098" t="s">
        <v>139</v>
      </c>
    </row>
    <row r="1099" spans="1:13" x14ac:dyDescent="0.3">
      <c r="A1099">
        <v>1098</v>
      </c>
      <c r="B1099" t="s">
        <v>1760</v>
      </c>
      <c r="C1099" s="3">
        <v>28955</v>
      </c>
      <c r="D1099" t="s">
        <v>666</v>
      </c>
      <c r="E1099">
        <v>49</v>
      </c>
      <c r="F1099" s="1">
        <v>45450</v>
      </c>
      <c r="G1099" s="1" t="str">
        <f>TEXT(Table1[[#This Row],[Enrollment date]], "mmm")</f>
        <v>Jun</v>
      </c>
      <c r="H1099" t="s">
        <v>360</v>
      </c>
      <c r="I1099" t="s">
        <v>659</v>
      </c>
      <c r="J1099" t="str">
        <f>_xlfn.XLOOKUP(Table1[[#This Row],[Course ]], CCF!B:B, CCF!A:A)</f>
        <v>DM101</v>
      </c>
      <c r="K1099" t="s">
        <v>365</v>
      </c>
      <c r="L1099">
        <f>_xlfn.XLOOKUP(K1099, CCF!B:B, CCF!C:C)</f>
        <v>85499</v>
      </c>
      <c r="M1099" t="s">
        <v>9</v>
      </c>
    </row>
    <row r="1100" spans="1:13" x14ac:dyDescent="0.3">
      <c r="A1100">
        <v>1099</v>
      </c>
      <c r="B1100" t="s">
        <v>1761</v>
      </c>
      <c r="C1100" s="3">
        <v>51816</v>
      </c>
      <c r="D1100" t="s">
        <v>666</v>
      </c>
      <c r="E1100">
        <v>40</v>
      </c>
      <c r="F1100" s="1">
        <v>45450</v>
      </c>
      <c r="G1100" s="1" t="str">
        <f>TEXT(Table1[[#This Row],[Enrollment date]], "mmm")</f>
        <v>Jun</v>
      </c>
      <c r="H1100" t="s">
        <v>360</v>
      </c>
      <c r="I1100" t="s">
        <v>659</v>
      </c>
      <c r="J1100" t="str">
        <f>_xlfn.XLOOKUP(Table1[[#This Row],[Course ]], CCF!B:B, CCF!A:A)</f>
        <v>DM101</v>
      </c>
      <c r="K1100" t="s">
        <v>365</v>
      </c>
      <c r="L1100">
        <f>_xlfn.XLOOKUP(K1100, CCF!B:B, CCF!C:C)</f>
        <v>85499</v>
      </c>
      <c r="M1100" t="s">
        <v>9</v>
      </c>
    </row>
    <row r="1101" spans="1:13" x14ac:dyDescent="0.3">
      <c r="A1101">
        <v>1100</v>
      </c>
      <c r="B1101" t="s">
        <v>1762</v>
      </c>
      <c r="C1101" s="3">
        <v>19635</v>
      </c>
      <c r="D1101" t="s">
        <v>666</v>
      </c>
      <c r="E1101">
        <v>26</v>
      </c>
      <c r="F1101" s="1">
        <v>45450</v>
      </c>
      <c r="G1101" s="1" t="str">
        <f>TEXT(Table1[[#This Row],[Enrollment date]], "mmm")</f>
        <v>Jun</v>
      </c>
      <c r="H1101" t="s">
        <v>360</v>
      </c>
      <c r="I1101" t="s">
        <v>661</v>
      </c>
      <c r="J1101" t="str">
        <f>_xlfn.XLOOKUP(Table1[[#This Row],[Course ]], CCF!B:B, CCF!A:A)</f>
        <v>DA202</v>
      </c>
      <c r="K1101" t="s">
        <v>363</v>
      </c>
      <c r="L1101">
        <f>_xlfn.XLOOKUP(K1101, CCF!B:B, CCF!C:C)</f>
        <v>79999</v>
      </c>
      <c r="M1101" t="s">
        <v>68</v>
      </c>
    </row>
    <row r="1102" spans="1:13" x14ac:dyDescent="0.3">
      <c r="A1102">
        <v>1101</v>
      </c>
      <c r="B1102" t="s">
        <v>1763</v>
      </c>
      <c r="C1102" s="3">
        <v>71587</v>
      </c>
      <c r="D1102" t="s">
        <v>666</v>
      </c>
      <c r="E1102">
        <v>40</v>
      </c>
      <c r="F1102" s="1">
        <v>45450</v>
      </c>
      <c r="G1102" s="1" t="str">
        <f>TEXT(Table1[[#This Row],[Enrollment date]], "mmm")</f>
        <v>Jun</v>
      </c>
      <c r="H1102" t="s">
        <v>360</v>
      </c>
      <c r="I1102" t="s">
        <v>660</v>
      </c>
      <c r="J1102" t="str">
        <f>_xlfn.XLOOKUP(Table1[[#This Row],[Course ]], CCF!B:B, CCF!A:A)</f>
        <v>DM101</v>
      </c>
      <c r="K1102" t="s">
        <v>365</v>
      </c>
      <c r="L1102">
        <f>_xlfn.XLOOKUP(K1102, CCF!B:B, CCF!C:C)</f>
        <v>85499</v>
      </c>
      <c r="M1102" t="s">
        <v>16</v>
      </c>
    </row>
    <row r="1103" spans="1:13" x14ac:dyDescent="0.3">
      <c r="A1103">
        <v>1102</v>
      </c>
      <c r="B1103" t="s">
        <v>1764</v>
      </c>
      <c r="C1103" s="3">
        <v>44114</v>
      </c>
      <c r="D1103" t="s">
        <v>666</v>
      </c>
      <c r="E1103">
        <v>44</v>
      </c>
      <c r="F1103" s="1">
        <v>45450</v>
      </c>
      <c r="G1103" s="1" t="str">
        <f>TEXT(Table1[[#This Row],[Enrollment date]], "mmm")</f>
        <v>Jun</v>
      </c>
      <c r="H1103" t="s">
        <v>360</v>
      </c>
      <c r="I1103" t="s">
        <v>660</v>
      </c>
      <c r="J1103" t="str">
        <f>_xlfn.XLOOKUP(Table1[[#This Row],[Course ]], CCF!B:B, CCF!A:A)</f>
        <v>DM101</v>
      </c>
      <c r="K1103" t="s">
        <v>365</v>
      </c>
      <c r="L1103">
        <f>_xlfn.XLOOKUP(K1103, CCF!B:B, CCF!C:C)</f>
        <v>85499</v>
      </c>
      <c r="M1103" t="s">
        <v>16</v>
      </c>
    </row>
    <row r="1104" spans="1:13" x14ac:dyDescent="0.3">
      <c r="A1104">
        <v>1103</v>
      </c>
      <c r="B1104" t="s">
        <v>1765</v>
      </c>
      <c r="C1104" s="3">
        <v>19953</v>
      </c>
      <c r="D1104" t="s">
        <v>666</v>
      </c>
      <c r="E1104">
        <v>37</v>
      </c>
      <c r="F1104" s="1">
        <v>45450</v>
      </c>
      <c r="G1104" s="1" t="str">
        <f>TEXT(Table1[[#This Row],[Enrollment date]], "mmm")</f>
        <v>Jun</v>
      </c>
      <c r="H1104" t="s">
        <v>360</v>
      </c>
      <c r="I1104" t="s">
        <v>659</v>
      </c>
      <c r="J1104" t="str">
        <f>_xlfn.XLOOKUP(Table1[[#This Row],[Course ]], CCF!B:B, CCF!A:A)</f>
        <v>DA202</v>
      </c>
      <c r="K1104" t="s">
        <v>363</v>
      </c>
      <c r="L1104">
        <f>_xlfn.XLOOKUP(K1104, CCF!B:B, CCF!C:C)</f>
        <v>79999</v>
      </c>
      <c r="M1104" t="s">
        <v>91</v>
      </c>
    </row>
    <row r="1105" spans="1:13" x14ac:dyDescent="0.3">
      <c r="A1105">
        <v>1104</v>
      </c>
      <c r="B1105" t="s">
        <v>1766</v>
      </c>
      <c r="C1105" s="3">
        <v>17954</v>
      </c>
      <c r="D1105" t="s">
        <v>666</v>
      </c>
      <c r="E1105">
        <v>75</v>
      </c>
      <c r="F1105" s="1">
        <v>45451</v>
      </c>
      <c r="G1105" s="1" t="str">
        <f>TEXT(Table1[[#This Row],[Enrollment date]], "mmm")</f>
        <v>Jun</v>
      </c>
      <c r="H1105" t="s">
        <v>360</v>
      </c>
      <c r="I1105" t="s">
        <v>659</v>
      </c>
      <c r="J1105" t="str">
        <f>_xlfn.XLOOKUP(Table1[[#This Row],[Course ]], CCF!B:B, CCF!A:A)</f>
        <v>DM101</v>
      </c>
      <c r="K1105" t="s">
        <v>365</v>
      </c>
      <c r="L1105">
        <f>_xlfn.XLOOKUP(K1105, CCF!B:B, CCF!C:C)</f>
        <v>85499</v>
      </c>
      <c r="M1105" t="s">
        <v>20</v>
      </c>
    </row>
    <row r="1106" spans="1:13" x14ac:dyDescent="0.3">
      <c r="A1106">
        <v>1105</v>
      </c>
      <c r="B1106" t="s">
        <v>1767</v>
      </c>
      <c r="C1106" s="3">
        <v>60546</v>
      </c>
      <c r="D1106" t="s">
        <v>666</v>
      </c>
      <c r="E1106">
        <v>49</v>
      </c>
      <c r="F1106" s="1">
        <v>45451</v>
      </c>
      <c r="G1106" s="1" t="str">
        <f>TEXT(Table1[[#This Row],[Enrollment date]], "mmm")</f>
        <v>Jun</v>
      </c>
      <c r="H1106" t="s">
        <v>360</v>
      </c>
      <c r="I1106" t="s">
        <v>662</v>
      </c>
      <c r="J1106" t="str">
        <f>_xlfn.XLOOKUP(Table1[[#This Row],[Course ]], CCF!B:B, CCF!A:A)</f>
        <v>FSD103</v>
      </c>
      <c r="K1106" t="s">
        <v>366</v>
      </c>
      <c r="L1106">
        <f>_xlfn.XLOOKUP(K1106, CCF!B:B, CCF!C:C)</f>
        <v>109990</v>
      </c>
      <c r="M1106" t="s">
        <v>511</v>
      </c>
    </row>
    <row r="1107" spans="1:13" x14ac:dyDescent="0.3">
      <c r="A1107">
        <v>1106</v>
      </c>
      <c r="B1107" t="s">
        <v>1768</v>
      </c>
      <c r="C1107" s="3">
        <v>94332</v>
      </c>
      <c r="D1107" t="s">
        <v>666</v>
      </c>
      <c r="E1107">
        <v>37</v>
      </c>
      <c r="F1107" s="1">
        <v>45451</v>
      </c>
      <c r="G1107" s="1" t="str">
        <f>TEXT(Table1[[#This Row],[Enrollment date]], "mmm")</f>
        <v>Jun</v>
      </c>
      <c r="H1107" t="s">
        <v>361</v>
      </c>
      <c r="I1107" t="s">
        <v>659</v>
      </c>
      <c r="J1107" t="str">
        <f>_xlfn.XLOOKUP(Table1[[#This Row],[Course ]], CCF!B:B, CCF!A:A)</f>
        <v>DA202</v>
      </c>
      <c r="K1107" t="s">
        <v>363</v>
      </c>
      <c r="L1107">
        <f>_xlfn.XLOOKUP(K1107, CCF!B:B, CCF!C:C)</f>
        <v>79999</v>
      </c>
      <c r="M1107" t="s">
        <v>18</v>
      </c>
    </row>
    <row r="1108" spans="1:13" x14ac:dyDescent="0.3">
      <c r="A1108">
        <v>1107</v>
      </c>
      <c r="B1108" t="s">
        <v>1769</v>
      </c>
      <c r="C1108" s="3">
        <v>45503</v>
      </c>
      <c r="D1108" t="s">
        <v>666</v>
      </c>
      <c r="E1108">
        <v>45</v>
      </c>
      <c r="F1108" s="1">
        <v>45451</v>
      </c>
      <c r="G1108" s="1" t="str">
        <f>TEXT(Table1[[#This Row],[Enrollment date]], "mmm")</f>
        <v>Jun</v>
      </c>
      <c r="H1108" t="s">
        <v>360</v>
      </c>
      <c r="I1108" t="s">
        <v>660</v>
      </c>
      <c r="J1108" t="str">
        <f>_xlfn.XLOOKUP(Table1[[#This Row],[Course ]], CCF!B:B, CCF!A:A)</f>
        <v>DM101</v>
      </c>
      <c r="K1108" t="s">
        <v>365</v>
      </c>
      <c r="L1108">
        <f>_xlfn.XLOOKUP(K1108, CCF!B:B, CCF!C:C)</f>
        <v>85499</v>
      </c>
      <c r="M1108" t="s">
        <v>147</v>
      </c>
    </row>
    <row r="1109" spans="1:13" x14ac:dyDescent="0.3">
      <c r="A1109">
        <v>1108</v>
      </c>
      <c r="B1109" t="s">
        <v>1770</v>
      </c>
      <c r="C1109" s="3">
        <v>58741</v>
      </c>
      <c r="D1109" t="s">
        <v>666</v>
      </c>
      <c r="E1109">
        <v>42</v>
      </c>
      <c r="F1109" s="1">
        <v>45451</v>
      </c>
      <c r="G1109" s="1" t="str">
        <f>TEXT(Table1[[#This Row],[Enrollment date]], "mmm")</f>
        <v>Jun</v>
      </c>
      <c r="H1109" t="s">
        <v>3</v>
      </c>
      <c r="I1109" t="s">
        <v>663</v>
      </c>
      <c r="J1109" t="str">
        <f>_xlfn.XLOOKUP(Table1[[#This Row],[Course ]], CCF!B:B, CCF!A:A)</f>
        <v>DM101</v>
      </c>
      <c r="K1109" t="s">
        <v>365</v>
      </c>
      <c r="L1109">
        <f>_xlfn.XLOOKUP(K1109, CCF!B:B, CCF!C:C)</f>
        <v>85499</v>
      </c>
      <c r="M1109" t="s">
        <v>48</v>
      </c>
    </row>
    <row r="1110" spans="1:13" x14ac:dyDescent="0.3">
      <c r="A1110">
        <v>1109</v>
      </c>
      <c r="B1110" t="s">
        <v>1771</v>
      </c>
      <c r="C1110" s="3">
        <v>60270</v>
      </c>
      <c r="D1110" t="s">
        <v>666</v>
      </c>
      <c r="E1110">
        <v>41</v>
      </c>
      <c r="F1110" s="1">
        <v>45451</v>
      </c>
      <c r="G1110" s="1" t="str">
        <f>TEXT(Table1[[#This Row],[Enrollment date]], "mmm")</f>
        <v>Jun</v>
      </c>
      <c r="H1110" t="s">
        <v>360</v>
      </c>
      <c r="I1110" t="s">
        <v>662</v>
      </c>
      <c r="J1110" t="str">
        <f>_xlfn.XLOOKUP(Table1[[#This Row],[Course ]], CCF!B:B, CCF!A:A)</f>
        <v>DA202</v>
      </c>
      <c r="K1110" t="s">
        <v>363</v>
      </c>
      <c r="L1110">
        <f>_xlfn.XLOOKUP(K1110, CCF!B:B, CCF!C:C)</f>
        <v>79999</v>
      </c>
      <c r="M1110" t="s">
        <v>129</v>
      </c>
    </row>
    <row r="1111" spans="1:13" x14ac:dyDescent="0.3">
      <c r="A1111">
        <v>1110</v>
      </c>
      <c r="B1111" t="s">
        <v>1772</v>
      </c>
      <c r="C1111" s="3">
        <v>31661</v>
      </c>
      <c r="D1111" t="s">
        <v>666</v>
      </c>
      <c r="E1111">
        <v>26</v>
      </c>
      <c r="F1111" s="1">
        <v>45451</v>
      </c>
      <c r="G1111" s="1" t="str">
        <f>TEXT(Table1[[#This Row],[Enrollment date]], "mmm")</f>
        <v>Jun</v>
      </c>
      <c r="H1111" t="s">
        <v>360</v>
      </c>
      <c r="I1111" t="s">
        <v>660</v>
      </c>
      <c r="J1111" t="str">
        <f>_xlfn.XLOOKUP(Table1[[#This Row],[Course ]], CCF!B:B, CCF!A:A)</f>
        <v>DM101</v>
      </c>
      <c r="K1111" t="s">
        <v>365</v>
      </c>
      <c r="L1111">
        <f>_xlfn.XLOOKUP(K1111, CCF!B:B, CCF!C:C)</f>
        <v>85499</v>
      </c>
      <c r="M1111" t="s">
        <v>105</v>
      </c>
    </row>
    <row r="1112" spans="1:13" x14ac:dyDescent="0.3">
      <c r="A1112">
        <v>1111</v>
      </c>
      <c r="B1112" t="s">
        <v>1773</v>
      </c>
      <c r="C1112" s="3">
        <v>90521</v>
      </c>
      <c r="D1112" t="s">
        <v>667</v>
      </c>
      <c r="E1112">
        <v>50</v>
      </c>
      <c r="F1112" s="1">
        <v>45451</v>
      </c>
      <c r="G1112" s="1" t="str">
        <f>TEXT(Table1[[#This Row],[Enrollment date]], "mmm")</f>
        <v>Jun</v>
      </c>
      <c r="H1112" t="s">
        <v>360</v>
      </c>
      <c r="I1112" t="s">
        <v>660</v>
      </c>
      <c r="J1112" t="str">
        <f>_xlfn.XLOOKUP(Table1[[#This Row],[Course ]], CCF!B:B, CCF!A:A)</f>
        <v>DM101</v>
      </c>
      <c r="K1112" t="s">
        <v>365</v>
      </c>
      <c r="L1112">
        <f>_xlfn.XLOOKUP(K1112, CCF!B:B, CCF!C:C)</f>
        <v>85499</v>
      </c>
      <c r="M1112" t="s">
        <v>9</v>
      </c>
    </row>
    <row r="1113" spans="1:13" x14ac:dyDescent="0.3">
      <c r="A1113">
        <v>1112</v>
      </c>
      <c r="B1113" t="s">
        <v>1774</v>
      </c>
      <c r="C1113" s="3">
        <v>14711</v>
      </c>
      <c r="D1113" t="s">
        <v>666</v>
      </c>
      <c r="E1113">
        <v>23</v>
      </c>
      <c r="F1113" s="1">
        <v>45451</v>
      </c>
      <c r="G1113" s="1" t="str">
        <f>TEXT(Table1[[#This Row],[Enrollment date]], "mmm")</f>
        <v>Jun</v>
      </c>
      <c r="H1113" t="s">
        <v>360</v>
      </c>
      <c r="I1113" t="s">
        <v>659</v>
      </c>
      <c r="J1113" t="str">
        <f>_xlfn.XLOOKUP(Table1[[#This Row],[Course ]], CCF!B:B, CCF!A:A)</f>
        <v>DA202</v>
      </c>
      <c r="K1113" t="s">
        <v>363</v>
      </c>
      <c r="L1113">
        <f>_xlfn.XLOOKUP(K1113, CCF!B:B, CCF!C:C)</f>
        <v>79999</v>
      </c>
      <c r="M1113" t="s">
        <v>168</v>
      </c>
    </row>
    <row r="1114" spans="1:13" x14ac:dyDescent="0.3">
      <c r="A1114">
        <v>1113</v>
      </c>
      <c r="B1114" t="s">
        <v>1775</v>
      </c>
      <c r="C1114" s="3">
        <v>29707</v>
      </c>
      <c r="D1114" t="s">
        <v>667</v>
      </c>
      <c r="E1114">
        <v>28</v>
      </c>
      <c r="F1114" s="1">
        <v>45451</v>
      </c>
      <c r="G1114" s="1" t="str">
        <f>TEXT(Table1[[#This Row],[Enrollment date]], "mmm")</f>
        <v>Jun</v>
      </c>
      <c r="H1114" t="s">
        <v>360</v>
      </c>
      <c r="I1114" t="s">
        <v>660</v>
      </c>
      <c r="J1114" t="str">
        <f>_xlfn.XLOOKUP(Table1[[#This Row],[Course ]], CCF!B:B, CCF!A:A)</f>
        <v>BA301</v>
      </c>
      <c r="K1114" t="s">
        <v>364</v>
      </c>
      <c r="L1114">
        <f>_xlfn.XLOOKUP(K1114, CCF!B:B, CCF!C:C)</f>
        <v>59999</v>
      </c>
      <c r="M1114" t="s">
        <v>512</v>
      </c>
    </row>
    <row r="1115" spans="1:13" x14ac:dyDescent="0.3">
      <c r="A1115">
        <v>1114</v>
      </c>
      <c r="B1115" t="s">
        <v>1776</v>
      </c>
      <c r="C1115" s="3">
        <v>57064</v>
      </c>
      <c r="D1115" t="s">
        <v>666</v>
      </c>
      <c r="E1115">
        <v>39</v>
      </c>
      <c r="F1115" s="1">
        <v>45452</v>
      </c>
      <c r="G1115" s="1" t="str">
        <f>TEXT(Table1[[#This Row],[Enrollment date]], "mmm")</f>
        <v>Jun</v>
      </c>
      <c r="H1115" t="s">
        <v>360</v>
      </c>
      <c r="I1115" t="s">
        <v>660</v>
      </c>
      <c r="J1115" t="str">
        <f>_xlfn.XLOOKUP(Table1[[#This Row],[Course ]], CCF!B:B, CCF!A:A)</f>
        <v>BA301</v>
      </c>
      <c r="K1115" t="s">
        <v>364</v>
      </c>
      <c r="L1115">
        <f>_xlfn.XLOOKUP(K1115, CCF!B:B, CCF!C:C)</f>
        <v>59999</v>
      </c>
      <c r="M1115" t="s">
        <v>513</v>
      </c>
    </row>
    <row r="1116" spans="1:13" x14ac:dyDescent="0.3">
      <c r="A1116">
        <v>1115</v>
      </c>
      <c r="B1116" t="s">
        <v>1777</v>
      </c>
      <c r="C1116" s="3">
        <v>16472</v>
      </c>
      <c r="D1116" t="s">
        <v>667</v>
      </c>
      <c r="E1116">
        <v>47</v>
      </c>
      <c r="F1116" s="1">
        <v>45452</v>
      </c>
      <c r="G1116" s="1" t="str">
        <f>TEXT(Table1[[#This Row],[Enrollment date]], "mmm")</f>
        <v>Jun</v>
      </c>
      <c r="H1116" t="s">
        <v>360</v>
      </c>
      <c r="I1116" t="s">
        <v>659</v>
      </c>
      <c r="J1116" t="str">
        <f>_xlfn.XLOOKUP(Table1[[#This Row],[Course ]], CCF!B:B, CCF!A:A)</f>
        <v>DM101</v>
      </c>
      <c r="K1116" t="s">
        <v>365</v>
      </c>
      <c r="L1116">
        <f>_xlfn.XLOOKUP(K1116, CCF!B:B, CCF!C:C)</f>
        <v>85499</v>
      </c>
      <c r="M1116" t="s">
        <v>514</v>
      </c>
    </row>
    <row r="1117" spans="1:13" x14ac:dyDescent="0.3">
      <c r="A1117">
        <v>1116</v>
      </c>
      <c r="B1117" t="s">
        <v>1778</v>
      </c>
      <c r="C1117" s="3">
        <v>84724</v>
      </c>
      <c r="D1117" t="s">
        <v>666</v>
      </c>
      <c r="E1117">
        <v>24</v>
      </c>
      <c r="F1117" s="1">
        <v>45452</v>
      </c>
      <c r="G1117" s="1" t="str">
        <f>TEXT(Table1[[#This Row],[Enrollment date]], "mmm")</f>
        <v>Jun</v>
      </c>
      <c r="H1117" t="s">
        <v>360</v>
      </c>
      <c r="I1117" t="s">
        <v>659</v>
      </c>
      <c r="J1117" t="str">
        <f>_xlfn.XLOOKUP(Table1[[#This Row],[Course ]], CCF!B:B, CCF!A:A)</f>
        <v>DA202</v>
      </c>
      <c r="K1117" t="s">
        <v>363</v>
      </c>
      <c r="L1117">
        <f>_xlfn.XLOOKUP(K1117, CCF!B:B, CCF!C:C)</f>
        <v>79999</v>
      </c>
      <c r="M1117" t="s">
        <v>100</v>
      </c>
    </row>
    <row r="1118" spans="1:13" x14ac:dyDescent="0.3">
      <c r="A1118">
        <v>1117</v>
      </c>
      <c r="B1118" t="s">
        <v>1779</v>
      </c>
      <c r="C1118" s="3">
        <v>33803</v>
      </c>
      <c r="D1118" t="s">
        <v>667</v>
      </c>
      <c r="E1118">
        <v>31</v>
      </c>
      <c r="F1118" s="1">
        <v>45452</v>
      </c>
      <c r="G1118" s="1" t="str">
        <f>TEXT(Table1[[#This Row],[Enrollment date]], "mmm")</f>
        <v>Jun</v>
      </c>
      <c r="H1118" t="s">
        <v>360</v>
      </c>
      <c r="I1118" t="s">
        <v>659</v>
      </c>
      <c r="J1118" t="str">
        <f>_xlfn.XLOOKUP(Table1[[#This Row],[Course ]], CCF!B:B, CCF!A:A)</f>
        <v>FSD103</v>
      </c>
      <c r="K1118" t="s">
        <v>366</v>
      </c>
      <c r="L1118">
        <f>_xlfn.XLOOKUP(K1118, CCF!B:B, CCF!C:C)</f>
        <v>109990</v>
      </c>
      <c r="M1118" t="s">
        <v>515</v>
      </c>
    </row>
    <row r="1119" spans="1:13" x14ac:dyDescent="0.3">
      <c r="A1119">
        <v>1118</v>
      </c>
      <c r="B1119" t="s">
        <v>1780</v>
      </c>
      <c r="C1119" s="3">
        <v>21888</v>
      </c>
      <c r="D1119" t="s">
        <v>666</v>
      </c>
      <c r="E1119">
        <v>71</v>
      </c>
      <c r="F1119" s="1">
        <v>45452</v>
      </c>
      <c r="G1119" s="1" t="str">
        <f>TEXT(Table1[[#This Row],[Enrollment date]], "mmm")</f>
        <v>Jun</v>
      </c>
      <c r="H1119" t="s">
        <v>360</v>
      </c>
      <c r="I1119" t="s">
        <v>660</v>
      </c>
      <c r="J1119" t="str">
        <f>_xlfn.XLOOKUP(Table1[[#This Row],[Course ]], CCF!B:B, CCF!A:A)</f>
        <v>DA202</v>
      </c>
      <c r="K1119" t="s">
        <v>363</v>
      </c>
      <c r="L1119">
        <f>_xlfn.XLOOKUP(K1119, CCF!B:B, CCF!C:C)</f>
        <v>79999</v>
      </c>
      <c r="M1119" t="s">
        <v>516</v>
      </c>
    </row>
    <row r="1120" spans="1:13" x14ac:dyDescent="0.3">
      <c r="A1120">
        <v>1119</v>
      </c>
      <c r="B1120" t="s">
        <v>1781</v>
      </c>
      <c r="C1120" s="3">
        <v>48143</v>
      </c>
      <c r="D1120" t="s">
        <v>667</v>
      </c>
      <c r="E1120">
        <v>74</v>
      </c>
      <c r="F1120" s="1">
        <v>45452</v>
      </c>
      <c r="G1120" s="1" t="str">
        <f>TEXT(Table1[[#This Row],[Enrollment date]], "mmm")</f>
        <v>Jun</v>
      </c>
      <c r="H1120" t="s">
        <v>360</v>
      </c>
      <c r="I1120" t="s">
        <v>661</v>
      </c>
      <c r="J1120" t="str">
        <f>_xlfn.XLOOKUP(Table1[[#This Row],[Course ]], CCF!B:B, CCF!A:A)</f>
        <v>BA301</v>
      </c>
      <c r="K1120" t="s">
        <v>364</v>
      </c>
      <c r="L1120">
        <f>_xlfn.XLOOKUP(K1120, CCF!B:B, CCF!C:C)</f>
        <v>59999</v>
      </c>
      <c r="M1120" t="s">
        <v>9</v>
      </c>
    </row>
    <row r="1121" spans="1:13" x14ac:dyDescent="0.3">
      <c r="A1121">
        <v>1120</v>
      </c>
      <c r="B1121" t="s">
        <v>1782</v>
      </c>
      <c r="C1121" s="3">
        <v>26015</v>
      </c>
      <c r="D1121" t="s">
        <v>666</v>
      </c>
      <c r="E1121">
        <v>72</v>
      </c>
      <c r="F1121" s="1">
        <v>45452</v>
      </c>
      <c r="G1121" s="1" t="str">
        <f>TEXT(Table1[[#This Row],[Enrollment date]], "mmm")</f>
        <v>Jun</v>
      </c>
      <c r="H1121" t="s">
        <v>360</v>
      </c>
      <c r="I1121" t="s">
        <v>660</v>
      </c>
      <c r="J1121" t="str">
        <f>_xlfn.XLOOKUP(Table1[[#This Row],[Course ]], CCF!B:B, CCF!A:A)</f>
        <v>DA202</v>
      </c>
      <c r="K1121" t="s">
        <v>363</v>
      </c>
      <c r="L1121">
        <f>_xlfn.XLOOKUP(K1121, CCF!B:B, CCF!C:C)</f>
        <v>79999</v>
      </c>
      <c r="M1121" t="s">
        <v>20</v>
      </c>
    </row>
    <row r="1122" spans="1:13" x14ac:dyDescent="0.3">
      <c r="A1122">
        <v>1121</v>
      </c>
      <c r="B1122" t="s">
        <v>1783</v>
      </c>
      <c r="C1122" s="3">
        <v>20585</v>
      </c>
      <c r="D1122" t="s">
        <v>666</v>
      </c>
      <c r="E1122">
        <v>59</v>
      </c>
      <c r="F1122" s="1">
        <v>45452</v>
      </c>
      <c r="G1122" s="1" t="str">
        <f>TEXT(Table1[[#This Row],[Enrollment date]], "mmm")</f>
        <v>Jun</v>
      </c>
      <c r="H1122" t="s">
        <v>360</v>
      </c>
      <c r="I1122" t="s">
        <v>665</v>
      </c>
      <c r="J1122" t="str">
        <f>_xlfn.XLOOKUP(Table1[[#This Row],[Course ]], CCF!B:B, CCF!A:A)</f>
        <v>DA202</v>
      </c>
      <c r="K1122" t="s">
        <v>363</v>
      </c>
      <c r="L1122">
        <f>_xlfn.XLOOKUP(K1122, CCF!B:B, CCF!C:C)</f>
        <v>79999</v>
      </c>
      <c r="M1122" t="s">
        <v>9</v>
      </c>
    </row>
    <row r="1123" spans="1:13" x14ac:dyDescent="0.3">
      <c r="A1123">
        <v>1122</v>
      </c>
      <c r="B1123" t="s">
        <v>1784</v>
      </c>
      <c r="C1123" s="3">
        <v>58918</v>
      </c>
      <c r="D1123" t="s">
        <v>666</v>
      </c>
      <c r="E1123">
        <v>27</v>
      </c>
      <c r="F1123" s="1">
        <v>45452</v>
      </c>
      <c r="G1123" s="1" t="str">
        <f>TEXT(Table1[[#This Row],[Enrollment date]], "mmm")</f>
        <v>Jun</v>
      </c>
      <c r="H1123" t="s">
        <v>360</v>
      </c>
      <c r="I1123" t="s">
        <v>659</v>
      </c>
      <c r="J1123" t="str">
        <f>_xlfn.XLOOKUP(Table1[[#This Row],[Course ]], CCF!B:B, CCF!A:A)</f>
        <v>DM101</v>
      </c>
      <c r="K1123" t="s">
        <v>365</v>
      </c>
      <c r="L1123">
        <f>_xlfn.XLOOKUP(K1123, CCF!B:B, CCF!C:C)</f>
        <v>85499</v>
      </c>
      <c r="M1123" t="s">
        <v>179</v>
      </c>
    </row>
    <row r="1124" spans="1:13" x14ac:dyDescent="0.3">
      <c r="A1124">
        <v>1123</v>
      </c>
      <c r="B1124" t="s">
        <v>1785</v>
      </c>
      <c r="C1124" s="3">
        <v>97659</v>
      </c>
      <c r="D1124" t="s">
        <v>667</v>
      </c>
      <c r="E1124">
        <v>35</v>
      </c>
      <c r="F1124" s="1">
        <v>45452</v>
      </c>
      <c r="G1124" s="1" t="str">
        <f>TEXT(Table1[[#This Row],[Enrollment date]], "mmm")</f>
        <v>Jun</v>
      </c>
      <c r="H1124" t="s">
        <v>360</v>
      </c>
      <c r="I1124" t="s">
        <v>664</v>
      </c>
      <c r="J1124" t="str">
        <f>_xlfn.XLOOKUP(Table1[[#This Row],[Course ]], CCF!B:B, CCF!A:A)</f>
        <v>UX401</v>
      </c>
      <c r="K1124" t="s">
        <v>367</v>
      </c>
      <c r="L1124">
        <f>_xlfn.XLOOKUP(K1124, CCF!B:B, CCF!C:C)</f>
        <v>67990</v>
      </c>
      <c r="M1124" t="s">
        <v>16</v>
      </c>
    </row>
    <row r="1125" spans="1:13" x14ac:dyDescent="0.3">
      <c r="A1125">
        <v>1124</v>
      </c>
      <c r="B1125" t="s">
        <v>1786</v>
      </c>
      <c r="C1125" s="3">
        <v>50385</v>
      </c>
      <c r="D1125" t="s">
        <v>666</v>
      </c>
      <c r="E1125">
        <v>18</v>
      </c>
      <c r="F1125" s="1">
        <v>45452</v>
      </c>
      <c r="G1125" s="1" t="str">
        <f>TEXT(Table1[[#This Row],[Enrollment date]], "mmm")</f>
        <v>Jun</v>
      </c>
      <c r="H1125" t="s">
        <v>360</v>
      </c>
      <c r="I1125" t="s">
        <v>660</v>
      </c>
      <c r="J1125" t="str">
        <f>_xlfn.XLOOKUP(Table1[[#This Row],[Course ]], CCF!B:B, CCF!A:A)</f>
        <v>DM101</v>
      </c>
      <c r="K1125" t="s">
        <v>365</v>
      </c>
      <c r="L1125">
        <f>_xlfn.XLOOKUP(K1125, CCF!B:B, CCF!C:C)</f>
        <v>85499</v>
      </c>
      <c r="M1125" t="s">
        <v>18</v>
      </c>
    </row>
    <row r="1126" spans="1:13" x14ac:dyDescent="0.3">
      <c r="A1126">
        <v>1125</v>
      </c>
      <c r="B1126" t="s">
        <v>1787</v>
      </c>
      <c r="C1126" s="3">
        <v>31255</v>
      </c>
      <c r="D1126" t="s">
        <v>667</v>
      </c>
      <c r="E1126">
        <v>53</v>
      </c>
      <c r="F1126" s="1">
        <v>45452</v>
      </c>
      <c r="G1126" s="1" t="str">
        <f>TEXT(Table1[[#This Row],[Enrollment date]], "mmm")</f>
        <v>Jun</v>
      </c>
      <c r="H1126" t="s">
        <v>360</v>
      </c>
      <c r="I1126" t="s">
        <v>661</v>
      </c>
      <c r="J1126" t="str">
        <f>_xlfn.XLOOKUP(Table1[[#This Row],[Course ]], CCF!B:B, CCF!A:A)</f>
        <v>DA202</v>
      </c>
      <c r="K1126" t="s">
        <v>363</v>
      </c>
      <c r="L1126">
        <f>_xlfn.XLOOKUP(K1126, CCF!B:B, CCF!C:C)</f>
        <v>79999</v>
      </c>
      <c r="M1126" t="s">
        <v>517</v>
      </c>
    </row>
    <row r="1127" spans="1:13" x14ac:dyDescent="0.3">
      <c r="A1127">
        <v>1126</v>
      </c>
      <c r="B1127" t="s">
        <v>1788</v>
      </c>
      <c r="C1127" s="3">
        <v>43106</v>
      </c>
      <c r="D1127" t="s">
        <v>667</v>
      </c>
      <c r="E1127">
        <v>30</v>
      </c>
      <c r="F1127" s="1">
        <v>45452</v>
      </c>
      <c r="G1127" s="1" t="str">
        <f>TEXT(Table1[[#This Row],[Enrollment date]], "mmm")</f>
        <v>Jun</v>
      </c>
      <c r="H1127" t="s">
        <v>360</v>
      </c>
      <c r="I1127" t="s">
        <v>660</v>
      </c>
      <c r="J1127" t="str">
        <f>_xlfn.XLOOKUP(Table1[[#This Row],[Course ]], CCF!B:B, CCF!A:A)</f>
        <v>DA202</v>
      </c>
      <c r="K1127" t="s">
        <v>363</v>
      </c>
      <c r="L1127">
        <f>_xlfn.XLOOKUP(K1127, CCF!B:B, CCF!C:C)</f>
        <v>79999</v>
      </c>
      <c r="M1127" t="s">
        <v>79</v>
      </c>
    </row>
    <row r="1128" spans="1:13" x14ac:dyDescent="0.3">
      <c r="A1128">
        <v>1127</v>
      </c>
      <c r="B1128" t="s">
        <v>1789</v>
      </c>
      <c r="C1128" s="3">
        <v>52269</v>
      </c>
      <c r="D1128" t="s">
        <v>666</v>
      </c>
      <c r="E1128">
        <v>48</v>
      </c>
      <c r="F1128" s="1">
        <v>45452</v>
      </c>
      <c r="G1128" s="1" t="str">
        <f>TEXT(Table1[[#This Row],[Enrollment date]], "mmm")</f>
        <v>Jun</v>
      </c>
      <c r="H1128" t="s">
        <v>360</v>
      </c>
      <c r="I1128" t="s">
        <v>659</v>
      </c>
      <c r="J1128" t="str">
        <f>_xlfn.XLOOKUP(Table1[[#This Row],[Course ]], CCF!B:B, CCF!A:A)</f>
        <v>DM101</v>
      </c>
      <c r="K1128" t="s">
        <v>365</v>
      </c>
      <c r="L1128">
        <f>_xlfn.XLOOKUP(K1128, CCF!B:B, CCF!C:C)</f>
        <v>85499</v>
      </c>
      <c r="M1128" t="s">
        <v>17</v>
      </c>
    </row>
    <row r="1129" spans="1:13" x14ac:dyDescent="0.3">
      <c r="A1129">
        <v>1128</v>
      </c>
      <c r="B1129" t="s">
        <v>1790</v>
      </c>
      <c r="C1129" s="3">
        <v>52710</v>
      </c>
      <c r="D1129" t="s">
        <v>667</v>
      </c>
      <c r="E1129">
        <v>48</v>
      </c>
      <c r="F1129" s="1">
        <v>45453</v>
      </c>
      <c r="G1129" s="1" t="str">
        <f>TEXT(Table1[[#This Row],[Enrollment date]], "mmm")</f>
        <v>Jun</v>
      </c>
      <c r="H1129" t="s">
        <v>360</v>
      </c>
      <c r="I1129" t="s">
        <v>662</v>
      </c>
      <c r="J1129" t="str">
        <f>_xlfn.XLOOKUP(Table1[[#This Row],[Course ]], CCF!B:B, CCF!A:A)</f>
        <v>DA202</v>
      </c>
      <c r="K1129" t="s">
        <v>363</v>
      </c>
      <c r="L1129">
        <f>_xlfn.XLOOKUP(K1129, CCF!B:B, CCF!C:C)</f>
        <v>79999</v>
      </c>
      <c r="M1129" t="s">
        <v>518</v>
      </c>
    </row>
    <row r="1130" spans="1:13" x14ac:dyDescent="0.3">
      <c r="A1130">
        <v>1129</v>
      </c>
      <c r="B1130" t="s">
        <v>1791</v>
      </c>
      <c r="C1130" s="3">
        <v>82042</v>
      </c>
      <c r="D1130" t="s">
        <v>666</v>
      </c>
      <c r="E1130">
        <v>60</v>
      </c>
      <c r="F1130" s="1">
        <v>45453</v>
      </c>
      <c r="G1130" s="1" t="str">
        <f>TEXT(Table1[[#This Row],[Enrollment date]], "mmm")</f>
        <v>Jun</v>
      </c>
      <c r="H1130" t="s">
        <v>360</v>
      </c>
      <c r="I1130" t="s">
        <v>660</v>
      </c>
      <c r="J1130" t="str">
        <f>_xlfn.XLOOKUP(Table1[[#This Row],[Course ]], CCF!B:B, CCF!A:A)</f>
        <v>FSD103</v>
      </c>
      <c r="K1130" t="s">
        <v>366</v>
      </c>
      <c r="L1130">
        <f>_xlfn.XLOOKUP(K1130, CCF!B:B, CCF!C:C)</f>
        <v>109990</v>
      </c>
      <c r="M1130" t="s">
        <v>519</v>
      </c>
    </row>
    <row r="1131" spans="1:13" x14ac:dyDescent="0.3">
      <c r="A1131">
        <v>1130</v>
      </c>
      <c r="B1131" t="s">
        <v>1792</v>
      </c>
      <c r="C1131" s="3">
        <v>81502</v>
      </c>
      <c r="D1131" t="s">
        <v>666</v>
      </c>
      <c r="E1131">
        <v>49</v>
      </c>
      <c r="F1131" s="1">
        <v>45453</v>
      </c>
      <c r="G1131" s="1" t="str">
        <f>TEXT(Table1[[#This Row],[Enrollment date]], "mmm")</f>
        <v>Jun</v>
      </c>
      <c r="H1131" t="s">
        <v>360</v>
      </c>
      <c r="I1131" t="s">
        <v>661</v>
      </c>
      <c r="J1131" t="str">
        <f>_xlfn.XLOOKUP(Table1[[#This Row],[Course ]], CCF!B:B, CCF!A:A)</f>
        <v>DA202</v>
      </c>
      <c r="K1131" t="s">
        <v>363</v>
      </c>
      <c r="L1131">
        <f>_xlfn.XLOOKUP(K1131, CCF!B:B, CCF!C:C)</f>
        <v>79999</v>
      </c>
      <c r="M1131" t="s">
        <v>520</v>
      </c>
    </row>
    <row r="1132" spans="1:13" x14ac:dyDescent="0.3">
      <c r="A1132">
        <v>1131</v>
      </c>
      <c r="B1132" t="s">
        <v>1793</v>
      </c>
      <c r="C1132" s="3">
        <v>34528</v>
      </c>
      <c r="D1132" t="s">
        <v>666</v>
      </c>
      <c r="E1132">
        <v>47</v>
      </c>
      <c r="F1132" s="1">
        <v>45453</v>
      </c>
      <c r="G1132" s="1" t="str">
        <f>TEXT(Table1[[#This Row],[Enrollment date]], "mmm")</f>
        <v>Jun</v>
      </c>
      <c r="H1132" t="s">
        <v>360</v>
      </c>
      <c r="I1132" t="s">
        <v>659</v>
      </c>
      <c r="J1132" t="str">
        <f>_xlfn.XLOOKUP(Table1[[#This Row],[Course ]], CCF!B:B, CCF!A:A)</f>
        <v>DM101</v>
      </c>
      <c r="K1132" t="s">
        <v>365</v>
      </c>
      <c r="L1132">
        <f>_xlfn.XLOOKUP(K1132, CCF!B:B, CCF!C:C)</f>
        <v>85499</v>
      </c>
      <c r="M1132" t="s">
        <v>27</v>
      </c>
    </row>
    <row r="1133" spans="1:13" x14ac:dyDescent="0.3">
      <c r="A1133">
        <v>1132</v>
      </c>
      <c r="B1133" t="s">
        <v>1794</v>
      </c>
      <c r="C1133" s="3">
        <v>82460</v>
      </c>
      <c r="D1133" t="s">
        <v>666</v>
      </c>
      <c r="E1133">
        <v>34</v>
      </c>
      <c r="F1133" s="1">
        <v>45453</v>
      </c>
      <c r="G1133" s="1" t="str">
        <f>TEXT(Table1[[#This Row],[Enrollment date]], "mmm")</f>
        <v>Jun</v>
      </c>
      <c r="H1133" t="s">
        <v>360</v>
      </c>
      <c r="I1133" t="s">
        <v>660</v>
      </c>
      <c r="J1133" t="str">
        <f>_xlfn.XLOOKUP(Table1[[#This Row],[Course ]], CCF!B:B, CCF!A:A)</f>
        <v>DM101</v>
      </c>
      <c r="K1133" t="s">
        <v>365</v>
      </c>
      <c r="L1133">
        <f>_xlfn.XLOOKUP(K1133, CCF!B:B, CCF!C:C)</f>
        <v>85499</v>
      </c>
      <c r="M1133" t="s">
        <v>134</v>
      </c>
    </row>
    <row r="1134" spans="1:13" x14ac:dyDescent="0.3">
      <c r="A1134">
        <v>1133</v>
      </c>
      <c r="B1134" t="s">
        <v>1795</v>
      </c>
      <c r="C1134" s="3">
        <v>72006</v>
      </c>
      <c r="D1134" t="s">
        <v>666</v>
      </c>
      <c r="E1134">
        <v>40</v>
      </c>
      <c r="F1134" s="1">
        <v>45453</v>
      </c>
      <c r="G1134" s="1" t="str">
        <f>TEXT(Table1[[#This Row],[Enrollment date]], "mmm")</f>
        <v>Jun</v>
      </c>
      <c r="H1134" t="s">
        <v>360</v>
      </c>
      <c r="I1134" t="s">
        <v>661</v>
      </c>
      <c r="J1134" t="str">
        <f>_xlfn.XLOOKUP(Table1[[#This Row],[Course ]], CCF!B:B, CCF!A:A)</f>
        <v>DA202</v>
      </c>
      <c r="K1134" t="s">
        <v>363</v>
      </c>
      <c r="L1134">
        <f>_xlfn.XLOOKUP(K1134, CCF!B:B, CCF!C:C)</f>
        <v>79999</v>
      </c>
      <c r="M1134" t="s">
        <v>484</v>
      </c>
    </row>
    <row r="1135" spans="1:13" x14ac:dyDescent="0.3">
      <c r="A1135">
        <v>1134</v>
      </c>
      <c r="B1135" t="s">
        <v>1796</v>
      </c>
      <c r="C1135" s="3">
        <v>56996</v>
      </c>
      <c r="D1135" t="s">
        <v>666</v>
      </c>
      <c r="E1135">
        <v>44</v>
      </c>
      <c r="F1135" s="1">
        <v>45453</v>
      </c>
      <c r="G1135" s="1" t="str">
        <f>TEXT(Table1[[#This Row],[Enrollment date]], "mmm")</f>
        <v>Jun</v>
      </c>
      <c r="H1135" t="s">
        <v>360</v>
      </c>
      <c r="I1135" t="s">
        <v>659</v>
      </c>
      <c r="J1135" t="str">
        <f>_xlfn.XLOOKUP(Table1[[#This Row],[Course ]], CCF!B:B, CCF!A:A)</f>
        <v>DM101</v>
      </c>
      <c r="K1135" t="s">
        <v>365</v>
      </c>
      <c r="L1135">
        <f>_xlfn.XLOOKUP(K1135, CCF!B:B, CCF!C:C)</f>
        <v>85499</v>
      </c>
      <c r="M1135" t="s">
        <v>43</v>
      </c>
    </row>
    <row r="1136" spans="1:13" x14ac:dyDescent="0.3">
      <c r="A1136">
        <v>1135</v>
      </c>
      <c r="B1136" t="s">
        <v>1797</v>
      </c>
      <c r="C1136" s="3">
        <v>67736</v>
      </c>
      <c r="D1136" t="s">
        <v>666</v>
      </c>
      <c r="E1136">
        <v>35</v>
      </c>
      <c r="F1136" s="1">
        <v>45453</v>
      </c>
      <c r="G1136" s="1" t="str">
        <f>TEXT(Table1[[#This Row],[Enrollment date]], "mmm")</f>
        <v>Jun</v>
      </c>
      <c r="H1136" t="s">
        <v>360</v>
      </c>
      <c r="I1136" t="s">
        <v>660</v>
      </c>
      <c r="J1136" t="str">
        <f>_xlfn.XLOOKUP(Table1[[#This Row],[Course ]], CCF!B:B, CCF!A:A)</f>
        <v>BA301</v>
      </c>
      <c r="K1136" t="s">
        <v>364</v>
      </c>
      <c r="L1136">
        <f>_xlfn.XLOOKUP(K1136, CCF!B:B, CCF!C:C)</f>
        <v>59999</v>
      </c>
      <c r="M1136" t="s">
        <v>18</v>
      </c>
    </row>
    <row r="1137" spans="1:13" x14ac:dyDescent="0.3">
      <c r="A1137">
        <v>1136</v>
      </c>
      <c r="B1137" t="s">
        <v>1798</v>
      </c>
      <c r="C1137" s="3">
        <v>51884</v>
      </c>
      <c r="D1137" t="s">
        <v>666</v>
      </c>
      <c r="E1137">
        <v>41</v>
      </c>
      <c r="F1137" s="1">
        <v>45453</v>
      </c>
      <c r="G1137" s="1" t="str">
        <f>TEXT(Table1[[#This Row],[Enrollment date]], "mmm")</f>
        <v>Jun</v>
      </c>
      <c r="H1137" t="s">
        <v>360</v>
      </c>
      <c r="I1137" t="s">
        <v>661</v>
      </c>
      <c r="J1137" t="str">
        <f>_xlfn.XLOOKUP(Table1[[#This Row],[Course ]], CCF!B:B, CCF!A:A)</f>
        <v>BA301</v>
      </c>
      <c r="K1137" t="s">
        <v>364</v>
      </c>
      <c r="L1137">
        <f>_xlfn.XLOOKUP(K1137, CCF!B:B, CCF!C:C)</f>
        <v>59999</v>
      </c>
      <c r="M1137" t="s">
        <v>20</v>
      </c>
    </row>
    <row r="1138" spans="1:13" x14ac:dyDescent="0.3">
      <c r="A1138">
        <v>1137</v>
      </c>
      <c r="B1138" t="s">
        <v>1799</v>
      </c>
      <c r="C1138" s="3">
        <v>51354</v>
      </c>
      <c r="D1138" t="s">
        <v>667</v>
      </c>
      <c r="E1138">
        <v>25</v>
      </c>
      <c r="F1138" s="1">
        <v>45454</v>
      </c>
      <c r="G1138" s="1" t="str">
        <f>TEXT(Table1[[#This Row],[Enrollment date]], "mmm")</f>
        <v>Jun</v>
      </c>
      <c r="H1138" t="s">
        <v>360</v>
      </c>
      <c r="I1138" t="s">
        <v>660</v>
      </c>
      <c r="J1138" t="str">
        <f>_xlfn.XLOOKUP(Table1[[#This Row],[Course ]], CCF!B:B, CCF!A:A)</f>
        <v>DM101</v>
      </c>
      <c r="K1138" t="s">
        <v>365</v>
      </c>
      <c r="L1138">
        <f>_xlfn.XLOOKUP(K1138, CCF!B:B, CCF!C:C)</f>
        <v>85499</v>
      </c>
      <c r="M1138" t="s">
        <v>86</v>
      </c>
    </row>
    <row r="1139" spans="1:13" x14ac:dyDescent="0.3">
      <c r="A1139">
        <v>1138</v>
      </c>
      <c r="B1139" t="s">
        <v>1800</v>
      </c>
      <c r="C1139" s="3">
        <v>54697</v>
      </c>
      <c r="D1139" t="s">
        <v>666</v>
      </c>
      <c r="E1139">
        <v>55</v>
      </c>
      <c r="F1139" s="1">
        <v>45454</v>
      </c>
      <c r="G1139" s="1" t="str">
        <f>TEXT(Table1[[#This Row],[Enrollment date]], "mmm")</f>
        <v>Jun</v>
      </c>
      <c r="H1139" t="s">
        <v>360</v>
      </c>
      <c r="I1139" t="s">
        <v>664</v>
      </c>
      <c r="J1139" t="str">
        <f>_xlfn.XLOOKUP(Table1[[#This Row],[Course ]], CCF!B:B, CCF!A:A)</f>
        <v>DA202</v>
      </c>
      <c r="K1139" t="s">
        <v>363</v>
      </c>
      <c r="L1139">
        <f>_xlfn.XLOOKUP(K1139, CCF!B:B, CCF!C:C)</f>
        <v>79999</v>
      </c>
      <c r="M1139" t="s">
        <v>404</v>
      </c>
    </row>
    <row r="1140" spans="1:13" x14ac:dyDescent="0.3">
      <c r="A1140">
        <v>1139</v>
      </c>
      <c r="B1140" t="s">
        <v>1801</v>
      </c>
      <c r="C1140" s="3">
        <v>44288</v>
      </c>
      <c r="D1140" t="s">
        <v>666</v>
      </c>
      <c r="E1140">
        <v>72</v>
      </c>
      <c r="F1140" s="1">
        <v>45455</v>
      </c>
      <c r="G1140" s="1" t="str">
        <f>TEXT(Table1[[#This Row],[Enrollment date]], "mmm")</f>
        <v>Jun</v>
      </c>
      <c r="H1140" t="s">
        <v>360</v>
      </c>
      <c r="I1140" t="s">
        <v>661</v>
      </c>
      <c r="J1140" t="str">
        <f>_xlfn.XLOOKUP(Table1[[#This Row],[Course ]], CCF!B:B, CCF!A:A)</f>
        <v>DM101</v>
      </c>
      <c r="K1140" t="s">
        <v>365</v>
      </c>
      <c r="L1140">
        <f>_xlfn.XLOOKUP(K1140, CCF!B:B, CCF!C:C)</f>
        <v>85499</v>
      </c>
      <c r="M1140" t="s">
        <v>144</v>
      </c>
    </row>
    <row r="1141" spans="1:13" x14ac:dyDescent="0.3">
      <c r="A1141">
        <v>1140</v>
      </c>
      <c r="B1141" t="s">
        <v>1802</v>
      </c>
      <c r="C1141" s="3">
        <v>89691</v>
      </c>
      <c r="D1141" t="s">
        <v>667</v>
      </c>
      <c r="E1141">
        <v>47</v>
      </c>
      <c r="F1141" s="1">
        <v>45455</v>
      </c>
      <c r="G1141" s="1" t="str">
        <f>TEXT(Table1[[#This Row],[Enrollment date]], "mmm")</f>
        <v>Jun</v>
      </c>
      <c r="H1141" t="s">
        <v>360</v>
      </c>
      <c r="I1141" t="s">
        <v>659</v>
      </c>
      <c r="J1141" t="str">
        <f>_xlfn.XLOOKUP(Table1[[#This Row],[Course ]], CCF!B:B, CCF!A:A)</f>
        <v>FSD103</v>
      </c>
      <c r="K1141" t="s">
        <v>366</v>
      </c>
      <c r="L1141">
        <f>_xlfn.XLOOKUP(K1141, CCF!B:B, CCF!C:C)</f>
        <v>109990</v>
      </c>
      <c r="M1141" t="s">
        <v>521</v>
      </c>
    </row>
    <row r="1142" spans="1:13" x14ac:dyDescent="0.3">
      <c r="A1142">
        <v>1141</v>
      </c>
      <c r="B1142" t="s">
        <v>1803</v>
      </c>
      <c r="C1142" s="3">
        <v>48420</v>
      </c>
      <c r="D1142" t="s">
        <v>666</v>
      </c>
      <c r="E1142">
        <v>18</v>
      </c>
      <c r="F1142" s="1">
        <v>45455</v>
      </c>
      <c r="G1142" s="1" t="str">
        <f>TEXT(Table1[[#This Row],[Enrollment date]], "mmm")</f>
        <v>Jun</v>
      </c>
      <c r="H1142" t="s">
        <v>360</v>
      </c>
      <c r="I1142" t="s">
        <v>661</v>
      </c>
      <c r="J1142" t="str">
        <f>_xlfn.XLOOKUP(Table1[[#This Row],[Course ]], CCF!B:B, CCF!A:A)</f>
        <v>DA202</v>
      </c>
      <c r="K1142" t="s">
        <v>363</v>
      </c>
      <c r="L1142">
        <f>_xlfn.XLOOKUP(K1142, CCF!B:B, CCF!C:C)</f>
        <v>79999</v>
      </c>
      <c r="M1142" t="s">
        <v>30</v>
      </c>
    </row>
    <row r="1143" spans="1:13" x14ac:dyDescent="0.3">
      <c r="A1143">
        <v>1142</v>
      </c>
      <c r="B1143" t="s">
        <v>1804</v>
      </c>
      <c r="C1143" s="3">
        <v>13459</v>
      </c>
      <c r="D1143" t="s">
        <v>667</v>
      </c>
      <c r="E1143">
        <v>23</v>
      </c>
      <c r="F1143" s="1">
        <v>45455</v>
      </c>
      <c r="G1143" s="1" t="str">
        <f>TEXT(Table1[[#This Row],[Enrollment date]], "mmm")</f>
        <v>Jun</v>
      </c>
      <c r="H1143" t="s">
        <v>360</v>
      </c>
      <c r="I1143" t="s">
        <v>660</v>
      </c>
      <c r="J1143" t="str">
        <f>_xlfn.XLOOKUP(Table1[[#This Row],[Course ]], CCF!B:B, CCF!A:A)</f>
        <v>DM101</v>
      </c>
      <c r="K1143" t="s">
        <v>365</v>
      </c>
      <c r="L1143">
        <f>_xlfn.XLOOKUP(K1143, CCF!B:B, CCF!C:C)</f>
        <v>85499</v>
      </c>
      <c r="M1143" t="s">
        <v>43</v>
      </c>
    </row>
    <row r="1144" spans="1:13" x14ac:dyDescent="0.3">
      <c r="A1144">
        <v>1143</v>
      </c>
      <c r="B1144" t="s">
        <v>1805</v>
      </c>
      <c r="C1144" s="3">
        <v>10667</v>
      </c>
      <c r="D1144" t="s">
        <v>666</v>
      </c>
      <c r="E1144">
        <v>32</v>
      </c>
      <c r="F1144" s="1">
        <v>45456</v>
      </c>
      <c r="G1144" s="1" t="str">
        <f>TEXT(Table1[[#This Row],[Enrollment date]], "mmm")</f>
        <v>Jun</v>
      </c>
      <c r="H1144" t="s">
        <v>360</v>
      </c>
      <c r="I1144" t="s">
        <v>660</v>
      </c>
      <c r="J1144" t="str">
        <f>_xlfn.XLOOKUP(Table1[[#This Row],[Course ]], CCF!B:B, CCF!A:A)</f>
        <v>DM101</v>
      </c>
      <c r="K1144" t="s">
        <v>365</v>
      </c>
      <c r="L1144">
        <f>_xlfn.XLOOKUP(K1144, CCF!B:B, CCF!C:C)</f>
        <v>85499</v>
      </c>
      <c r="M1144" t="s">
        <v>104</v>
      </c>
    </row>
    <row r="1145" spans="1:13" x14ac:dyDescent="0.3">
      <c r="A1145">
        <v>1144</v>
      </c>
      <c r="B1145" t="s">
        <v>1806</v>
      </c>
      <c r="C1145" s="3">
        <v>31679</v>
      </c>
      <c r="D1145" t="s">
        <v>667</v>
      </c>
      <c r="E1145">
        <v>26</v>
      </c>
      <c r="F1145" s="1">
        <v>45457</v>
      </c>
      <c r="G1145" s="1" t="str">
        <f>TEXT(Table1[[#This Row],[Enrollment date]], "mmm")</f>
        <v>Jun</v>
      </c>
      <c r="H1145" t="s">
        <v>360</v>
      </c>
      <c r="I1145" t="s">
        <v>660</v>
      </c>
      <c r="J1145" t="str">
        <f>_xlfn.XLOOKUP(Table1[[#This Row],[Course ]], CCF!B:B, CCF!A:A)</f>
        <v>DM101</v>
      </c>
      <c r="K1145" t="s">
        <v>365</v>
      </c>
      <c r="L1145">
        <f>_xlfn.XLOOKUP(K1145, CCF!B:B, CCF!C:C)</f>
        <v>85499</v>
      </c>
      <c r="M1145" t="s">
        <v>141</v>
      </c>
    </row>
    <row r="1146" spans="1:13" x14ac:dyDescent="0.3">
      <c r="A1146">
        <v>1145</v>
      </c>
      <c r="B1146" t="s">
        <v>1807</v>
      </c>
      <c r="C1146" s="3">
        <v>97169</v>
      </c>
      <c r="D1146" t="s">
        <v>667</v>
      </c>
      <c r="E1146">
        <v>76</v>
      </c>
      <c r="F1146" s="1">
        <v>45457</v>
      </c>
      <c r="G1146" s="1" t="str">
        <f>TEXT(Table1[[#This Row],[Enrollment date]], "mmm")</f>
        <v>Jun</v>
      </c>
      <c r="H1146" t="s">
        <v>360</v>
      </c>
      <c r="I1146" t="s">
        <v>662</v>
      </c>
      <c r="J1146" t="str">
        <f>_xlfn.XLOOKUP(Table1[[#This Row],[Course ]], CCF!B:B, CCF!A:A)</f>
        <v>DA202</v>
      </c>
      <c r="K1146" t="s">
        <v>363</v>
      </c>
      <c r="L1146">
        <f>_xlfn.XLOOKUP(K1146, CCF!B:B, CCF!C:C)</f>
        <v>79999</v>
      </c>
      <c r="M1146" t="s">
        <v>522</v>
      </c>
    </row>
    <row r="1147" spans="1:13" x14ac:dyDescent="0.3">
      <c r="A1147">
        <v>1146</v>
      </c>
      <c r="B1147" t="s">
        <v>1808</v>
      </c>
      <c r="C1147" s="3">
        <v>73676</v>
      </c>
      <c r="D1147" t="s">
        <v>666</v>
      </c>
      <c r="E1147">
        <v>72</v>
      </c>
      <c r="F1147" s="1">
        <v>45457</v>
      </c>
      <c r="G1147" s="1" t="str">
        <f>TEXT(Table1[[#This Row],[Enrollment date]], "mmm")</f>
        <v>Jun</v>
      </c>
      <c r="H1147" t="s">
        <v>360</v>
      </c>
      <c r="I1147" t="s">
        <v>660</v>
      </c>
      <c r="J1147" t="str">
        <f>_xlfn.XLOOKUP(Table1[[#This Row],[Course ]], CCF!B:B, CCF!A:A)</f>
        <v>FSD103</v>
      </c>
      <c r="K1147" t="s">
        <v>366</v>
      </c>
      <c r="L1147">
        <f>_xlfn.XLOOKUP(K1147, CCF!B:B, CCF!C:C)</f>
        <v>109990</v>
      </c>
      <c r="M1147" t="s">
        <v>18</v>
      </c>
    </row>
    <row r="1148" spans="1:13" x14ac:dyDescent="0.3">
      <c r="A1148">
        <v>1147</v>
      </c>
      <c r="B1148" t="s">
        <v>1809</v>
      </c>
      <c r="C1148" s="3">
        <v>89322</v>
      </c>
      <c r="D1148" t="s">
        <v>666</v>
      </c>
      <c r="E1148">
        <v>21</v>
      </c>
      <c r="F1148" s="1">
        <v>45457</v>
      </c>
      <c r="G1148" s="1" t="str">
        <f>TEXT(Table1[[#This Row],[Enrollment date]], "mmm")</f>
        <v>Jun</v>
      </c>
      <c r="H1148" t="s">
        <v>360</v>
      </c>
      <c r="I1148" t="s">
        <v>664</v>
      </c>
      <c r="J1148" t="str">
        <f>_xlfn.XLOOKUP(Table1[[#This Row],[Course ]], CCF!B:B, CCF!A:A)</f>
        <v>DA202</v>
      </c>
      <c r="K1148" t="s">
        <v>363</v>
      </c>
      <c r="L1148">
        <f>_xlfn.XLOOKUP(K1148, CCF!B:B, CCF!C:C)</f>
        <v>79999</v>
      </c>
      <c r="M1148" t="s">
        <v>16</v>
      </c>
    </row>
    <row r="1149" spans="1:13" x14ac:dyDescent="0.3">
      <c r="A1149">
        <v>1148</v>
      </c>
      <c r="B1149" t="s">
        <v>1810</v>
      </c>
      <c r="C1149" s="3">
        <v>39816</v>
      </c>
      <c r="D1149" t="s">
        <v>666</v>
      </c>
      <c r="E1149">
        <v>48</v>
      </c>
      <c r="F1149" s="1">
        <v>45457</v>
      </c>
      <c r="G1149" s="1" t="str">
        <f>TEXT(Table1[[#This Row],[Enrollment date]], "mmm")</f>
        <v>Jun</v>
      </c>
      <c r="H1149" t="s">
        <v>360</v>
      </c>
      <c r="I1149" t="s">
        <v>659</v>
      </c>
      <c r="J1149" t="str">
        <f>_xlfn.XLOOKUP(Table1[[#This Row],[Course ]], CCF!B:B, CCF!A:A)</f>
        <v>BA301</v>
      </c>
      <c r="K1149" t="s">
        <v>364</v>
      </c>
      <c r="L1149">
        <f>_xlfn.XLOOKUP(K1149, CCF!B:B, CCF!C:C)</f>
        <v>59999</v>
      </c>
      <c r="M1149" t="s">
        <v>302</v>
      </c>
    </row>
    <row r="1150" spans="1:13" x14ac:dyDescent="0.3">
      <c r="A1150">
        <v>1149</v>
      </c>
      <c r="B1150" t="s">
        <v>1811</v>
      </c>
      <c r="C1150" s="3">
        <v>75499</v>
      </c>
      <c r="D1150" t="s">
        <v>667</v>
      </c>
      <c r="E1150">
        <v>30</v>
      </c>
      <c r="F1150" s="1">
        <v>45457</v>
      </c>
      <c r="G1150" s="1" t="str">
        <f>TEXT(Table1[[#This Row],[Enrollment date]], "mmm")</f>
        <v>Jun</v>
      </c>
      <c r="H1150" t="s">
        <v>360</v>
      </c>
      <c r="I1150" t="s">
        <v>660</v>
      </c>
      <c r="J1150" t="str">
        <f>_xlfn.XLOOKUP(Table1[[#This Row],[Course ]], CCF!B:B, CCF!A:A)</f>
        <v>DM101</v>
      </c>
      <c r="K1150" t="s">
        <v>365</v>
      </c>
      <c r="L1150">
        <f>_xlfn.XLOOKUP(K1150, CCF!B:B, CCF!C:C)</f>
        <v>85499</v>
      </c>
      <c r="M1150" t="s">
        <v>523</v>
      </c>
    </row>
    <row r="1151" spans="1:13" x14ac:dyDescent="0.3">
      <c r="A1151">
        <v>1150</v>
      </c>
      <c r="B1151" t="s">
        <v>1812</v>
      </c>
      <c r="C1151" s="3">
        <v>43555</v>
      </c>
      <c r="D1151" t="s">
        <v>666</v>
      </c>
      <c r="E1151">
        <v>44</v>
      </c>
      <c r="F1151" s="1">
        <v>45457</v>
      </c>
      <c r="G1151" s="1" t="str">
        <f>TEXT(Table1[[#This Row],[Enrollment date]], "mmm")</f>
        <v>Jun</v>
      </c>
      <c r="H1151" t="s">
        <v>360</v>
      </c>
      <c r="I1151" t="s">
        <v>661</v>
      </c>
      <c r="J1151" t="str">
        <f>_xlfn.XLOOKUP(Table1[[#This Row],[Course ]], CCF!B:B, CCF!A:A)</f>
        <v>BA301</v>
      </c>
      <c r="K1151" t="s">
        <v>364</v>
      </c>
      <c r="L1151">
        <f>_xlfn.XLOOKUP(K1151, CCF!B:B, CCF!C:C)</f>
        <v>59999</v>
      </c>
      <c r="M1151" t="s">
        <v>27</v>
      </c>
    </row>
    <row r="1152" spans="1:13" x14ac:dyDescent="0.3">
      <c r="A1152">
        <v>1151</v>
      </c>
      <c r="B1152" t="s">
        <v>1813</v>
      </c>
      <c r="C1152" s="3">
        <v>49169</v>
      </c>
      <c r="D1152" t="s">
        <v>667</v>
      </c>
      <c r="E1152">
        <v>35</v>
      </c>
      <c r="F1152" s="1">
        <v>45457</v>
      </c>
      <c r="G1152" s="1" t="str">
        <f>TEXT(Table1[[#This Row],[Enrollment date]], "mmm")</f>
        <v>Jun</v>
      </c>
      <c r="H1152" t="s">
        <v>360</v>
      </c>
      <c r="I1152" t="s">
        <v>659</v>
      </c>
      <c r="J1152" t="str">
        <f>_xlfn.XLOOKUP(Table1[[#This Row],[Course ]], CCF!B:B, CCF!A:A)</f>
        <v>DA202</v>
      </c>
      <c r="K1152" t="s">
        <v>363</v>
      </c>
      <c r="L1152">
        <f>_xlfn.XLOOKUP(K1152, CCF!B:B, CCF!C:C)</f>
        <v>79999</v>
      </c>
      <c r="M1152" t="s">
        <v>65</v>
      </c>
    </row>
    <row r="1153" spans="1:13" x14ac:dyDescent="0.3">
      <c r="A1153">
        <v>1152</v>
      </c>
      <c r="B1153" t="s">
        <v>1814</v>
      </c>
      <c r="C1153" s="3">
        <v>20050</v>
      </c>
      <c r="D1153" t="s">
        <v>666</v>
      </c>
      <c r="E1153">
        <v>56</v>
      </c>
      <c r="F1153" s="1">
        <v>45458</v>
      </c>
      <c r="G1153" s="1" t="str">
        <f>TEXT(Table1[[#This Row],[Enrollment date]], "mmm")</f>
        <v>Jun</v>
      </c>
      <c r="H1153" t="s">
        <v>360</v>
      </c>
      <c r="I1153" t="s">
        <v>664</v>
      </c>
      <c r="J1153" t="str">
        <f>_xlfn.XLOOKUP(Table1[[#This Row],[Course ]], CCF!B:B, CCF!A:A)</f>
        <v>DM101</v>
      </c>
      <c r="K1153" t="s">
        <v>365</v>
      </c>
      <c r="L1153">
        <f>_xlfn.XLOOKUP(K1153, CCF!B:B, CCF!C:C)</f>
        <v>85499</v>
      </c>
      <c r="M1153" t="s">
        <v>27</v>
      </c>
    </row>
    <row r="1154" spans="1:13" x14ac:dyDescent="0.3">
      <c r="A1154">
        <v>1153</v>
      </c>
      <c r="B1154" t="s">
        <v>1815</v>
      </c>
      <c r="C1154" s="3">
        <v>91456</v>
      </c>
      <c r="D1154" t="s">
        <v>667</v>
      </c>
      <c r="E1154">
        <v>40</v>
      </c>
      <c r="F1154" s="1">
        <v>45458</v>
      </c>
      <c r="G1154" s="1" t="str">
        <f>TEXT(Table1[[#This Row],[Enrollment date]], "mmm")</f>
        <v>Jun</v>
      </c>
      <c r="H1154" t="s">
        <v>360</v>
      </c>
      <c r="I1154" t="s">
        <v>659</v>
      </c>
      <c r="J1154" t="str">
        <f>_xlfn.XLOOKUP(Table1[[#This Row],[Course ]], CCF!B:B, CCF!A:A)</f>
        <v>DA202</v>
      </c>
      <c r="K1154" t="s">
        <v>363</v>
      </c>
      <c r="L1154">
        <f>_xlfn.XLOOKUP(K1154, CCF!B:B, CCF!C:C)</f>
        <v>79999</v>
      </c>
      <c r="M1154" t="s">
        <v>16</v>
      </c>
    </row>
    <row r="1155" spans="1:13" x14ac:dyDescent="0.3">
      <c r="A1155">
        <v>1154</v>
      </c>
      <c r="B1155" t="s">
        <v>1816</v>
      </c>
      <c r="C1155" s="3">
        <v>70463</v>
      </c>
      <c r="D1155" t="s">
        <v>667</v>
      </c>
      <c r="E1155">
        <v>40</v>
      </c>
      <c r="F1155" s="1">
        <v>45458</v>
      </c>
      <c r="G1155" s="1" t="str">
        <f>TEXT(Table1[[#This Row],[Enrollment date]], "mmm")</f>
        <v>Jun</v>
      </c>
      <c r="H1155" t="s">
        <v>360</v>
      </c>
      <c r="I1155" t="s">
        <v>663</v>
      </c>
      <c r="J1155" t="str">
        <f>_xlfn.XLOOKUP(Table1[[#This Row],[Course ]], CCF!B:B, CCF!A:A)</f>
        <v>DM101</v>
      </c>
      <c r="K1155" t="s">
        <v>365</v>
      </c>
      <c r="L1155">
        <f>_xlfn.XLOOKUP(K1155, CCF!B:B, CCF!C:C)</f>
        <v>85499</v>
      </c>
      <c r="M1155" t="s">
        <v>129</v>
      </c>
    </row>
    <row r="1156" spans="1:13" x14ac:dyDescent="0.3">
      <c r="A1156">
        <v>1155</v>
      </c>
      <c r="B1156" t="s">
        <v>1817</v>
      </c>
      <c r="C1156" s="3">
        <v>35247</v>
      </c>
      <c r="D1156" t="s">
        <v>667</v>
      </c>
      <c r="E1156">
        <v>70</v>
      </c>
      <c r="F1156" s="1">
        <v>45458</v>
      </c>
      <c r="G1156" s="1" t="str">
        <f>TEXT(Table1[[#This Row],[Enrollment date]], "mmm")</f>
        <v>Jun</v>
      </c>
      <c r="H1156" t="s">
        <v>3</v>
      </c>
      <c r="I1156" t="s">
        <v>665</v>
      </c>
      <c r="J1156" t="str">
        <f>_xlfn.XLOOKUP(Table1[[#This Row],[Course ]], CCF!B:B, CCF!A:A)</f>
        <v>BA301</v>
      </c>
      <c r="K1156" t="s">
        <v>364</v>
      </c>
      <c r="L1156">
        <f>_xlfn.XLOOKUP(K1156, CCF!B:B, CCF!C:C)</f>
        <v>59999</v>
      </c>
      <c r="M1156" t="s">
        <v>16</v>
      </c>
    </row>
    <row r="1157" spans="1:13" x14ac:dyDescent="0.3">
      <c r="A1157">
        <v>1156</v>
      </c>
      <c r="B1157" t="s">
        <v>1818</v>
      </c>
      <c r="C1157" s="3">
        <v>16897</v>
      </c>
      <c r="D1157" t="s">
        <v>667</v>
      </c>
      <c r="E1157">
        <v>38</v>
      </c>
      <c r="F1157" s="1">
        <v>45459</v>
      </c>
      <c r="G1157" s="1" t="str">
        <f>TEXT(Table1[[#This Row],[Enrollment date]], "mmm")</f>
        <v>Jun</v>
      </c>
      <c r="H1157" t="s">
        <v>3</v>
      </c>
      <c r="I1157" t="s">
        <v>661</v>
      </c>
      <c r="J1157" t="str">
        <f>_xlfn.XLOOKUP(Table1[[#This Row],[Course ]], CCF!B:B, CCF!A:A)</f>
        <v>BA301</v>
      </c>
      <c r="K1157" t="s">
        <v>364</v>
      </c>
      <c r="L1157">
        <f>_xlfn.XLOOKUP(K1157, CCF!B:B, CCF!C:C)</f>
        <v>59999</v>
      </c>
      <c r="M1157" t="s">
        <v>27</v>
      </c>
    </row>
    <row r="1158" spans="1:13" x14ac:dyDescent="0.3">
      <c r="A1158">
        <v>1157</v>
      </c>
      <c r="B1158" t="s">
        <v>1819</v>
      </c>
      <c r="C1158" s="3">
        <v>95643</v>
      </c>
      <c r="D1158" t="s">
        <v>666</v>
      </c>
      <c r="E1158">
        <v>25</v>
      </c>
      <c r="F1158" s="1">
        <v>45459</v>
      </c>
      <c r="G1158" s="1" t="str">
        <f>TEXT(Table1[[#This Row],[Enrollment date]], "mmm")</f>
        <v>Jun</v>
      </c>
      <c r="H1158" t="s">
        <v>360</v>
      </c>
      <c r="I1158" t="s">
        <v>660</v>
      </c>
      <c r="J1158" t="str">
        <f>_xlfn.XLOOKUP(Table1[[#This Row],[Course ]], CCF!B:B, CCF!A:A)</f>
        <v>UX401</v>
      </c>
      <c r="K1158" t="s">
        <v>367</v>
      </c>
      <c r="L1158">
        <f>_xlfn.XLOOKUP(K1158, CCF!B:B, CCF!C:C)</f>
        <v>67990</v>
      </c>
      <c r="M1158" t="s">
        <v>81</v>
      </c>
    </row>
    <row r="1159" spans="1:13" x14ac:dyDescent="0.3">
      <c r="A1159">
        <v>1158</v>
      </c>
      <c r="B1159" t="s">
        <v>1820</v>
      </c>
      <c r="C1159" s="3">
        <v>36861</v>
      </c>
      <c r="D1159" t="s">
        <v>666</v>
      </c>
      <c r="E1159">
        <v>45</v>
      </c>
      <c r="F1159" s="1">
        <v>45459</v>
      </c>
      <c r="G1159" s="1" t="str">
        <f>TEXT(Table1[[#This Row],[Enrollment date]], "mmm")</f>
        <v>Jun</v>
      </c>
      <c r="H1159" t="s">
        <v>360</v>
      </c>
      <c r="I1159" t="s">
        <v>659</v>
      </c>
      <c r="J1159" t="str">
        <f>_xlfn.XLOOKUP(Table1[[#This Row],[Course ]], CCF!B:B, CCF!A:A)</f>
        <v>DM101</v>
      </c>
      <c r="K1159" t="s">
        <v>365</v>
      </c>
      <c r="L1159">
        <f>_xlfn.XLOOKUP(K1159, CCF!B:B, CCF!C:C)</f>
        <v>85499</v>
      </c>
      <c r="M1159" t="s">
        <v>172</v>
      </c>
    </row>
    <row r="1160" spans="1:13" x14ac:dyDescent="0.3">
      <c r="A1160">
        <v>1159</v>
      </c>
      <c r="B1160" t="s">
        <v>1821</v>
      </c>
      <c r="C1160" s="3">
        <v>27704</v>
      </c>
      <c r="D1160" t="s">
        <v>666</v>
      </c>
      <c r="E1160">
        <v>41</v>
      </c>
      <c r="F1160" s="1">
        <v>45459</v>
      </c>
      <c r="G1160" s="1" t="str">
        <f>TEXT(Table1[[#This Row],[Enrollment date]], "mmm")</f>
        <v>Jun</v>
      </c>
      <c r="H1160" t="s">
        <v>360</v>
      </c>
      <c r="I1160" t="s">
        <v>661</v>
      </c>
      <c r="J1160" t="str">
        <f>_xlfn.XLOOKUP(Table1[[#This Row],[Course ]], CCF!B:B, CCF!A:A)</f>
        <v>DM101</v>
      </c>
      <c r="K1160" t="s">
        <v>365</v>
      </c>
      <c r="L1160">
        <f>_xlfn.XLOOKUP(K1160, CCF!B:B, CCF!C:C)</f>
        <v>85499</v>
      </c>
      <c r="M1160" t="s">
        <v>140</v>
      </c>
    </row>
    <row r="1161" spans="1:13" x14ac:dyDescent="0.3">
      <c r="A1161">
        <v>1160</v>
      </c>
      <c r="B1161" t="s">
        <v>1822</v>
      </c>
      <c r="C1161" s="3">
        <v>99663</v>
      </c>
      <c r="D1161" t="s">
        <v>666</v>
      </c>
      <c r="E1161">
        <v>34</v>
      </c>
      <c r="F1161" s="1">
        <v>45459</v>
      </c>
      <c r="G1161" s="1" t="str">
        <f>TEXT(Table1[[#This Row],[Enrollment date]], "mmm")</f>
        <v>Jun</v>
      </c>
      <c r="H1161" t="s">
        <v>360</v>
      </c>
      <c r="I1161" t="s">
        <v>660</v>
      </c>
      <c r="J1161" t="str">
        <f>_xlfn.XLOOKUP(Table1[[#This Row],[Course ]], CCF!B:B, CCF!A:A)</f>
        <v>DM101</v>
      </c>
      <c r="K1161" t="s">
        <v>365</v>
      </c>
      <c r="L1161">
        <f>_xlfn.XLOOKUP(K1161, CCF!B:B, CCF!C:C)</f>
        <v>85499</v>
      </c>
      <c r="M1161" t="s">
        <v>524</v>
      </c>
    </row>
    <row r="1162" spans="1:13" x14ac:dyDescent="0.3">
      <c r="A1162">
        <v>1161</v>
      </c>
      <c r="B1162" t="s">
        <v>1823</v>
      </c>
      <c r="C1162" s="3">
        <v>25122</v>
      </c>
      <c r="D1162" t="s">
        <v>667</v>
      </c>
      <c r="E1162">
        <v>20</v>
      </c>
      <c r="F1162" s="1">
        <v>45459</v>
      </c>
      <c r="G1162" s="1" t="str">
        <f>TEXT(Table1[[#This Row],[Enrollment date]], "mmm")</f>
        <v>Jun</v>
      </c>
      <c r="H1162" t="s">
        <v>360</v>
      </c>
      <c r="I1162" t="s">
        <v>660</v>
      </c>
      <c r="J1162" t="str">
        <f>_xlfn.XLOOKUP(Table1[[#This Row],[Course ]], CCF!B:B, CCF!A:A)</f>
        <v>DA202</v>
      </c>
      <c r="K1162" t="s">
        <v>363</v>
      </c>
      <c r="L1162">
        <f>_xlfn.XLOOKUP(K1162, CCF!B:B, CCF!C:C)</f>
        <v>79999</v>
      </c>
      <c r="M1162" t="s">
        <v>16</v>
      </c>
    </row>
    <row r="1163" spans="1:13" x14ac:dyDescent="0.3">
      <c r="A1163">
        <v>1162</v>
      </c>
      <c r="B1163" t="s">
        <v>1824</v>
      </c>
      <c r="C1163" s="3">
        <v>50086</v>
      </c>
      <c r="D1163" t="s">
        <v>667</v>
      </c>
      <c r="E1163">
        <v>38</v>
      </c>
      <c r="F1163" s="1">
        <v>45459</v>
      </c>
      <c r="G1163" s="1" t="str">
        <f>TEXT(Table1[[#This Row],[Enrollment date]], "mmm")</f>
        <v>Jun</v>
      </c>
      <c r="H1163" t="s">
        <v>360</v>
      </c>
      <c r="I1163" t="s">
        <v>662</v>
      </c>
      <c r="J1163" t="str">
        <f>_xlfn.XLOOKUP(Table1[[#This Row],[Course ]], CCF!B:B, CCF!A:A)</f>
        <v>DA202</v>
      </c>
      <c r="K1163" t="s">
        <v>363</v>
      </c>
      <c r="L1163">
        <f>_xlfn.XLOOKUP(K1163, CCF!B:B, CCF!C:C)</f>
        <v>79999</v>
      </c>
      <c r="M1163" t="s">
        <v>525</v>
      </c>
    </row>
    <row r="1164" spans="1:13" x14ac:dyDescent="0.3">
      <c r="A1164">
        <v>1163</v>
      </c>
      <c r="B1164" t="s">
        <v>1825</v>
      </c>
      <c r="C1164" s="3">
        <v>51977</v>
      </c>
      <c r="D1164" t="s">
        <v>666</v>
      </c>
      <c r="E1164">
        <v>77</v>
      </c>
      <c r="F1164" s="1">
        <v>45459</v>
      </c>
      <c r="G1164" s="1" t="str">
        <f>TEXT(Table1[[#This Row],[Enrollment date]], "mmm")</f>
        <v>Jun</v>
      </c>
      <c r="H1164" t="s">
        <v>360</v>
      </c>
      <c r="I1164" t="s">
        <v>659</v>
      </c>
      <c r="J1164" t="str">
        <f>_xlfn.XLOOKUP(Table1[[#This Row],[Course ]], CCF!B:B, CCF!A:A)</f>
        <v>DM101</v>
      </c>
      <c r="K1164" t="s">
        <v>365</v>
      </c>
      <c r="L1164">
        <f>_xlfn.XLOOKUP(K1164, CCF!B:B, CCF!C:C)</f>
        <v>85499</v>
      </c>
      <c r="M1164" t="s">
        <v>9</v>
      </c>
    </row>
    <row r="1165" spans="1:13" x14ac:dyDescent="0.3">
      <c r="A1165">
        <v>1164</v>
      </c>
      <c r="B1165" t="s">
        <v>1826</v>
      </c>
      <c r="C1165" s="3">
        <v>37609</v>
      </c>
      <c r="D1165" t="s">
        <v>666</v>
      </c>
      <c r="E1165">
        <v>46</v>
      </c>
      <c r="F1165" s="1">
        <v>45459</v>
      </c>
      <c r="G1165" s="1" t="str">
        <f>TEXT(Table1[[#This Row],[Enrollment date]], "mmm")</f>
        <v>Jun</v>
      </c>
      <c r="H1165" t="s">
        <v>360</v>
      </c>
      <c r="I1165" t="s">
        <v>664</v>
      </c>
      <c r="J1165" t="str">
        <f>_xlfn.XLOOKUP(Table1[[#This Row],[Course ]], CCF!B:B, CCF!A:A)</f>
        <v>DA202</v>
      </c>
      <c r="K1165" t="s">
        <v>363</v>
      </c>
      <c r="L1165">
        <f>_xlfn.XLOOKUP(K1165, CCF!B:B, CCF!C:C)</f>
        <v>79999</v>
      </c>
      <c r="M1165" t="s">
        <v>522</v>
      </c>
    </row>
    <row r="1166" spans="1:13" x14ac:dyDescent="0.3">
      <c r="A1166">
        <v>1165</v>
      </c>
      <c r="B1166" t="s">
        <v>1827</v>
      </c>
      <c r="C1166" s="3">
        <v>17651</v>
      </c>
      <c r="D1166" t="s">
        <v>667</v>
      </c>
      <c r="E1166">
        <v>33</v>
      </c>
      <c r="F1166" s="1">
        <v>45459</v>
      </c>
      <c r="G1166" s="1" t="str">
        <f>TEXT(Table1[[#This Row],[Enrollment date]], "mmm")</f>
        <v>Jun</v>
      </c>
      <c r="H1166" t="s">
        <v>360</v>
      </c>
      <c r="I1166" t="s">
        <v>659</v>
      </c>
      <c r="J1166" t="str">
        <f>_xlfn.XLOOKUP(Table1[[#This Row],[Course ]], CCF!B:B, CCF!A:A)</f>
        <v>DM101</v>
      </c>
      <c r="K1166" t="s">
        <v>365</v>
      </c>
      <c r="L1166">
        <f>_xlfn.XLOOKUP(K1166, CCF!B:B, CCF!C:C)</f>
        <v>85499</v>
      </c>
      <c r="M1166" t="s">
        <v>18</v>
      </c>
    </row>
    <row r="1167" spans="1:13" x14ac:dyDescent="0.3">
      <c r="A1167">
        <v>1166</v>
      </c>
      <c r="B1167" t="s">
        <v>1828</v>
      </c>
      <c r="C1167" s="3">
        <v>40122</v>
      </c>
      <c r="D1167" t="s">
        <v>667</v>
      </c>
      <c r="E1167">
        <v>71</v>
      </c>
      <c r="F1167" s="1">
        <v>45459</v>
      </c>
      <c r="G1167" s="1" t="str">
        <f>TEXT(Table1[[#This Row],[Enrollment date]], "mmm")</f>
        <v>Jun</v>
      </c>
      <c r="H1167" t="s">
        <v>360</v>
      </c>
      <c r="I1167" t="s">
        <v>660</v>
      </c>
      <c r="J1167" t="str">
        <f>_xlfn.XLOOKUP(Table1[[#This Row],[Course ]], CCF!B:B, CCF!A:A)</f>
        <v>BA301</v>
      </c>
      <c r="K1167" t="s">
        <v>364</v>
      </c>
      <c r="L1167">
        <f>_xlfn.XLOOKUP(K1167, CCF!B:B, CCF!C:C)</f>
        <v>59999</v>
      </c>
      <c r="M1167" t="s">
        <v>110</v>
      </c>
    </row>
    <row r="1168" spans="1:13" x14ac:dyDescent="0.3">
      <c r="A1168">
        <v>1167</v>
      </c>
      <c r="B1168" t="s">
        <v>1829</v>
      </c>
      <c r="C1168" s="3">
        <v>74866</v>
      </c>
      <c r="D1168" t="s">
        <v>666</v>
      </c>
      <c r="E1168">
        <v>45</v>
      </c>
      <c r="F1168" s="1">
        <v>45460</v>
      </c>
      <c r="G1168" s="1" t="str">
        <f>TEXT(Table1[[#This Row],[Enrollment date]], "mmm")</f>
        <v>Jun</v>
      </c>
      <c r="H1168" t="s">
        <v>360</v>
      </c>
      <c r="I1168" t="s">
        <v>659</v>
      </c>
      <c r="J1168" t="str">
        <f>_xlfn.XLOOKUP(Table1[[#This Row],[Course ]], CCF!B:B, CCF!A:A)</f>
        <v>DM101</v>
      </c>
      <c r="K1168" t="s">
        <v>365</v>
      </c>
      <c r="L1168">
        <f>_xlfn.XLOOKUP(K1168, CCF!B:B, CCF!C:C)</f>
        <v>85499</v>
      </c>
      <c r="M1168" t="s">
        <v>263</v>
      </c>
    </row>
    <row r="1169" spans="1:13" x14ac:dyDescent="0.3">
      <c r="A1169">
        <v>1168</v>
      </c>
      <c r="B1169" t="s">
        <v>1830</v>
      </c>
      <c r="C1169" s="3">
        <v>91162</v>
      </c>
      <c r="D1169" t="s">
        <v>666</v>
      </c>
      <c r="E1169">
        <v>27</v>
      </c>
      <c r="F1169" s="1">
        <v>45460</v>
      </c>
      <c r="G1169" s="1" t="str">
        <f>TEXT(Table1[[#This Row],[Enrollment date]], "mmm")</f>
        <v>Jun</v>
      </c>
      <c r="H1169" t="s">
        <v>360</v>
      </c>
      <c r="I1169" t="s">
        <v>663</v>
      </c>
      <c r="J1169" t="str">
        <f>_xlfn.XLOOKUP(Table1[[#This Row],[Course ]], CCF!B:B, CCF!A:A)</f>
        <v>DA202</v>
      </c>
      <c r="K1169" t="s">
        <v>363</v>
      </c>
      <c r="L1169">
        <f>_xlfn.XLOOKUP(K1169, CCF!B:B, CCF!C:C)</f>
        <v>79999</v>
      </c>
      <c r="M1169" t="s">
        <v>38</v>
      </c>
    </row>
    <row r="1170" spans="1:13" x14ac:dyDescent="0.3">
      <c r="A1170">
        <v>1169</v>
      </c>
      <c r="B1170" t="s">
        <v>1831</v>
      </c>
      <c r="C1170" s="3">
        <v>99961</v>
      </c>
      <c r="D1170" t="s">
        <v>667</v>
      </c>
      <c r="E1170">
        <v>20</v>
      </c>
      <c r="F1170" s="1">
        <v>45460</v>
      </c>
      <c r="G1170" s="1" t="str">
        <f>TEXT(Table1[[#This Row],[Enrollment date]], "mmm")</f>
        <v>Jun</v>
      </c>
      <c r="H1170" t="s">
        <v>360</v>
      </c>
      <c r="I1170" t="s">
        <v>660</v>
      </c>
      <c r="J1170" t="str">
        <f>_xlfn.XLOOKUP(Table1[[#This Row],[Course ]], CCF!B:B, CCF!A:A)</f>
        <v>BA301</v>
      </c>
      <c r="K1170" t="s">
        <v>364</v>
      </c>
      <c r="L1170">
        <f>_xlfn.XLOOKUP(K1170, CCF!B:B, CCF!C:C)</f>
        <v>59999</v>
      </c>
      <c r="M1170" t="s">
        <v>526</v>
      </c>
    </row>
    <row r="1171" spans="1:13" x14ac:dyDescent="0.3">
      <c r="A1171">
        <v>1170</v>
      </c>
      <c r="B1171" t="s">
        <v>1832</v>
      </c>
      <c r="C1171" s="3">
        <v>94676</v>
      </c>
      <c r="D1171" t="s">
        <v>666</v>
      </c>
      <c r="E1171">
        <v>35</v>
      </c>
      <c r="F1171" s="1">
        <v>45460</v>
      </c>
      <c r="G1171" s="1" t="str">
        <f>TEXT(Table1[[#This Row],[Enrollment date]], "mmm")</f>
        <v>Jun</v>
      </c>
      <c r="H1171" t="s">
        <v>360</v>
      </c>
      <c r="I1171" t="s">
        <v>660</v>
      </c>
      <c r="J1171" t="str">
        <f>_xlfn.XLOOKUP(Table1[[#This Row],[Course ]], CCF!B:B, CCF!A:A)</f>
        <v>DA202</v>
      </c>
      <c r="K1171" t="s">
        <v>363</v>
      </c>
      <c r="L1171">
        <f>_xlfn.XLOOKUP(K1171, CCF!B:B, CCF!C:C)</f>
        <v>79999</v>
      </c>
      <c r="M1171" t="s">
        <v>103</v>
      </c>
    </row>
    <row r="1172" spans="1:13" x14ac:dyDescent="0.3">
      <c r="A1172">
        <v>1171</v>
      </c>
      <c r="B1172" t="s">
        <v>1833</v>
      </c>
      <c r="C1172" s="3">
        <v>70399</v>
      </c>
      <c r="D1172" t="s">
        <v>666</v>
      </c>
      <c r="E1172">
        <v>34</v>
      </c>
      <c r="F1172" s="1">
        <v>45460</v>
      </c>
      <c r="G1172" s="1" t="str">
        <f>TEXT(Table1[[#This Row],[Enrollment date]], "mmm")</f>
        <v>Jun</v>
      </c>
      <c r="H1172" t="s">
        <v>360</v>
      </c>
      <c r="I1172" t="s">
        <v>660</v>
      </c>
      <c r="J1172" t="str">
        <f>_xlfn.XLOOKUP(Table1[[#This Row],[Course ]], CCF!B:B, CCF!A:A)</f>
        <v>DA202</v>
      </c>
      <c r="K1172" t="s">
        <v>363</v>
      </c>
      <c r="L1172">
        <f>_xlfn.XLOOKUP(K1172, CCF!B:B, CCF!C:C)</f>
        <v>79999</v>
      </c>
      <c r="M1172" t="s">
        <v>43</v>
      </c>
    </row>
    <row r="1173" spans="1:13" x14ac:dyDescent="0.3">
      <c r="A1173">
        <v>1172</v>
      </c>
      <c r="B1173" t="s">
        <v>1834</v>
      </c>
      <c r="C1173" s="3">
        <v>58899</v>
      </c>
      <c r="D1173" t="s">
        <v>666</v>
      </c>
      <c r="E1173">
        <v>46</v>
      </c>
      <c r="F1173" s="1">
        <v>45460</v>
      </c>
      <c r="G1173" s="1" t="str">
        <f>TEXT(Table1[[#This Row],[Enrollment date]], "mmm")</f>
        <v>Jun</v>
      </c>
      <c r="H1173" t="s">
        <v>360</v>
      </c>
      <c r="I1173" t="s">
        <v>659</v>
      </c>
      <c r="J1173" t="str">
        <f>_xlfn.XLOOKUP(Table1[[#This Row],[Course ]], CCF!B:B, CCF!A:A)</f>
        <v>BA301</v>
      </c>
      <c r="K1173" t="s">
        <v>364</v>
      </c>
      <c r="L1173">
        <f>_xlfn.XLOOKUP(K1173, CCF!B:B, CCF!C:C)</f>
        <v>59999</v>
      </c>
      <c r="M1173" t="s">
        <v>20</v>
      </c>
    </row>
    <row r="1174" spans="1:13" x14ac:dyDescent="0.3">
      <c r="A1174">
        <v>1173</v>
      </c>
      <c r="B1174" t="s">
        <v>1835</v>
      </c>
      <c r="C1174" s="3">
        <v>24140</v>
      </c>
      <c r="D1174" t="s">
        <v>666</v>
      </c>
      <c r="E1174">
        <v>19</v>
      </c>
      <c r="F1174" s="1">
        <v>45461</v>
      </c>
      <c r="G1174" s="1" t="str">
        <f>TEXT(Table1[[#This Row],[Enrollment date]], "mmm")</f>
        <v>Jun</v>
      </c>
      <c r="H1174" t="s">
        <v>360</v>
      </c>
      <c r="I1174" t="s">
        <v>663</v>
      </c>
      <c r="J1174" t="str">
        <f>_xlfn.XLOOKUP(Table1[[#This Row],[Course ]], CCF!B:B, CCF!A:A)</f>
        <v>DM101</v>
      </c>
      <c r="K1174" t="s">
        <v>365</v>
      </c>
      <c r="L1174">
        <f>_xlfn.XLOOKUP(K1174, CCF!B:B, CCF!C:C)</f>
        <v>85499</v>
      </c>
      <c r="M1174" t="s">
        <v>527</v>
      </c>
    </row>
    <row r="1175" spans="1:13" x14ac:dyDescent="0.3">
      <c r="A1175">
        <v>1174</v>
      </c>
      <c r="B1175" t="s">
        <v>1836</v>
      </c>
      <c r="C1175" s="3">
        <v>25109</v>
      </c>
      <c r="D1175" t="s">
        <v>666</v>
      </c>
      <c r="E1175">
        <v>51</v>
      </c>
      <c r="F1175" s="1">
        <v>45461</v>
      </c>
      <c r="G1175" s="1" t="str">
        <f>TEXT(Table1[[#This Row],[Enrollment date]], "mmm")</f>
        <v>Jun</v>
      </c>
      <c r="H1175" t="s">
        <v>360</v>
      </c>
      <c r="I1175" t="s">
        <v>661</v>
      </c>
      <c r="J1175" t="str">
        <f>_xlfn.XLOOKUP(Table1[[#This Row],[Course ]], CCF!B:B, CCF!A:A)</f>
        <v>DA202</v>
      </c>
      <c r="K1175" t="s">
        <v>363</v>
      </c>
      <c r="L1175">
        <f>_xlfn.XLOOKUP(K1175, CCF!B:B, CCF!C:C)</f>
        <v>79999</v>
      </c>
      <c r="M1175" t="s">
        <v>166</v>
      </c>
    </row>
    <row r="1176" spans="1:13" x14ac:dyDescent="0.3">
      <c r="A1176">
        <v>1175</v>
      </c>
      <c r="B1176" t="s">
        <v>1837</v>
      </c>
      <c r="C1176" s="3">
        <v>64489</v>
      </c>
      <c r="D1176" t="s">
        <v>666</v>
      </c>
      <c r="E1176">
        <v>54</v>
      </c>
      <c r="F1176" s="1">
        <v>45461</v>
      </c>
      <c r="G1176" s="1" t="str">
        <f>TEXT(Table1[[#This Row],[Enrollment date]], "mmm")</f>
        <v>Jun</v>
      </c>
      <c r="H1176" t="s">
        <v>360</v>
      </c>
      <c r="I1176" t="s">
        <v>660</v>
      </c>
      <c r="J1176" t="str">
        <f>_xlfn.XLOOKUP(Table1[[#This Row],[Course ]], CCF!B:B, CCF!A:A)</f>
        <v>DM101</v>
      </c>
      <c r="K1176" t="s">
        <v>365</v>
      </c>
      <c r="L1176">
        <f>_xlfn.XLOOKUP(K1176, CCF!B:B, CCF!C:C)</f>
        <v>85499</v>
      </c>
      <c r="M1176" t="s">
        <v>9</v>
      </c>
    </row>
    <row r="1177" spans="1:13" x14ac:dyDescent="0.3">
      <c r="A1177">
        <v>1176</v>
      </c>
      <c r="B1177" t="s">
        <v>1838</v>
      </c>
      <c r="C1177" s="3">
        <v>54308</v>
      </c>
      <c r="D1177" t="s">
        <v>666</v>
      </c>
      <c r="E1177">
        <v>18</v>
      </c>
      <c r="F1177" s="1">
        <v>45461</v>
      </c>
      <c r="G1177" s="1" t="str">
        <f>TEXT(Table1[[#This Row],[Enrollment date]], "mmm")</f>
        <v>Jun</v>
      </c>
      <c r="H1177" t="s">
        <v>360</v>
      </c>
      <c r="I1177" t="s">
        <v>660</v>
      </c>
      <c r="J1177" t="str">
        <f>_xlfn.XLOOKUP(Table1[[#This Row],[Course ]], CCF!B:B, CCF!A:A)</f>
        <v>DA202</v>
      </c>
      <c r="K1177" t="s">
        <v>363</v>
      </c>
      <c r="L1177">
        <f>_xlfn.XLOOKUP(K1177, CCF!B:B, CCF!C:C)</f>
        <v>79999</v>
      </c>
      <c r="M1177" t="s">
        <v>62</v>
      </c>
    </row>
    <row r="1178" spans="1:13" x14ac:dyDescent="0.3">
      <c r="A1178">
        <v>1177</v>
      </c>
      <c r="B1178" t="s">
        <v>1839</v>
      </c>
      <c r="C1178" s="3">
        <v>29484</v>
      </c>
      <c r="D1178" t="s">
        <v>666</v>
      </c>
      <c r="E1178">
        <v>19</v>
      </c>
      <c r="F1178" s="1">
        <v>45461</v>
      </c>
      <c r="G1178" s="1" t="str">
        <f>TEXT(Table1[[#This Row],[Enrollment date]], "mmm")</f>
        <v>Jun</v>
      </c>
      <c r="H1178" t="s">
        <v>360</v>
      </c>
      <c r="I1178" t="s">
        <v>661</v>
      </c>
      <c r="J1178" t="str">
        <f>_xlfn.XLOOKUP(Table1[[#This Row],[Course ]], CCF!B:B, CCF!A:A)</f>
        <v>HR201</v>
      </c>
      <c r="K1178" t="s">
        <v>3152</v>
      </c>
      <c r="L1178">
        <f>_xlfn.XLOOKUP(K1178, CCF!B:B, CCF!C:C)</f>
        <v>41999</v>
      </c>
      <c r="M1178" t="s">
        <v>9</v>
      </c>
    </row>
    <row r="1179" spans="1:13" x14ac:dyDescent="0.3">
      <c r="A1179">
        <v>1178</v>
      </c>
      <c r="B1179" t="s">
        <v>1840</v>
      </c>
      <c r="C1179" s="3">
        <v>43275</v>
      </c>
      <c r="D1179" t="s">
        <v>666</v>
      </c>
      <c r="E1179">
        <v>36</v>
      </c>
      <c r="F1179" s="1">
        <v>45462</v>
      </c>
      <c r="G1179" s="1" t="str">
        <f>TEXT(Table1[[#This Row],[Enrollment date]], "mmm")</f>
        <v>Jun</v>
      </c>
      <c r="H1179" t="s">
        <v>360</v>
      </c>
      <c r="I1179" t="s">
        <v>661</v>
      </c>
      <c r="J1179" t="str">
        <f>_xlfn.XLOOKUP(Table1[[#This Row],[Course ]], CCF!B:B, CCF!A:A)</f>
        <v>BA301</v>
      </c>
      <c r="K1179" t="s">
        <v>364</v>
      </c>
      <c r="L1179">
        <f>_xlfn.XLOOKUP(K1179, CCF!B:B, CCF!C:C)</f>
        <v>59999</v>
      </c>
      <c r="M1179" t="s">
        <v>152</v>
      </c>
    </row>
    <row r="1180" spans="1:13" x14ac:dyDescent="0.3">
      <c r="A1180">
        <v>1179</v>
      </c>
      <c r="B1180" t="s">
        <v>1841</v>
      </c>
      <c r="C1180" s="3">
        <v>70036</v>
      </c>
      <c r="D1180" t="s">
        <v>666</v>
      </c>
      <c r="E1180">
        <v>45</v>
      </c>
      <c r="F1180" s="1">
        <v>45462</v>
      </c>
      <c r="G1180" s="1" t="str">
        <f>TEXT(Table1[[#This Row],[Enrollment date]], "mmm")</f>
        <v>Jun</v>
      </c>
      <c r="H1180" t="s">
        <v>360</v>
      </c>
      <c r="I1180" t="s">
        <v>663</v>
      </c>
      <c r="J1180" t="str">
        <f>_xlfn.XLOOKUP(Table1[[#This Row],[Course ]], CCF!B:B, CCF!A:A)</f>
        <v>DA202</v>
      </c>
      <c r="K1180" t="s">
        <v>363</v>
      </c>
      <c r="L1180">
        <f>_xlfn.XLOOKUP(K1180, CCF!B:B, CCF!C:C)</f>
        <v>79999</v>
      </c>
      <c r="M1180" t="s">
        <v>9</v>
      </c>
    </row>
    <row r="1181" spans="1:13" x14ac:dyDescent="0.3">
      <c r="A1181">
        <v>1180</v>
      </c>
      <c r="B1181" t="s">
        <v>1842</v>
      </c>
      <c r="C1181" s="3">
        <v>24177</v>
      </c>
      <c r="D1181" t="s">
        <v>666</v>
      </c>
      <c r="E1181">
        <v>30</v>
      </c>
      <c r="F1181" s="1">
        <v>45462</v>
      </c>
      <c r="G1181" s="1" t="str">
        <f>TEXT(Table1[[#This Row],[Enrollment date]], "mmm")</f>
        <v>Jun</v>
      </c>
      <c r="H1181" t="s">
        <v>360</v>
      </c>
      <c r="I1181" t="s">
        <v>660</v>
      </c>
      <c r="J1181" t="str">
        <f>_xlfn.XLOOKUP(Table1[[#This Row],[Course ]], CCF!B:B, CCF!A:A)</f>
        <v>DA202</v>
      </c>
      <c r="K1181" t="s">
        <v>363</v>
      </c>
      <c r="L1181">
        <f>_xlfn.XLOOKUP(K1181, CCF!B:B, CCF!C:C)</f>
        <v>79999</v>
      </c>
      <c r="M1181" t="s">
        <v>173</v>
      </c>
    </row>
    <row r="1182" spans="1:13" x14ac:dyDescent="0.3">
      <c r="A1182">
        <v>1181</v>
      </c>
      <c r="B1182" t="s">
        <v>1843</v>
      </c>
      <c r="C1182" s="3">
        <v>97333</v>
      </c>
      <c r="D1182" t="s">
        <v>667</v>
      </c>
      <c r="E1182">
        <v>51</v>
      </c>
      <c r="F1182" s="1">
        <v>45462</v>
      </c>
      <c r="G1182" s="1" t="str">
        <f>TEXT(Table1[[#This Row],[Enrollment date]], "mmm")</f>
        <v>Jun</v>
      </c>
      <c r="H1182" t="s">
        <v>360</v>
      </c>
      <c r="I1182" t="s">
        <v>664</v>
      </c>
      <c r="J1182" t="str">
        <f>_xlfn.XLOOKUP(Table1[[#This Row],[Course ]], CCF!B:B, CCF!A:A)</f>
        <v>DM101</v>
      </c>
      <c r="K1182" t="s">
        <v>365</v>
      </c>
      <c r="L1182">
        <f>_xlfn.XLOOKUP(K1182, CCF!B:B, CCF!C:C)</f>
        <v>85499</v>
      </c>
      <c r="M1182" t="s">
        <v>454</v>
      </c>
    </row>
    <row r="1183" spans="1:13" x14ac:dyDescent="0.3">
      <c r="A1183">
        <v>1182</v>
      </c>
      <c r="B1183" t="s">
        <v>1844</v>
      </c>
      <c r="C1183" s="3">
        <v>33721</v>
      </c>
      <c r="D1183" t="s">
        <v>666</v>
      </c>
      <c r="E1183">
        <v>48</v>
      </c>
      <c r="F1183" s="1">
        <v>45462</v>
      </c>
      <c r="G1183" s="1" t="str">
        <f>TEXT(Table1[[#This Row],[Enrollment date]], "mmm")</f>
        <v>Jun</v>
      </c>
      <c r="H1183" t="s">
        <v>360</v>
      </c>
      <c r="I1183" t="s">
        <v>660</v>
      </c>
      <c r="J1183" t="str">
        <f>_xlfn.XLOOKUP(Table1[[#This Row],[Course ]], CCF!B:B, CCF!A:A)</f>
        <v>BA301</v>
      </c>
      <c r="K1183" t="s">
        <v>364</v>
      </c>
      <c r="L1183">
        <f>_xlfn.XLOOKUP(K1183, CCF!B:B, CCF!C:C)</f>
        <v>59999</v>
      </c>
      <c r="M1183" t="s">
        <v>27</v>
      </c>
    </row>
    <row r="1184" spans="1:13" x14ac:dyDescent="0.3">
      <c r="A1184">
        <v>1183</v>
      </c>
      <c r="B1184" t="s">
        <v>1845</v>
      </c>
      <c r="C1184" s="3">
        <v>15296</v>
      </c>
      <c r="D1184" t="s">
        <v>667</v>
      </c>
      <c r="E1184">
        <v>27</v>
      </c>
      <c r="F1184" s="1">
        <v>45462</v>
      </c>
      <c r="G1184" s="1" t="str">
        <f>TEXT(Table1[[#This Row],[Enrollment date]], "mmm")</f>
        <v>Jun</v>
      </c>
      <c r="H1184" t="s">
        <v>3</v>
      </c>
      <c r="I1184" t="s">
        <v>661</v>
      </c>
      <c r="J1184" t="str">
        <f>_xlfn.XLOOKUP(Table1[[#This Row],[Course ]], CCF!B:B, CCF!A:A)</f>
        <v>DM101</v>
      </c>
      <c r="K1184" t="s">
        <v>365</v>
      </c>
      <c r="L1184">
        <f>_xlfn.XLOOKUP(K1184, CCF!B:B, CCF!C:C)</f>
        <v>85499</v>
      </c>
      <c r="M1184" t="s">
        <v>60</v>
      </c>
    </row>
    <row r="1185" spans="1:13" x14ac:dyDescent="0.3">
      <c r="A1185">
        <v>1184</v>
      </c>
      <c r="B1185" t="s">
        <v>1846</v>
      </c>
      <c r="C1185" s="3">
        <v>51324</v>
      </c>
      <c r="D1185" t="s">
        <v>666</v>
      </c>
      <c r="E1185">
        <v>34</v>
      </c>
      <c r="F1185" s="1">
        <v>45462</v>
      </c>
      <c r="G1185" s="1" t="str">
        <f>TEXT(Table1[[#This Row],[Enrollment date]], "mmm")</f>
        <v>Jun</v>
      </c>
      <c r="H1185" t="s">
        <v>360</v>
      </c>
      <c r="I1185" t="s">
        <v>660</v>
      </c>
      <c r="J1185" t="str">
        <f>_xlfn.XLOOKUP(Table1[[#This Row],[Course ]], CCF!B:B, CCF!A:A)</f>
        <v>DM101</v>
      </c>
      <c r="K1185" t="s">
        <v>365</v>
      </c>
      <c r="L1185">
        <f>_xlfn.XLOOKUP(K1185, CCF!B:B, CCF!C:C)</f>
        <v>85499</v>
      </c>
      <c r="M1185" t="s">
        <v>9</v>
      </c>
    </row>
    <row r="1186" spans="1:13" x14ac:dyDescent="0.3">
      <c r="A1186">
        <v>1185</v>
      </c>
      <c r="B1186" t="s">
        <v>1847</v>
      </c>
      <c r="C1186" s="3">
        <v>90833</v>
      </c>
      <c r="D1186" t="s">
        <v>666</v>
      </c>
      <c r="E1186">
        <v>31</v>
      </c>
      <c r="F1186" s="1">
        <v>45462</v>
      </c>
      <c r="G1186" s="1" t="str">
        <f>TEXT(Table1[[#This Row],[Enrollment date]], "mmm")</f>
        <v>Jun</v>
      </c>
      <c r="H1186" t="s">
        <v>361</v>
      </c>
      <c r="I1186" t="s">
        <v>662</v>
      </c>
      <c r="J1186" t="str">
        <f>_xlfn.XLOOKUP(Table1[[#This Row],[Course ]], CCF!B:B, CCF!A:A)</f>
        <v>DA202</v>
      </c>
      <c r="K1186" t="s">
        <v>363</v>
      </c>
      <c r="L1186">
        <f>_xlfn.XLOOKUP(K1186, CCF!B:B, CCF!C:C)</f>
        <v>79999</v>
      </c>
      <c r="M1186" t="s">
        <v>528</v>
      </c>
    </row>
    <row r="1187" spans="1:13" x14ac:dyDescent="0.3">
      <c r="A1187">
        <v>1186</v>
      </c>
      <c r="B1187" t="s">
        <v>1848</v>
      </c>
      <c r="C1187" s="3">
        <v>80743</v>
      </c>
      <c r="D1187" t="s">
        <v>666</v>
      </c>
      <c r="E1187">
        <v>41</v>
      </c>
      <c r="F1187" s="1">
        <v>45462</v>
      </c>
      <c r="G1187" s="1" t="str">
        <f>TEXT(Table1[[#This Row],[Enrollment date]], "mmm")</f>
        <v>Jun</v>
      </c>
      <c r="H1187" t="s">
        <v>360</v>
      </c>
      <c r="I1187" t="s">
        <v>659</v>
      </c>
      <c r="J1187" t="str">
        <f>_xlfn.XLOOKUP(Table1[[#This Row],[Course ]], CCF!B:B, CCF!A:A)</f>
        <v>DM101</v>
      </c>
      <c r="K1187" t="s">
        <v>365</v>
      </c>
      <c r="L1187">
        <f>_xlfn.XLOOKUP(K1187, CCF!B:B, CCF!C:C)</f>
        <v>85499</v>
      </c>
      <c r="M1187" t="s">
        <v>103</v>
      </c>
    </row>
    <row r="1188" spans="1:13" x14ac:dyDescent="0.3">
      <c r="A1188">
        <v>1187</v>
      </c>
      <c r="B1188" t="s">
        <v>1849</v>
      </c>
      <c r="C1188" s="3">
        <v>85214</v>
      </c>
      <c r="D1188" t="s">
        <v>666</v>
      </c>
      <c r="E1188">
        <v>56</v>
      </c>
      <c r="F1188" s="1">
        <v>45463</v>
      </c>
      <c r="G1188" s="1" t="str">
        <f>TEXT(Table1[[#This Row],[Enrollment date]], "mmm")</f>
        <v>Jun</v>
      </c>
      <c r="H1188" t="s">
        <v>361</v>
      </c>
      <c r="I1188" t="s">
        <v>662</v>
      </c>
      <c r="J1188" t="str">
        <f>_xlfn.XLOOKUP(Table1[[#This Row],[Course ]], CCF!B:B, CCF!A:A)</f>
        <v>BA301</v>
      </c>
      <c r="K1188" t="s">
        <v>364</v>
      </c>
      <c r="L1188">
        <f>_xlfn.XLOOKUP(K1188, CCF!B:B, CCF!C:C)</f>
        <v>59999</v>
      </c>
      <c r="M1188" t="s">
        <v>9</v>
      </c>
    </row>
    <row r="1189" spans="1:13" x14ac:dyDescent="0.3">
      <c r="A1189">
        <v>1188</v>
      </c>
      <c r="B1189" t="s">
        <v>1850</v>
      </c>
      <c r="C1189" s="3">
        <v>93463</v>
      </c>
      <c r="D1189" t="s">
        <v>667</v>
      </c>
      <c r="E1189">
        <v>18</v>
      </c>
      <c r="F1189" s="1">
        <v>45463</v>
      </c>
      <c r="G1189" s="1" t="str">
        <f>TEXT(Table1[[#This Row],[Enrollment date]], "mmm")</f>
        <v>Jun</v>
      </c>
      <c r="H1189" t="s">
        <v>360</v>
      </c>
      <c r="I1189" t="s">
        <v>660</v>
      </c>
      <c r="J1189" t="str">
        <f>_xlfn.XLOOKUP(Table1[[#This Row],[Course ]], CCF!B:B, CCF!A:A)</f>
        <v>DA202</v>
      </c>
      <c r="K1189" t="s">
        <v>363</v>
      </c>
      <c r="L1189">
        <f>_xlfn.XLOOKUP(K1189, CCF!B:B, CCF!C:C)</f>
        <v>79999</v>
      </c>
      <c r="M1189" t="s">
        <v>18</v>
      </c>
    </row>
    <row r="1190" spans="1:13" x14ac:dyDescent="0.3">
      <c r="A1190">
        <v>1189</v>
      </c>
      <c r="B1190" t="s">
        <v>1851</v>
      </c>
      <c r="C1190" s="3">
        <v>56881</v>
      </c>
      <c r="D1190" t="s">
        <v>667</v>
      </c>
      <c r="E1190">
        <v>18</v>
      </c>
      <c r="F1190" s="1">
        <v>45463</v>
      </c>
      <c r="G1190" s="1" t="str">
        <f>TEXT(Table1[[#This Row],[Enrollment date]], "mmm")</f>
        <v>Jun</v>
      </c>
      <c r="H1190" t="s">
        <v>360</v>
      </c>
      <c r="I1190" t="s">
        <v>661</v>
      </c>
      <c r="J1190" t="str">
        <f>_xlfn.XLOOKUP(Table1[[#This Row],[Course ]], CCF!B:B, CCF!A:A)</f>
        <v>DM101</v>
      </c>
      <c r="K1190" t="s">
        <v>365</v>
      </c>
      <c r="L1190">
        <f>_xlfn.XLOOKUP(K1190, CCF!B:B, CCF!C:C)</f>
        <v>85499</v>
      </c>
      <c r="M1190" t="s">
        <v>529</v>
      </c>
    </row>
    <row r="1191" spans="1:13" x14ac:dyDescent="0.3">
      <c r="A1191">
        <v>1190</v>
      </c>
      <c r="B1191" t="s">
        <v>1852</v>
      </c>
      <c r="C1191" s="3">
        <v>78194</v>
      </c>
      <c r="D1191" t="s">
        <v>667</v>
      </c>
      <c r="E1191">
        <v>32</v>
      </c>
      <c r="F1191" s="1">
        <v>45463</v>
      </c>
      <c r="G1191" s="1" t="str">
        <f>TEXT(Table1[[#This Row],[Enrollment date]], "mmm")</f>
        <v>Jun</v>
      </c>
      <c r="H1191" t="s">
        <v>360</v>
      </c>
      <c r="I1191" t="s">
        <v>660</v>
      </c>
      <c r="J1191" t="str">
        <f>_xlfn.XLOOKUP(Table1[[#This Row],[Course ]], CCF!B:B, CCF!A:A)</f>
        <v>DM101</v>
      </c>
      <c r="K1191" t="s">
        <v>365</v>
      </c>
      <c r="L1191">
        <f>_xlfn.XLOOKUP(K1191, CCF!B:B, CCF!C:C)</f>
        <v>85499</v>
      </c>
      <c r="M1191" t="s">
        <v>530</v>
      </c>
    </row>
    <row r="1192" spans="1:13" x14ac:dyDescent="0.3">
      <c r="A1192">
        <v>1191</v>
      </c>
      <c r="B1192" t="s">
        <v>1853</v>
      </c>
      <c r="C1192" s="3">
        <v>47421</v>
      </c>
      <c r="D1192" t="s">
        <v>667</v>
      </c>
      <c r="E1192">
        <v>18</v>
      </c>
      <c r="F1192" s="1">
        <v>45464</v>
      </c>
      <c r="G1192" s="1" t="str">
        <f>TEXT(Table1[[#This Row],[Enrollment date]], "mmm")</f>
        <v>Jun</v>
      </c>
      <c r="H1192" t="s">
        <v>360</v>
      </c>
      <c r="I1192" t="s">
        <v>660</v>
      </c>
      <c r="J1192" t="str">
        <f>_xlfn.XLOOKUP(Table1[[#This Row],[Course ]], CCF!B:B, CCF!A:A)</f>
        <v>DM101</v>
      </c>
      <c r="K1192" t="s">
        <v>365</v>
      </c>
      <c r="L1192">
        <f>_xlfn.XLOOKUP(K1192, CCF!B:B, CCF!C:C)</f>
        <v>85499</v>
      </c>
      <c r="M1192" t="s">
        <v>15</v>
      </c>
    </row>
    <row r="1193" spans="1:13" x14ac:dyDescent="0.3">
      <c r="A1193">
        <v>1192</v>
      </c>
      <c r="B1193" t="s">
        <v>1854</v>
      </c>
      <c r="C1193" s="3">
        <v>11760</v>
      </c>
      <c r="D1193" t="s">
        <v>666</v>
      </c>
      <c r="E1193">
        <v>72</v>
      </c>
      <c r="F1193" s="1">
        <v>45464</v>
      </c>
      <c r="G1193" s="1" t="str">
        <f>TEXT(Table1[[#This Row],[Enrollment date]], "mmm")</f>
        <v>Jun</v>
      </c>
      <c r="H1193" t="s">
        <v>360</v>
      </c>
      <c r="I1193" t="s">
        <v>659</v>
      </c>
      <c r="J1193" t="str">
        <f>_xlfn.XLOOKUP(Table1[[#This Row],[Course ]], CCF!B:B, CCF!A:A)</f>
        <v>DM101</v>
      </c>
      <c r="K1193" t="s">
        <v>365</v>
      </c>
      <c r="L1193">
        <f>_xlfn.XLOOKUP(K1193, CCF!B:B, CCF!C:C)</f>
        <v>85499</v>
      </c>
      <c r="M1193" t="s">
        <v>18</v>
      </c>
    </row>
    <row r="1194" spans="1:13" x14ac:dyDescent="0.3">
      <c r="A1194">
        <v>1193</v>
      </c>
      <c r="B1194" t="s">
        <v>1855</v>
      </c>
      <c r="C1194" s="3">
        <v>34475</v>
      </c>
      <c r="D1194" t="s">
        <v>666</v>
      </c>
      <c r="E1194">
        <v>43</v>
      </c>
      <c r="F1194" s="1">
        <v>45464</v>
      </c>
      <c r="G1194" s="1" t="str">
        <f>TEXT(Table1[[#This Row],[Enrollment date]], "mmm")</f>
        <v>Jun</v>
      </c>
      <c r="H1194" t="s">
        <v>3</v>
      </c>
      <c r="I1194" t="s">
        <v>661</v>
      </c>
      <c r="J1194" t="str">
        <f>_xlfn.XLOOKUP(Table1[[#This Row],[Course ]], CCF!B:B, CCF!A:A)</f>
        <v>DA202</v>
      </c>
      <c r="K1194" t="s">
        <v>363</v>
      </c>
      <c r="L1194">
        <f>_xlfn.XLOOKUP(K1194, CCF!B:B, CCF!C:C)</f>
        <v>79999</v>
      </c>
      <c r="M1194" t="s">
        <v>80</v>
      </c>
    </row>
    <row r="1195" spans="1:13" x14ac:dyDescent="0.3">
      <c r="A1195">
        <v>1194</v>
      </c>
      <c r="B1195" t="s">
        <v>1856</v>
      </c>
      <c r="C1195" s="3">
        <v>17716</v>
      </c>
      <c r="D1195" t="s">
        <v>666</v>
      </c>
      <c r="E1195">
        <v>60</v>
      </c>
      <c r="F1195" s="1">
        <v>45464</v>
      </c>
      <c r="G1195" s="1" t="str">
        <f>TEXT(Table1[[#This Row],[Enrollment date]], "mmm")</f>
        <v>Jun</v>
      </c>
      <c r="H1195" t="s">
        <v>360</v>
      </c>
      <c r="I1195" t="s">
        <v>663</v>
      </c>
      <c r="J1195" t="str">
        <f>_xlfn.XLOOKUP(Table1[[#This Row],[Course ]], CCF!B:B, CCF!A:A)</f>
        <v>DA202</v>
      </c>
      <c r="K1195" t="s">
        <v>363</v>
      </c>
      <c r="L1195">
        <f>_xlfn.XLOOKUP(K1195, CCF!B:B, CCF!C:C)</f>
        <v>79999</v>
      </c>
      <c r="M1195" t="s">
        <v>129</v>
      </c>
    </row>
    <row r="1196" spans="1:13" x14ac:dyDescent="0.3">
      <c r="A1196">
        <v>1195</v>
      </c>
      <c r="B1196" t="s">
        <v>1857</v>
      </c>
      <c r="C1196" s="3">
        <v>81169</v>
      </c>
      <c r="D1196" t="s">
        <v>666</v>
      </c>
      <c r="E1196">
        <v>18</v>
      </c>
      <c r="F1196" s="1">
        <v>45464</v>
      </c>
      <c r="G1196" s="1" t="str">
        <f>TEXT(Table1[[#This Row],[Enrollment date]], "mmm")</f>
        <v>Jun</v>
      </c>
      <c r="H1196" t="s">
        <v>360</v>
      </c>
      <c r="I1196" t="s">
        <v>660</v>
      </c>
      <c r="J1196" t="str">
        <f>_xlfn.XLOOKUP(Table1[[#This Row],[Course ]], CCF!B:B, CCF!A:A)</f>
        <v>BA301</v>
      </c>
      <c r="K1196" t="s">
        <v>364</v>
      </c>
      <c r="L1196">
        <f>_xlfn.XLOOKUP(K1196, CCF!B:B, CCF!C:C)</f>
        <v>59999</v>
      </c>
      <c r="M1196" t="s">
        <v>9</v>
      </c>
    </row>
    <row r="1197" spans="1:13" x14ac:dyDescent="0.3">
      <c r="A1197">
        <v>1196</v>
      </c>
      <c r="B1197" t="s">
        <v>1858</v>
      </c>
      <c r="C1197" s="3">
        <v>72891</v>
      </c>
      <c r="D1197" t="s">
        <v>666</v>
      </c>
      <c r="E1197">
        <v>43</v>
      </c>
      <c r="F1197" s="1">
        <v>45464</v>
      </c>
      <c r="G1197" s="1" t="str">
        <f>TEXT(Table1[[#This Row],[Enrollment date]], "mmm")</f>
        <v>Jun</v>
      </c>
      <c r="H1197" t="s">
        <v>360</v>
      </c>
      <c r="I1197" t="s">
        <v>661</v>
      </c>
      <c r="J1197" t="str">
        <f>_xlfn.XLOOKUP(Table1[[#This Row],[Course ]], CCF!B:B, CCF!A:A)</f>
        <v>DA202</v>
      </c>
      <c r="K1197" t="s">
        <v>363</v>
      </c>
      <c r="L1197">
        <f>_xlfn.XLOOKUP(K1197, CCF!B:B, CCF!C:C)</f>
        <v>79999</v>
      </c>
      <c r="M1197" t="s">
        <v>144</v>
      </c>
    </row>
    <row r="1198" spans="1:13" x14ac:dyDescent="0.3">
      <c r="A1198">
        <v>1197</v>
      </c>
      <c r="B1198" t="s">
        <v>1859</v>
      </c>
      <c r="C1198" s="3">
        <v>29377</v>
      </c>
      <c r="D1198" t="s">
        <v>666</v>
      </c>
      <c r="E1198">
        <v>46</v>
      </c>
      <c r="F1198" s="1">
        <v>45464</v>
      </c>
      <c r="G1198" s="1" t="str">
        <f>TEXT(Table1[[#This Row],[Enrollment date]], "mmm")</f>
        <v>Jun</v>
      </c>
      <c r="H1198" t="s">
        <v>360</v>
      </c>
      <c r="I1198" t="s">
        <v>659</v>
      </c>
      <c r="J1198" t="str">
        <f>_xlfn.XLOOKUP(Table1[[#This Row],[Course ]], CCF!B:B, CCF!A:A)</f>
        <v>BA301</v>
      </c>
      <c r="K1198" t="s">
        <v>364</v>
      </c>
      <c r="L1198">
        <f>_xlfn.XLOOKUP(K1198, CCF!B:B, CCF!C:C)</f>
        <v>59999</v>
      </c>
      <c r="M1198" t="s">
        <v>17</v>
      </c>
    </row>
    <row r="1199" spans="1:13" x14ac:dyDescent="0.3">
      <c r="A1199">
        <v>1198</v>
      </c>
      <c r="B1199" t="s">
        <v>1860</v>
      </c>
      <c r="C1199" s="3">
        <v>41432</v>
      </c>
      <c r="D1199" t="s">
        <v>666</v>
      </c>
      <c r="E1199">
        <v>41</v>
      </c>
      <c r="F1199" s="1">
        <v>45464</v>
      </c>
      <c r="G1199" s="1" t="str">
        <f>TEXT(Table1[[#This Row],[Enrollment date]], "mmm")</f>
        <v>Jun</v>
      </c>
      <c r="H1199" t="s">
        <v>3</v>
      </c>
      <c r="I1199" t="s">
        <v>660</v>
      </c>
      <c r="J1199" t="str">
        <f>_xlfn.XLOOKUP(Table1[[#This Row],[Course ]], CCF!B:B, CCF!A:A)</f>
        <v>DA202</v>
      </c>
      <c r="K1199" t="s">
        <v>363</v>
      </c>
      <c r="L1199">
        <f>_xlfn.XLOOKUP(K1199, CCF!B:B, CCF!C:C)</f>
        <v>79999</v>
      </c>
      <c r="M1199" t="s">
        <v>50</v>
      </c>
    </row>
    <row r="1200" spans="1:13" x14ac:dyDescent="0.3">
      <c r="A1200">
        <v>1199</v>
      </c>
      <c r="B1200" t="s">
        <v>1861</v>
      </c>
      <c r="C1200" s="3">
        <v>89572</v>
      </c>
      <c r="D1200" t="s">
        <v>666</v>
      </c>
      <c r="E1200">
        <v>33</v>
      </c>
      <c r="F1200" s="1">
        <v>45465</v>
      </c>
      <c r="G1200" s="1" t="str">
        <f>TEXT(Table1[[#This Row],[Enrollment date]], "mmm")</f>
        <v>Jun</v>
      </c>
      <c r="H1200" t="s">
        <v>360</v>
      </c>
      <c r="I1200" t="s">
        <v>659</v>
      </c>
      <c r="J1200" t="str">
        <f>_xlfn.XLOOKUP(Table1[[#This Row],[Course ]], CCF!B:B, CCF!A:A)</f>
        <v>DA202</v>
      </c>
      <c r="K1200" t="s">
        <v>363</v>
      </c>
      <c r="L1200">
        <f>_xlfn.XLOOKUP(K1200, CCF!B:B, CCF!C:C)</f>
        <v>79999</v>
      </c>
      <c r="M1200" t="s">
        <v>27</v>
      </c>
    </row>
    <row r="1201" spans="1:13" x14ac:dyDescent="0.3">
      <c r="A1201">
        <v>1200</v>
      </c>
      <c r="B1201" t="s">
        <v>1862</v>
      </c>
      <c r="C1201" s="3">
        <v>38898</v>
      </c>
      <c r="D1201" t="s">
        <v>667</v>
      </c>
      <c r="E1201">
        <v>41</v>
      </c>
      <c r="F1201" s="1">
        <v>45465</v>
      </c>
      <c r="G1201" s="1" t="str">
        <f>TEXT(Table1[[#This Row],[Enrollment date]], "mmm")</f>
        <v>Jun</v>
      </c>
      <c r="H1201" t="s">
        <v>360</v>
      </c>
      <c r="I1201" t="s">
        <v>663</v>
      </c>
      <c r="J1201" t="str">
        <f>_xlfn.XLOOKUP(Table1[[#This Row],[Course ]], CCF!B:B, CCF!A:A)</f>
        <v>DM101</v>
      </c>
      <c r="K1201" t="s">
        <v>365</v>
      </c>
      <c r="L1201">
        <f>_xlfn.XLOOKUP(K1201, CCF!B:B, CCF!C:C)</f>
        <v>85499</v>
      </c>
      <c r="M1201" t="s">
        <v>18</v>
      </c>
    </row>
    <row r="1202" spans="1:13" x14ac:dyDescent="0.3">
      <c r="A1202">
        <v>1201</v>
      </c>
      <c r="B1202" t="s">
        <v>1863</v>
      </c>
      <c r="C1202" s="3">
        <v>94331</v>
      </c>
      <c r="D1202" t="s">
        <v>666</v>
      </c>
      <c r="E1202">
        <v>35</v>
      </c>
      <c r="F1202" s="1">
        <v>45465</v>
      </c>
      <c r="G1202" s="1" t="str">
        <f>TEXT(Table1[[#This Row],[Enrollment date]], "mmm")</f>
        <v>Jun</v>
      </c>
      <c r="H1202" t="s">
        <v>360</v>
      </c>
      <c r="I1202" t="s">
        <v>660</v>
      </c>
      <c r="J1202" t="str">
        <f>_xlfn.XLOOKUP(Table1[[#This Row],[Course ]], CCF!B:B, CCF!A:A)</f>
        <v>DA202</v>
      </c>
      <c r="K1202" t="s">
        <v>363</v>
      </c>
      <c r="L1202">
        <f>_xlfn.XLOOKUP(K1202, CCF!B:B, CCF!C:C)</f>
        <v>79999</v>
      </c>
      <c r="M1202" t="s">
        <v>531</v>
      </c>
    </row>
    <row r="1203" spans="1:13" x14ac:dyDescent="0.3">
      <c r="A1203">
        <v>1202</v>
      </c>
      <c r="B1203" t="s">
        <v>1864</v>
      </c>
      <c r="C1203" s="3">
        <v>66865</v>
      </c>
      <c r="D1203" t="s">
        <v>666</v>
      </c>
      <c r="E1203">
        <v>45</v>
      </c>
      <c r="F1203" s="1">
        <v>45465</v>
      </c>
      <c r="G1203" s="1" t="str">
        <f>TEXT(Table1[[#This Row],[Enrollment date]], "mmm")</f>
        <v>Jun</v>
      </c>
      <c r="H1203" t="s">
        <v>360</v>
      </c>
      <c r="I1203" t="s">
        <v>661</v>
      </c>
      <c r="J1203" t="str">
        <f>_xlfn.XLOOKUP(Table1[[#This Row],[Course ]], CCF!B:B, CCF!A:A)</f>
        <v>DM101</v>
      </c>
      <c r="K1203" t="s">
        <v>365</v>
      </c>
      <c r="L1203">
        <f>_xlfn.XLOOKUP(K1203, CCF!B:B, CCF!C:C)</f>
        <v>85499</v>
      </c>
      <c r="M1203" t="s">
        <v>532</v>
      </c>
    </row>
    <row r="1204" spans="1:13" x14ac:dyDescent="0.3">
      <c r="A1204">
        <v>1203</v>
      </c>
      <c r="B1204" t="s">
        <v>1865</v>
      </c>
      <c r="C1204" s="3">
        <v>53367</v>
      </c>
      <c r="D1204" t="s">
        <v>667</v>
      </c>
      <c r="E1204">
        <v>50</v>
      </c>
      <c r="F1204" s="1">
        <v>45465</v>
      </c>
      <c r="G1204" s="1" t="str">
        <f>TEXT(Table1[[#This Row],[Enrollment date]], "mmm")</f>
        <v>Jun</v>
      </c>
      <c r="H1204" t="s">
        <v>360</v>
      </c>
      <c r="I1204" t="s">
        <v>660</v>
      </c>
      <c r="J1204" t="str">
        <f>_xlfn.XLOOKUP(Table1[[#This Row],[Course ]], CCF!B:B, CCF!A:A)</f>
        <v>BA301</v>
      </c>
      <c r="K1204" t="s">
        <v>364</v>
      </c>
      <c r="L1204">
        <f>_xlfn.XLOOKUP(K1204, CCF!B:B, CCF!C:C)</f>
        <v>59999</v>
      </c>
      <c r="M1204" t="s">
        <v>86</v>
      </c>
    </row>
    <row r="1205" spans="1:13" x14ac:dyDescent="0.3">
      <c r="A1205">
        <v>1204</v>
      </c>
      <c r="B1205" t="s">
        <v>1866</v>
      </c>
      <c r="C1205" s="3">
        <v>54307</v>
      </c>
      <c r="D1205" t="s">
        <v>666</v>
      </c>
      <c r="E1205">
        <v>32</v>
      </c>
      <c r="F1205" s="1">
        <v>45465</v>
      </c>
      <c r="G1205" s="1" t="str">
        <f>TEXT(Table1[[#This Row],[Enrollment date]], "mmm")</f>
        <v>Jun</v>
      </c>
      <c r="H1205" t="s">
        <v>360</v>
      </c>
      <c r="I1205" t="s">
        <v>661</v>
      </c>
      <c r="J1205" t="str">
        <f>_xlfn.XLOOKUP(Table1[[#This Row],[Course ]], CCF!B:B, CCF!A:A)</f>
        <v>DM101</v>
      </c>
      <c r="K1205" t="s">
        <v>365</v>
      </c>
      <c r="L1205">
        <f>_xlfn.XLOOKUP(K1205, CCF!B:B, CCF!C:C)</f>
        <v>85499</v>
      </c>
      <c r="M1205" t="s">
        <v>60</v>
      </c>
    </row>
    <row r="1206" spans="1:13" x14ac:dyDescent="0.3">
      <c r="A1206">
        <v>1205</v>
      </c>
      <c r="B1206" t="s">
        <v>1867</v>
      </c>
      <c r="C1206" s="3">
        <v>78726</v>
      </c>
      <c r="D1206" t="s">
        <v>667</v>
      </c>
      <c r="E1206">
        <v>35</v>
      </c>
      <c r="F1206" s="1">
        <v>45465</v>
      </c>
      <c r="G1206" s="1" t="str">
        <f>TEXT(Table1[[#This Row],[Enrollment date]], "mmm")</f>
        <v>Jun</v>
      </c>
      <c r="H1206" t="s">
        <v>360</v>
      </c>
      <c r="I1206" t="s">
        <v>659</v>
      </c>
      <c r="J1206" t="str">
        <f>_xlfn.XLOOKUP(Table1[[#This Row],[Course ]], CCF!B:B, CCF!A:A)</f>
        <v>DM101</v>
      </c>
      <c r="K1206" t="s">
        <v>365</v>
      </c>
      <c r="L1206">
        <f>_xlfn.XLOOKUP(K1206, CCF!B:B, CCF!C:C)</f>
        <v>85499</v>
      </c>
      <c r="M1206" t="s">
        <v>20</v>
      </c>
    </row>
    <row r="1207" spans="1:13" x14ac:dyDescent="0.3">
      <c r="A1207">
        <v>1206</v>
      </c>
      <c r="B1207" t="s">
        <v>1868</v>
      </c>
      <c r="C1207" s="3">
        <v>89083</v>
      </c>
      <c r="D1207" t="s">
        <v>666</v>
      </c>
      <c r="E1207">
        <v>36</v>
      </c>
      <c r="F1207" s="1">
        <v>45465</v>
      </c>
      <c r="G1207" s="1" t="str">
        <f>TEXT(Table1[[#This Row],[Enrollment date]], "mmm")</f>
        <v>Jun</v>
      </c>
      <c r="H1207" t="s">
        <v>360</v>
      </c>
      <c r="I1207" t="s">
        <v>662</v>
      </c>
      <c r="J1207" t="str">
        <f>_xlfn.XLOOKUP(Table1[[#This Row],[Course ]], CCF!B:B, CCF!A:A)</f>
        <v>DM101</v>
      </c>
      <c r="K1207" t="s">
        <v>365</v>
      </c>
      <c r="L1207">
        <f>_xlfn.XLOOKUP(K1207, CCF!B:B, CCF!C:C)</f>
        <v>85499</v>
      </c>
      <c r="M1207" t="s">
        <v>132</v>
      </c>
    </row>
    <row r="1208" spans="1:13" x14ac:dyDescent="0.3">
      <c r="A1208">
        <v>1207</v>
      </c>
      <c r="B1208" t="s">
        <v>1869</v>
      </c>
      <c r="C1208" s="3">
        <v>23907</v>
      </c>
      <c r="D1208" t="s">
        <v>667</v>
      </c>
      <c r="E1208">
        <v>58</v>
      </c>
      <c r="F1208" s="1">
        <v>45465</v>
      </c>
      <c r="G1208" s="1" t="str">
        <f>TEXT(Table1[[#This Row],[Enrollment date]], "mmm")</f>
        <v>Jun</v>
      </c>
      <c r="H1208" t="s">
        <v>3</v>
      </c>
      <c r="I1208" t="s">
        <v>661</v>
      </c>
      <c r="J1208" t="str">
        <f>_xlfn.XLOOKUP(Table1[[#This Row],[Course ]], CCF!B:B, CCF!A:A)</f>
        <v>DA202</v>
      </c>
      <c r="K1208" t="s">
        <v>363</v>
      </c>
      <c r="L1208">
        <f>_xlfn.XLOOKUP(K1208, CCF!B:B, CCF!C:C)</f>
        <v>79999</v>
      </c>
      <c r="M1208" t="s">
        <v>27</v>
      </c>
    </row>
    <row r="1209" spans="1:13" x14ac:dyDescent="0.3">
      <c r="A1209">
        <v>1208</v>
      </c>
      <c r="B1209" t="s">
        <v>1870</v>
      </c>
      <c r="C1209" s="3">
        <v>97614</v>
      </c>
      <c r="D1209" t="s">
        <v>666</v>
      </c>
      <c r="E1209">
        <v>51</v>
      </c>
      <c r="F1209" s="1">
        <v>45465</v>
      </c>
      <c r="G1209" s="1" t="str">
        <f>TEXT(Table1[[#This Row],[Enrollment date]], "mmm")</f>
        <v>Jun</v>
      </c>
      <c r="H1209" t="s">
        <v>360</v>
      </c>
      <c r="I1209" t="s">
        <v>659</v>
      </c>
      <c r="J1209" t="str">
        <f>_xlfn.XLOOKUP(Table1[[#This Row],[Course ]], CCF!B:B, CCF!A:A)</f>
        <v>DM101</v>
      </c>
      <c r="K1209" t="s">
        <v>365</v>
      </c>
      <c r="L1209">
        <f>_xlfn.XLOOKUP(K1209, CCF!B:B, CCF!C:C)</f>
        <v>85499</v>
      </c>
      <c r="M1209" t="s">
        <v>9</v>
      </c>
    </row>
    <row r="1210" spans="1:13" x14ac:dyDescent="0.3">
      <c r="A1210">
        <v>1209</v>
      </c>
      <c r="B1210" t="s">
        <v>1871</v>
      </c>
      <c r="C1210" s="3">
        <v>56509</v>
      </c>
      <c r="D1210" t="s">
        <v>666</v>
      </c>
      <c r="E1210">
        <v>37</v>
      </c>
      <c r="F1210" s="1">
        <v>45465</v>
      </c>
      <c r="G1210" s="1" t="str">
        <f>TEXT(Table1[[#This Row],[Enrollment date]], "mmm")</f>
        <v>Jun</v>
      </c>
      <c r="H1210" t="s">
        <v>360</v>
      </c>
      <c r="I1210" t="s">
        <v>661</v>
      </c>
      <c r="J1210" t="str">
        <f>_xlfn.XLOOKUP(Table1[[#This Row],[Course ]], CCF!B:B, CCF!A:A)</f>
        <v>DM101</v>
      </c>
      <c r="K1210" t="s">
        <v>365</v>
      </c>
      <c r="L1210">
        <f>_xlfn.XLOOKUP(K1210, CCF!B:B, CCF!C:C)</f>
        <v>85499</v>
      </c>
      <c r="M1210" t="s">
        <v>247</v>
      </c>
    </row>
    <row r="1211" spans="1:13" x14ac:dyDescent="0.3">
      <c r="A1211">
        <v>1210</v>
      </c>
      <c r="B1211" t="s">
        <v>1872</v>
      </c>
      <c r="C1211" s="3">
        <v>32227</v>
      </c>
      <c r="D1211" t="s">
        <v>666</v>
      </c>
      <c r="E1211">
        <v>37</v>
      </c>
      <c r="F1211" s="1">
        <v>45466</v>
      </c>
      <c r="G1211" s="1" t="str">
        <f>TEXT(Table1[[#This Row],[Enrollment date]], "mmm")</f>
        <v>Jun</v>
      </c>
      <c r="H1211" t="s">
        <v>360</v>
      </c>
      <c r="I1211" t="s">
        <v>659</v>
      </c>
      <c r="J1211" t="str">
        <f>_xlfn.XLOOKUP(Table1[[#This Row],[Course ]], CCF!B:B, CCF!A:A)</f>
        <v>DA202</v>
      </c>
      <c r="K1211" t="s">
        <v>363</v>
      </c>
      <c r="L1211">
        <f>_xlfn.XLOOKUP(K1211, CCF!B:B, CCF!C:C)</f>
        <v>79999</v>
      </c>
      <c r="M1211" t="s">
        <v>64</v>
      </c>
    </row>
    <row r="1212" spans="1:13" x14ac:dyDescent="0.3">
      <c r="A1212">
        <v>1211</v>
      </c>
      <c r="B1212" t="s">
        <v>1873</v>
      </c>
      <c r="C1212" s="3">
        <v>58027</v>
      </c>
      <c r="D1212" t="s">
        <v>666</v>
      </c>
      <c r="E1212">
        <v>19</v>
      </c>
      <c r="F1212" s="1">
        <v>45466</v>
      </c>
      <c r="G1212" s="1" t="str">
        <f>TEXT(Table1[[#This Row],[Enrollment date]], "mmm")</f>
        <v>Jun</v>
      </c>
      <c r="H1212" t="s">
        <v>360</v>
      </c>
      <c r="I1212" t="s">
        <v>663</v>
      </c>
      <c r="J1212" t="str">
        <f>_xlfn.XLOOKUP(Table1[[#This Row],[Course ]], CCF!B:B, CCF!A:A)</f>
        <v>DM101</v>
      </c>
      <c r="K1212" t="s">
        <v>365</v>
      </c>
      <c r="L1212">
        <f>_xlfn.XLOOKUP(K1212, CCF!B:B, CCF!C:C)</f>
        <v>85499</v>
      </c>
      <c r="M1212" t="s">
        <v>27</v>
      </c>
    </row>
    <row r="1213" spans="1:13" x14ac:dyDescent="0.3">
      <c r="A1213">
        <v>1212</v>
      </c>
      <c r="B1213" t="s">
        <v>1874</v>
      </c>
      <c r="C1213" s="3">
        <v>21462</v>
      </c>
      <c r="D1213" t="s">
        <v>666</v>
      </c>
      <c r="E1213">
        <v>23</v>
      </c>
      <c r="F1213" s="1">
        <v>45466</v>
      </c>
      <c r="G1213" s="1" t="str">
        <f>TEXT(Table1[[#This Row],[Enrollment date]], "mmm")</f>
        <v>Jun</v>
      </c>
      <c r="H1213" t="s">
        <v>3</v>
      </c>
      <c r="I1213" t="s">
        <v>660</v>
      </c>
      <c r="J1213" t="str">
        <f>_xlfn.XLOOKUP(Table1[[#This Row],[Course ]], CCF!B:B, CCF!A:A)</f>
        <v>BA301</v>
      </c>
      <c r="K1213" t="s">
        <v>364</v>
      </c>
      <c r="L1213">
        <f>_xlfn.XLOOKUP(K1213, CCF!B:B, CCF!C:C)</f>
        <v>59999</v>
      </c>
      <c r="M1213" t="s">
        <v>50</v>
      </c>
    </row>
    <row r="1214" spans="1:13" x14ac:dyDescent="0.3">
      <c r="A1214">
        <v>1213</v>
      </c>
      <c r="B1214" t="s">
        <v>1875</v>
      </c>
      <c r="C1214" s="3">
        <v>48287</v>
      </c>
      <c r="D1214" t="s">
        <v>666</v>
      </c>
      <c r="E1214">
        <v>44</v>
      </c>
      <c r="F1214" s="1">
        <v>45466</v>
      </c>
      <c r="G1214" s="1" t="str">
        <f>TEXT(Table1[[#This Row],[Enrollment date]], "mmm")</f>
        <v>Jun</v>
      </c>
      <c r="H1214" t="s">
        <v>360</v>
      </c>
      <c r="I1214" t="s">
        <v>662</v>
      </c>
      <c r="J1214" t="str">
        <f>_xlfn.XLOOKUP(Table1[[#This Row],[Course ]], CCF!B:B, CCF!A:A)</f>
        <v>DA202</v>
      </c>
      <c r="K1214" t="s">
        <v>363</v>
      </c>
      <c r="L1214">
        <f>_xlfn.XLOOKUP(K1214, CCF!B:B, CCF!C:C)</f>
        <v>79999</v>
      </c>
      <c r="M1214" t="s">
        <v>17</v>
      </c>
    </row>
    <row r="1215" spans="1:13" x14ac:dyDescent="0.3">
      <c r="A1215">
        <v>1214</v>
      </c>
      <c r="B1215" t="s">
        <v>1876</v>
      </c>
      <c r="C1215" s="3">
        <v>11700</v>
      </c>
      <c r="D1215" t="s">
        <v>666</v>
      </c>
      <c r="E1215">
        <v>59</v>
      </c>
      <c r="F1215" s="1">
        <v>45466</v>
      </c>
      <c r="G1215" s="1" t="str">
        <f>TEXT(Table1[[#This Row],[Enrollment date]], "mmm")</f>
        <v>Jun</v>
      </c>
      <c r="H1215" t="s">
        <v>360</v>
      </c>
      <c r="I1215" t="s">
        <v>660</v>
      </c>
      <c r="J1215" t="str">
        <f>_xlfn.XLOOKUP(Table1[[#This Row],[Course ]], CCF!B:B, CCF!A:A)</f>
        <v>DA202</v>
      </c>
      <c r="K1215" t="s">
        <v>363</v>
      </c>
      <c r="L1215">
        <f>_xlfn.XLOOKUP(K1215, CCF!B:B, CCF!C:C)</f>
        <v>79999</v>
      </c>
      <c r="M1215" t="s">
        <v>216</v>
      </c>
    </row>
    <row r="1216" spans="1:13" x14ac:dyDescent="0.3">
      <c r="A1216">
        <v>1215</v>
      </c>
      <c r="B1216" t="s">
        <v>1877</v>
      </c>
      <c r="C1216" s="3">
        <v>96034</v>
      </c>
      <c r="D1216" t="s">
        <v>666</v>
      </c>
      <c r="E1216">
        <v>26</v>
      </c>
      <c r="F1216" s="1">
        <v>45466</v>
      </c>
      <c r="G1216" s="1" t="str">
        <f>TEXT(Table1[[#This Row],[Enrollment date]], "mmm")</f>
        <v>Jun</v>
      </c>
      <c r="H1216" t="s">
        <v>360</v>
      </c>
      <c r="I1216" t="s">
        <v>659</v>
      </c>
      <c r="J1216" t="str">
        <f>_xlfn.XLOOKUP(Table1[[#This Row],[Course ]], CCF!B:B, CCF!A:A)</f>
        <v>DA202</v>
      </c>
      <c r="K1216" t="s">
        <v>363</v>
      </c>
      <c r="L1216">
        <f>_xlfn.XLOOKUP(K1216, CCF!B:B, CCF!C:C)</f>
        <v>79999</v>
      </c>
      <c r="M1216" t="s">
        <v>109</v>
      </c>
    </row>
    <row r="1217" spans="1:13" x14ac:dyDescent="0.3">
      <c r="A1217">
        <v>1216</v>
      </c>
      <c r="B1217" t="s">
        <v>1878</v>
      </c>
      <c r="C1217" s="3">
        <v>15005</v>
      </c>
      <c r="D1217" t="s">
        <v>666</v>
      </c>
      <c r="E1217">
        <v>38</v>
      </c>
      <c r="F1217" s="1">
        <v>45467</v>
      </c>
      <c r="G1217" s="1" t="str">
        <f>TEXT(Table1[[#This Row],[Enrollment date]], "mmm")</f>
        <v>Jun</v>
      </c>
      <c r="H1217" t="s">
        <v>360</v>
      </c>
      <c r="I1217" t="s">
        <v>660</v>
      </c>
      <c r="J1217" t="str">
        <f>_xlfn.XLOOKUP(Table1[[#This Row],[Course ]], CCF!B:B, CCF!A:A)</f>
        <v>DM101</v>
      </c>
      <c r="K1217" t="s">
        <v>365</v>
      </c>
      <c r="L1217">
        <f>_xlfn.XLOOKUP(K1217, CCF!B:B, CCF!C:C)</f>
        <v>85499</v>
      </c>
      <c r="M1217" t="s">
        <v>427</v>
      </c>
    </row>
    <row r="1218" spans="1:13" x14ac:dyDescent="0.3">
      <c r="A1218">
        <v>1217</v>
      </c>
      <c r="B1218" t="s">
        <v>1879</v>
      </c>
      <c r="C1218" s="3">
        <v>17606</v>
      </c>
      <c r="D1218" t="s">
        <v>666</v>
      </c>
      <c r="E1218">
        <v>43</v>
      </c>
      <c r="F1218" s="1">
        <v>45467</v>
      </c>
      <c r="G1218" s="1" t="str">
        <f>TEXT(Table1[[#This Row],[Enrollment date]], "mmm")</f>
        <v>Jun</v>
      </c>
      <c r="H1218" t="s">
        <v>360</v>
      </c>
      <c r="I1218" t="s">
        <v>660</v>
      </c>
      <c r="J1218" t="str">
        <f>_xlfn.XLOOKUP(Table1[[#This Row],[Course ]], CCF!B:B, CCF!A:A)</f>
        <v>DA202</v>
      </c>
      <c r="K1218" t="s">
        <v>363</v>
      </c>
      <c r="L1218">
        <f>_xlfn.XLOOKUP(K1218, CCF!B:B, CCF!C:C)</f>
        <v>79999</v>
      </c>
      <c r="M1218" t="s">
        <v>18</v>
      </c>
    </row>
    <row r="1219" spans="1:13" x14ac:dyDescent="0.3">
      <c r="A1219">
        <v>1218</v>
      </c>
      <c r="B1219" t="s">
        <v>1880</v>
      </c>
      <c r="C1219" s="3">
        <v>48103</v>
      </c>
      <c r="D1219" t="s">
        <v>666</v>
      </c>
      <c r="E1219">
        <v>62</v>
      </c>
      <c r="F1219" s="1">
        <v>45467</v>
      </c>
      <c r="G1219" s="1" t="str">
        <f>TEXT(Table1[[#This Row],[Enrollment date]], "mmm")</f>
        <v>Jun</v>
      </c>
      <c r="H1219" t="s">
        <v>3</v>
      </c>
      <c r="I1219" t="s">
        <v>661</v>
      </c>
      <c r="J1219" t="str">
        <f>_xlfn.XLOOKUP(Table1[[#This Row],[Course ]], CCF!B:B, CCF!A:A)</f>
        <v>DA202</v>
      </c>
      <c r="K1219" t="s">
        <v>363</v>
      </c>
      <c r="L1219">
        <f>_xlfn.XLOOKUP(K1219, CCF!B:B, CCF!C:C)</f>
        <v>79999</v>
      </c>
      <c r="M1219" t="s">
        <v>533</v>
      </c>
    </row>
    <row r="1220" spans="1:13" x14ac:dyDescent="0.3">
      <c r="A1220">
        <v>1219</v>
      </c>
      <c r="B1220" t="s">
        <v>1881</v>
      </c>
      <c r="C1220" s="3">
        <v>57017</v>
      </c>
      <c r="D1220" t="s">
        <v>666</v>
      </c>
      <c r="E1220">
        <v>32</v>
      </c>
      <c r="F1220" s="1">
        <v>45467</v>
      </c>
      <c r="G1220" s="1" t="str">
        <f>TEXT(Table1[[#This Row],[Enrollment date]], "mmm")</f>
        <v>Jun</v>
      </c>
      <c r="H1220" t="s">
        <v>360</v>
      </c>
      <c r="I1220" t="s">
        <v>661</v>
      </c>
      <c r="J1220" t="str">
        <f>_xlfn.XLOOKUP(Table1[[#This Row],[Course ]], CCF!B:B, CCF!A:A)</f>
        <v>DM101</v>
      </c>
      <c r="K1220" t="s">
        <v>365</v>
      </c>
      <c r="L1220">
        <f>_xlfn.XLOOKUP(K1220, CCF!B:B, CCF!C:C)</f>
        <v>85499</v>
      </c>
      <c r="M1220" t="s">
        <v>145</v>
      </c>
    </row>
    <row r="1221" spans="1:13" x14ac:dyDescent="0.3">
      <c r="A1221">
        <v>1220</v>
      </c>
      <c r="B1221" t="s">
        <v>1882</v>
      </c>
      <c r="C1221" s="3">
        <v>39740</v>
      </c>
      <c r="D1221" t="s">
        <v>666</v>
      </c>
      <c r="E1221">
        <v>31</v>
      </c>
      <c r="F1221" s="1">
        <v>45467</v>
      </c>
      <c r="G1221" s="1" t="str">
        <f>TEXT(Table1[[#This Row],[Enrollment date]], "mmm")</f>
        <v>Jun</v>
      </c>
      <c r="H1221" t="s">
        <v>360</v>
      </c>
      <c r="I1221" t="s">
        <v>664</v>
      </c>
      <c r="J1221" t="str">
        <f>_xlfn.XLOOKUP(Table1[[#This Row],[Course ]], CCF!B:B, CCF!A:A)</f>
        <v>FSD103</v>
      </c>
      <c r="K1221" t="s">
        <v>366</v>
      </c>
      <c r="L1221">
        <f>_xlfn.XLOOKUP(K1221, CCF!B:B, CCF!C:C)</f>
        <v>109990</v>
      </c>
      <c r="M1221" t="s">
        <v>181</v>
      </c>
    </row>
    <row r="1222" spans="1:13" x14ac:dyDescent="0.3">
      <c r="A1222">
        <v>1221</v>
      </c>
      <c r="B1222" t="s">
        <v>1883</v>
      </c>
      <c r="C1222" s="3">
        <v>74579</v>
      </c>
      <c r="D1222" t="s">
        <v>666</v>
      </c>
      <c r="E1222">
        <v>39</v>
      </c>
      <c r="F1222" s="1">
        <v>45467</v>
      </c>
      <c r="G1222" s="1" t="str">
        <f>TEXT(Table1[[#This Row],[Enrollment date]], "mmm")</f>
        <v>Jun</v>
      </c>
      <c r="H1222" t="s">
        <v>360</v>
      </c>
      <c r="I1222" t="s">
        <v>660</v>
      </c>
      <c r="J1222" t="str">
        <f>_xlfn.XLOOKUP(Table1[[#This Row],[Course ]], CCF!B:B, CCF!A:A)</f>
        <v>AI001</v>
      </c>
      <c r="K1222" t="s">
        <v>368</v>
      </c>
      <c r="L1222">
        <f>_xlfn.XLOOKUP(K1222, CCF!B:B, CCF!C:C)</f>
        <v>119990</v>
      </c>
      <c r="M1222" t="s">
        <v>9</v>
      </c>
    </row>
    <row r="1223" spans="1:13" x14ac:dyDescent="0.3">
      <c r="A1223">
        <v>1222</v>
      </c>
      <c r="B1223" t="s">
        <v>1884</v>
      </c>
      <c r="C1223" s="3">
        <v>94699</v>
      </c>
      <c r="D1223" t="s">
        <v>667</v>
      </c>
      <c r="E1223">
        <v>73</v>
      </c>
      <c r="F1223" s="1">
        <v>45467</v>
      </c>
      <c r="G1223" s="1" t="str">
        <f>TEXT(Table1[[#This Row],[Enrollment date]], "mmm")</f>
        <v>Jun</v>
      </c>
      <c r="H1223" t="s">
        <v>360</v>
      </c>
      <c r="I1223" t="s">
        <v>660</v>
      </c>
      <c r="J1223" t="str">
        <f>_xlfn.XLOOKUP(Table1[[#This Row],[Course ]], CCF!B:B, CCF!A:A)</f>
        <v>DM101</v>
      </c>
      <c r="K1223" t="s">
        <v>365</v>
      </c>
      <c r="L1223">
        <f>_xlfn.XLOOKUP(K1223, CCF!B:B, CCF!C:C)</f>
        <v>85499</v>
      </c>
      <c r="M1223" t="s">
        <v>16</v>
      </c>
    </row>
    <row r="1224" spans="1:13" x14ac:dyDescent="0.3">
      <c r="A1224">
        <v>1223</v>
      </c>
      <c r="B1224" t="s">
        <v>1885</v>
      </c>
      <c r="C1224" s="3">
        <v>82581</v>
      </c>
      <c r="D1224" t="s">
        <v>667</v>
      </c>
      <c r="E1224">
        <v>24</v>
      </c>
      <c r="F1224" s="1">
        <v>45467</v>
      </c>
      <c r="G1224" s="1" t="str">
        <f>TEXT(Table1[[#This Row],[Enrollment date]], "mmm")</f>
        <v>Jun</v>
      </c>
      <c r="H1224" t="s">
        <v>360</v>
      </c>
      <c r="I1224" t="s">
        <v>659</v>
      </c>
      <c r="J1224" t="str">
        <f>_xlfn.XLOOKUP(Table1[[#This Row],[Course ]], CCF!B:B, CCF!A:A)</f>
        <v>DA202</v>
      </c>
      <c r="K1224" t="s">
        <v>363</v>
      </c>
      <c r="L1224">
        <f>_xlfn.XLOOKUP(K1224, CCF!B:B, CCF!C:C)</f>
        <v>79999</v>
      </c>
      <c r="M1224" t="s">
        <v>73</v>
      </c>
    </row>
    <row r="1225" spans="1:13" x14ac:dyDescent="0.3">
      <c r="A1225">
        <v>1224</v>
      </c>
      <c r="B1225" t="s">
        <v>1886</v>
      </c>
      <c r="C1225" s="3">
        <v>42220</v>
      </c>
      <c r="D1225" t="s">
        <v>666</v>
      </c>
      <c r="E1225">
        <v>41</v>
      </c>
      <c r="F1225" s="1">
        <v>45467</v>
      </c>
      <c r="G1225" s="1" t="str">
        <f>TEXT(Table1[[#This Row],[Enrollment date]], "mmm")</f>
        <v>Jun</v>
      </c>
      <c r="H1225" t="s">
        <v>360</v>
      </c>
      <c r="I1225" t="s">
        <v>665</v>
      </c>
      <c r="J1225" t="str">
        <f>_xlfn.XLOOKUP(Table1[[#This Row],[Course ]], CCF!B:B, CCF!A:A)</f>
        <v>DA202</v>
      </c>
      <c r="K1225" t="s">
        <v>363</v>
      </c>
      <c r="L1225">
        <f>_xlfn.XLOOKUP(K1225, CCF!B:B, CCF!C:C)</f>
        <v>79999</v>
      </c>
      <c r="M1225" t="s">
        <v>25</v>
      </c>
    </row>
    <row r="1226" spans="1:13" x14ac:dyDescent="0.3">
      <c r="A1226">
        <v>1225</v>
      </c>
      <c r="B1226" t="s">
        <v>1887</v>
      </c>
      <c r="C1226" s="3">
        <v>22420</v>
      </c>
      <c r="D1226" t="s">
        <v>666</v>
      </c>
      <c r="E1226">
        <v>62</v>
      </c>
      <c r="F1226" s="1">
        <v>45467</v>
      </c>
      <c r="G1226" s="1" t="str">
        <f>TEXT(Table1[[#This Row],[Enrollment date]], "mmm")</f>
        <v>Jun</v>
      </c>
      <c r="H1226" t="s">
        <v>360</v>
      </c>
      <c r="I1226" t="s">
        <v>660</v>
      </c>
      <c r="J1226" t="str">
        <f>_xlfn.XLOOKUP(Table1[[#This Row],[Course ]], CCF!B:B, CCF!A:A)</f>
        <v>DA202</v>
      </c>
      <c r="K1226" t="s">
        <v>363</v>
      </c>
      <c r="L1226">
        <f>_xlfn.XLOOKUP(K1226, CCF!B:B, CCF!C:C)</f>
        <v>79999</v>
      </c>
      <c r="M1226" t="s">
        <v>238</v>
      </c>
    </row>
    <row r="1227" spans="1:13" x14ac:dyDescent="0.3">
      <c r="A1227">
        <v>1226</v>
      </c>
      <c r="B1227" t="s">
        <v>1888</v>
      </c>
      <c r="C1227" s="3">
        <v>34805</v>
      </c>
      <c r="D1227" t="s">
        <v>666</v>
      </c>
      <c r="E1227">
        <v>20</v>
      </c>
      <c r="F1227" s="1">
        <v>45467</v>
      </c>
      <c r="G1227" s="1" t="str">
        <f>TEXT(Table1[[#This Row],[Enrollment date]], "mmm")</f>
        <v>Jun</v>
      </c>
      <c r="H1227" t="s">
        <v>3</v>
      </c>
      <c r="I1227" t="s">
        <v>660</v>
      </c>
      <c r="J1227" t="str">
        <f>_xlfn.XLOOKUP(Table1[[#This Row],[Course ]], CCF!B:B, CCF!A:A)</f>
        <v>DM101</v>
      </c>
      <c r="K1227" t="s">
        <v>365</v>
      </c>
      <c r="L1227">
        <f>_xlfn.XLOOKUP(K1227, CCF!B:B, CCF!C:C)</f>
        <v>85499</v>
      </c>
      <c r="M1227" t="s">
        <v>172</v>
      </c>
    </row>
    <row r="1228" spans="1:13" x14ac:dyDescent="0.3">
      <c r="A1228">
        <v>1227</v>
      </c>
      <c r="B1228" t="s">
        <v>1889</v>
      </c>
      <c r="C1228" s="3">
        <v>97577</v>
      </c>
      <c r="D1228" t="s">
        <v>666</v>
      </c>
      <c r="E1228">
        <v>28</v>
      </c>
      <c r="F1228" s="1">
        <v>45468</v>
      </c>
      <c r="G1228" s="1" t="str">
        <f>TEXT(Table1[[#This Row],[Enrollment date]], "mmm")</f>
        <v>Jun</v>
      </c>
      <c r="H1228" t="s">
        <v>360</v>
      </c>
      <c r="I1228" t="s">
        <v>665</v>
      </c>
      <c r="J1228" t="str">
        <f>_xlfn.XLOOKUP(Table1[[#This Row],[Course ]], CCF!B:B, CCF!A:A)</f>
        <v>UX401</v>
      </c>
      <c r="K1228" t="s">
        <v>367</v>
      </c>
      <c r="L1228">
        <f>_xlfn.XLOOKUP(K1228, CCF!B:B, CCF!C:C)</f>
        <v>67990</v>
      </c>
      <c r="M1228" t="s">
        <v>20</v>
      </c>
    </row>
    <row r="1229" spans="1:13" x14ac:dyDescent="0.3">
      <c r="A1229">
        <v>1228</v>
      </c>
      <c r="B1229" t="s">
        <v>1890</v>
      </c>
      <c r="C1229" s="3">
        <v>66007</v>
      </c>
      <c r="D1229" t="s">
        <v>667</v>
      </c>
      <c r="E1229">
        <v>60</v>
      </c>
      <c r="F1229" s="1">
        <v>45468</v>
      </c>
      <c r="G1229" s="1" t="str">
        <f>TEXT(Table1[[#This Row],[Enrollment date]], "mmm")</f>
        <v>Jun</v>
      </c>
      <c r="H1229" t="s">
        <v>360</v>
      </c>
      <c r="I1229" t="s">
        <v>659</v>
      </c>
      <c r="J1229" t="str">
        <f>_xlfn.XLOOKUP(Table1[[#This Row],[Course ]], CCF!B:B, CCF!A:A)</f>
        <v>UX401</v>
      </c>
      <c r="K1229" t="s">
        <v>367</v>
      </c>
      <c r="L1229">
        <f>_xlfn.XLOOKUP(K1229, CCF!B:B, CCF!C:C)</f>
        <v>67990</v>
      </c>
      <c r="M1229" t="s">
        <v>239</v>
      </c>
    </row>
    <row r="1230" spans="1:13" x14ac:dyDescent="0.3">
      <c r="A1230">
        <v>1229</v>
      </c>
      <c r="B1230" t="s">
        <v>1891</v>
      </c>
      <c r="C1230" s="3">
        <v>15353</v>
      </c>
      <c r="D1230" t="s">
        <v>666</v>
      </c>
      <c r="E1230">
        <v>44</v>
      </c>
      <c r="F1230" s="1">
        <v>45468</v>
      </c>
      <c r="G1230" s="1" t="str">
        <f>TEXT(Table1[[#This Row],[Enrollment date]], "mmm")</f>
        <v>Jun</v>
      </c>
      <c r="H1230" t="s">
        <v>360</v>
      </c>
      <c r="I1230" t="s">
        <v>660</v>
      </c>
      <c r="J1230" t="str">
        <f>_xlfn.XLOOKUP(Table1[[#This Row],[Course ]], CCF!B:B, CCF!A:A)</f>
        <v>DA202</v>
      </c>
      <c r="K1230" t="s">
        <v>363</v>
      </c>
      <c r="L1230">
        <f>_xlfn.XLOOKUP(K1230, CCF!B:B, CCF!C:C)</f>
        <v>79999</v>
      </c>
      <c r="M1230" t="s">
        <v>43</v>
      </c>
    </row>
    <row r="1231" spans="1:13" x14ac:dyDescent="0.3">
      <c r="A1231">
        <v>1230</v>
      </c>
      <c r="B1231" t="s">
        <v>1892</v>
      </c>
      <c r="C1231" s="3">
        <v>26377</v>
      </c>
      <c r="D1231" t="s">
        <v>666</v>
      </c>
      <c r="E1231">
        <v>46</v>
      </c>
      <c r="F1231" s="1">
        <v>45468</v>
      </c>
      <c r="G1231" s="1" t="str">
        <f>TEXT(Table1[[#This Row],[Enrollment date]], "mmm")</f>
        <v>Jun</v>
      </c>
      <c r="H1231" t="s">
        <v>360</v>
      </c>
      <c r="I1231" t="s">
        <v>662</v>
      </c>
      <c r="J1231" t="str">
        <f>_xlfn.XLOOKUP(Table1[[#This Row],[Course ]], CCF!B:B, CCF!A:A)</f>
        <v>DM101</v>
      </c>
      <c r="K1231" t="s">
        <v>365</v>
      </c>
      <c r="L1231">
        <f>_xlfn.XLOOKUP(K1231, CCF!B:B, CCF!C:C)</f>
        <v>85499</v>
      </c>
      <c r="M1231" t="s">
        <v>47</v>
      </c>
    </row>
    <row r="1232" spans="1:13" x14ac:dyDescent="0.3">
      <c r="A1232">
        <v>1231</v>
      </c>
      <c r="B1232" t="s">
        <v>1893</v>
      </c>
      <c r="C1232" s="3">
        <v>61642</v>
      </c>
      <c r="D1232" t="s">
        <v>666</v>
      </c>
      <c r="E1232">
        <v>32</v>
      </c>
      <c r="F1232" s="1">
        <v>45468</v>
      </c>
      <c r="G1232" s="1" t="str">
        <f>TEXT(Table1[[#This Row],[Enrollment date]], "mmm")</f>
        <v>Jun</v>
      </c>
      <c r="H1232" t="s">
        <v>360</v>
      </c>
      <c r="I1232" t="s">
        <v>659</v>
      </c>
      <c r="J1232" t="str">
        <f>_xlfn.XLOOKUP(Table1[[#This Row],[Course ]], CCF!B:B, CCF!A:A)</f>
        <v>DA202</v>
      </c>
      <c r="K1232" t="s">
        <v>363</v>
      </c>
      <c r="L1232">
        <f>_xlfn.XLOOKUP(K1232, CCF!B:B, CCF!C:C)</f>
        <v>79999</v>
      </c>
      <c r="M1232" t="s">
        <v>65</v>
      </c>
    </row>
    <row r="1233" spans="1:13" x14ac:dyDescent="0.3">
      <c r="A1233">
        <v>1232</v>
      </c>
      <c r="B1233" t="s">
        <v>1894</v>
      </c>
      <c r="C1233" s="3">
        <v>45768</v>
      </c>
      <c r="D1233" t="s">
        <v>667</v>
      </c>
      <c r="E1233">
        <v>45</v>
      </c>
      <c r="F1233" s="1">
        <v>45468</v>
      </c>
      <c r="G1233" s="1" t="str">
        <f>TEXT(Table1[[#This Row],[Enrollment date]], "mmm")</f>
        <v>Jun</v>
      </c>
      <c r="H1233" t="s">
        <v>360</v>
      </c>
      <c r="I1233" t="s">
        <v>661</v>
      </c>
      <c r="J1233" t="str">
        <f>_xlfn.XLOOKUP(Table1[[#This Row],[Course ]], CCF!B:B, CCF!A:A)</f>
        <v>DM101</v>
      </c>
      <c r="K1233" t="s">
        <v>365</v>
      </c>
      <c r="L1233">
        <f>_xlfn.XLOOKUP(K1233, CCF!B:B, CCF!C:C)</f>
        <v>85499</v>
      </c>
      <c r="M1233" t="s">
        <v>2</v>
      </c>
    </row>
    <row r="1234" spans="1:13" x14ac:dyDescent="0.3">
      <c r="A1234">
        <v>1233</v>
      </c>
      <c r="B1234" t="s">
        <v>1895</v>
      </c>
      <c r="C1234" s="3">
        <v>38891</v>
      </c>
      <c r="D1234" t="s">
        <v>666</v>
      </c>
      <c r="E1234">
        <v>46</v>
      </c>
      <c r="F1234" s="1">
        <v>45469</v>
      </c>
      <c r="G1234" s="1" t="str">
        <f>TEXT(Table1[[#This Row],[Enrollment date]], "mmm")</f>
        <v>Jun</v>
      </c>
      <c r="H1234" t="s">
        <v>360</v>
      </c>
      <c r="I1234" t="s">
        <v>665</v>
      </c>
      <c r="J1234" t="str">
        <f>_xlfn.XLOOKUP(Table1[[#This Row],[Course ]], CCF!B:B, CCF!A:A)</f>
        <v>DA202</v>
      </c>
      <c r="K1234" t="s">
        <v>363</v>
      </c>
      <c r="L1234">
        <f>_xlfn.XLOOKUP(K1234, CCF!B:B, CCF!C:C)</f>
        <v>79999</v>
      </c>
      <c r="M1234" t="s">
        <v>147</v>
      </c>
    </row>
    <row r="1235" spans="1:13" x14ac:dyDescent="0.3">
      <c r="A1235">
        <v>1234</v>
      </c>
      <c r="B1235" t="s">
        <v>1896</v>
      </c>
      <c r="C1235" s="3">
        <v>37817</v>
      </c>
      <c r="D1235" t="s">
        <v>667</v>
      </c>
      <c r="E1235">
        <v>23</v>
      </c>
      <c r="F1235" s="1">
        <v>45469</v>
      </c>
      <c r="G1235" s="1" t="str">
        <f>TEXT(Table1[[#This Row],[Enrollment date]], "mmm")</f>
        <v>Jun</v>
      </c>
      <c r="H1235" t="s">
        <v>360</v>
      </c>
      <c r="I1235" t="s">
        <v>659</v>
      </c>
      <c r="J1235" t="str">
        <f>_xlfn.XLOOKUP(Table1[[#This Row],[Course ]], CCF!B:B, CCF!A:A)</f>
        <v>DA202</v>
      </c>
      <c r="K1235" t="s">
        <v>363</v>
      </c>
      <c r="L1235">
        <f>_xlfn.XLOOKUP(K1235, CCF!B:B, CCF!C:C)</f>
        <v>79999</v>
      </c>
      <c r="M1235" t="s">
        <v>20</v>
      </c>
    </row>
    <row r="1236" spans="1:13" x14ac:dyDescent="0.3">
      <c r="A1236">
        <v>1235</v>
      </c>
      <c r="B1236" t="s">
        <v>1897</v>
      </c>
      <c r="C1236" s="3">
        <v>18373</v>
      </c>
      <c r="D1236" t="s">
        <v>666</v>
      </c>
      <c r="E1236">
        <v>71</v>
      </c>
      <c r="F1236" s="1">
        <v>45469</v>
      </c>
      <c r="G1236" s="1" t="str">
        <f>TEXT(Table1[[#This Row],[Enrollment date]], "mmm")</f>
        <v>Jun</v>
      </c>
      <c r="H1236" t="s">
        <v>360</v>
      </c>
      <c r="I1236" t="s">
        <v>660</v>
      </c>
      <c r="J1236" t="str">
        <f>_xlfn.XLOOKUP(Table1[[#This Row],[Course ]], CCF!B:B, CCF!A:A)</f>
        <v>DM101</v>
      </c>
      <c r="K1236" t="s">
        <v>365</v>
      </c>
      <c r="L1236">
        <f>_xlfn.XLOOKUP(K1236, CCF!B:B, CCF!C:C)</f>
        <v>85499</v>
      </c>
      <c r="M1236" t="s">
        <v>9</v>
      </c>
    </row>
    <row r="1237" spans="1:13" x14ac:dyDescent="0.3">
      <c r="A1237">
        <v>1236</v>
      </c>
      <c r="B1237" t="s">
        <v>1898</v>
      </c>
      <c r="C1237" s="3">
        <v>91741</v>
      </c>
      <c r="D1237" t="s">
        <v>666</v>
      </c>
      <c r="E1237">
        <v>48</v>
      </c>
      <c r="F1237" s="1">
        <v>45469</v>
      </c>
      <c r="G1237" s="1" t="str">
        <f>TEXT(Table1[[#This Row],[Enrollment date]], "mmm")</f>
        <v>Jun</v>
      </c>
      <c r="H1237" t="s">
        <v>360</v>
      </c>
      <c r="I1237" t="s">
        <v>661</v>
      </c>
      <c r="J1237" t="str">
        <f>_xlfn.XLOOKUP(Table1[[#This Row],[Course ]], CCF!B:B, CCF!A:A)</f>
        <v>DM101</v>
      </c>
      <c r="K1237" t="s">
        <v>365</v>
      </c>
      <c r="L1237">
        <f>_xlfn.XLOOKUP(K1237, CCF!B:B, CCF!C:C)</f>
        <v>85499</v>
      </c>
      <c r="M1237" t="s">
        <v>91</v>
      </c>
    </row>
    <row r="1238" spans="1:13" x14ac:dyDescent="0.3">
      <c r="A1238">
        <v>1237</v>
      </c>
      <c r="B1238" t="s">
        <v>1899</v>
      </c>
      <c r="C1238" s="3">
        <v>22647</v>
      </c>
      <c r="D1238" t="s">
        <v>666</v>
      </c>
      <c r="E1238">
        <v>36</v>
      </c>
      <c r="F1238" s="1">
        <v>45469</v>
      </c>
      <c r="G1238" s="1" t="str">
        <f>TEXT(Table1[[#This Row],[Enrollment date]], "mmm")</f>
        <v>Jun</v>
      </c>
      <c r="H1238" t="s">
        <v>360</v>
      </c>
      <c r="I1238" t="s">
        <v>660</v>
      </c>
      <c r="J1238" t="str">
        <f>_xlfn.XLOOKUP(Table1[[#This Row],[Course ]], CCF!B:B, CCF!A:A)</f>
        <v>DA202</v>
      </c>
      <c r="K1238" t="s">
        <v>363</v>
      </c>
      <c r="L1238">
        <f>_xlfn.XLOOKUP(K1238, CCF!B:B, CCF!C:C)</f>
        <v>79999</v>
      </c>
      <c r="M1238" t="s">
        <v>265</v>
      </c>
    </row>
    <row r="1239" spans="1:13" x14ac:dyDescent="0.3">
      <c r="A1239">
        <v>1238</v>
      </c>
      <c r="B1239" t="s">
        <v>1900</v>
      </c>
      <c r="C1239" s="3">
        <v>66676</v>
      </c>
      <c r="D1239" t="s">
        <v>666</v>
      </c>
      <c r="E1239">
        <v>31</v>
      </c>
      <c r="F1239" s="1">
        <v>45470</v>
      </c>
      <c r="G1239" s="1" t="str">
        <f>TEXT(Table1[[#This Row],[Enrollment date]], "mmm")</f>
        <v>Jun</v>
      </c>
      <c r="H1239" t="s">
        <v>360</v>
      </c>
      <c r="I1239" t="s">
        <v>665</v>
      </c>
      <c r="J1239" t="str">
        <f>_xlfn.XLOOKUP(Table1[[#This Row],[Course ]], CCF!B:B, CCF!A:A)</f>
        <v>DA202</v>
      </c>
      <c r="K1239" t="s">
        <v>363</v>
      </c>
      <c r="L1239">
        <f>_xlfn.XLOOKUP(K1239, CCF!B:B, CCF!C:C)</f>
        <v>79999</v>
      </c>
      <c r="M1239" t="s">
        <v>18</v>
      </c>
    </row>
    <row r="1240" spans="1:13" x14ac:dyDescent="0.3">
      <c r="A1240">
        <v>1239</v>
      </c>
      <c r="B1240" t="s">
        <v>1901</v>
      </c>
      <c r="C1240" s="3">
        <v>52157</v>
      </c>
      <c r="D1240" t="s">
        <v>667</v>
      </c>
      <c r="E1240">
        <v>40</v>
      </c>
      <c r="F1240" s="1">
        <v>45470</v>
      </c>
      <c r="G1240" s="1" t="str">
        <f>TEXT(Table1[[#This Row],[Enrollment date]], "mmm")</f>
        <v>Jun</v>
      </c>
      <c r="H1240" t="s">
        <v>360</v>
      </c>
      <c r="I1240" t="s">
        <v>661</v>
      </c>
      <c r="J1240" t="str">
        <f>_xlfn.XLOOKUP(Table1[[#This Row],[Course ]], CCF!B:B, CCF!A:A)</f>
        <v>DA202</v>
      </c>
      <c r="K1240" t="s">
        <v>363</v>
      </c>
      <c r="L1240">
        <f>_xlfn.XLOOKUP(K1240, CCF!B:B, CCF!C:C)</f>
        <v>79999</v>
      </c>
      <c r="M1240" t="s">
        <v>443</v>
      </c>
    </row>
    <row r="1241" spans="1:13" x14ac:dyDescent="0.3">
      <c r="A1241">
        <v>1240</v>
      </c>
      <c r="B1241" t="s">
        <v>1902</v>
      </c>
      <c r="C1241" s="3">
        <v>64109</v>
      </c>
      <c r="D1241" t="s">
        <v>666</v>
      </c>
      <c r="E1241">
        <v>49</v>
      </c>
      <c r="F1241" s="1">
        <v>45470</v>
      </c>
      <c r="G1241" s="1" t="str">
        <f>TEXT(Table1[[#This Row],[Enrollment date]], "mmm")</f>
        <v>Jun</v>
      </c>
      <c r="H1241" t="s">
        <v>360</v>
      </c>
      <c r="I1241" t="s">
        <v>659</v>
      </c>
      <c r="J1241" t="str">
        <f>_xlfn.XLOOKUP(Table1[[#This Row],[Course ]], CCF!B:B, CCF!A:A)</f>
        <v>BA301</v>
      </c>
      <c r="K1241" t="s">
        <v>364</v>
      </c>
      <c r="L1241">
        <f>_xlfn.XLOOKUP(K1241, CCF!B:B, CCF!C:C)</f>
        <v>59999</v>
      </c>
      <c r="M1241" t="s">
        <v>18</v>
      </c>
    </row>
    <row r="1242" spans="1:13" x14ac:dyDescent="0.3">
      <c r="A1242">
        <v>1241</v>
      </c>
      <c r="B1242" t="s">
        <v>1903</v>
      </c>
      <c r="C1242" s="3">
        <v>84723</v>
      </c>
      <c r="D1242" t="s">
        <v>667</v>
      </c>
      <c r="E1242">
        <v>42</v>
      </c>
      <c r="F1242" s="1">
        <v>45470</v>
      </c>
      <c r="G1242" s="1" t="str">
        <f>TEXT(Table1[[#This Row],[Enrollment date]], "mmm")</f>
        <v>Jun</v>
      </c>
      <c r="H1242" t="s">
        <v>360</v>
      </c>
      <c r="I1242" t="s">
        <v>661</v>
      </c>
      <c r="J1242" t="str">
        <f>_xlfn.XLOOKUP(Table1[[#This Row],[Course ]], CCF!B:B, CCF!A:A)</f>
        <v>DA202</v>
      </c>
      <c r="K1242" t="s">
        <v>363</v>
      </c>
      <c r="L1242">
        <f>_xlfn.XLOOKUP(K1242, CCF!B:B, CCF!C:C)</f>
        <v>79999</v>
      </c>
      <c r="M1242" t="s">
        <v>9</v>
      </c>
    </row>
    <row r="1243" spans="1:13" x14ac:dyDescent="0.3">
      <c r="A1243">
        <v>1242</v>
      </c>
      <c r="B1243" t="s">
        <v>1904</v>
      </c>
      <c r="C1243" s="3">
        <v>92203</v>
      </c>
      <c r="D1243" t="s">
        <v>666</v>
      </c>
      <c r="E1243">
        <v>35</v>
      </c>
      <c r="F1243" s="1">
        <v>45470</v>
      </c>
      <c r="G1243" s="1" t="str">
        <f>TEXT(Table1[[#This Row],[Enrollment date]], "mmm")</f>
        <v>Jun</v>
      </c>
      <c r="H1243" t="s">
        <v>360</v>
      </c>
      <c r="I1243" t="s">
        <v>661</v>
      </c>
      <c r="J1243" t="str">
        <f>_xlfn.XLOOKUP(Table1[[#This Row],[Course ]], CCF!B:B, CCF!A:A)</f>
        <v>DM101</v>
      </c>
      <c r="K1243" t="s">
        <v>365</v>
      </c>
      <c r="L1243">
        <f>_xlfn.XLOOKUP(K1243, CCF!B:B, CCF!C:C)</f>
        <v>85499</v>
      </c>
      <c r="M1243" t="s">
        <v>86</v>
      </c>
    </row>
    <row r="1244" spans="1:13" x14ac:dyDescent="0.3">
      <c r="A1244">
        <v>1243</v>
      </c>
      <c r="B1244" t="s">
        <v>1905</v>
      </c>
      <c r="C1244" s="3">
        <v>54549</v>
      </c>
      <c r="D1244" t="s">
        <v>667</v>
      </c>
      <c r="E1244">
        <v>32</v>
      </c>
      <c r="F1244" s="1">
        <v>45470</v>
      </c>
      <c r="G1244" s="1" t="str">
        <f>TEXT(Table1[[#This Row],[Enrollment date]], "mmm")</f>
        <v>Jun</v>
      </c>
      <c r="H1244" t="s">
        <v>360</v>
      </c>
      <c r="I1244" t="s">
        <v>661</v>
      </c>
      <c r="J1244" t="str">
        <f>_xlfn.XLOOKUP(Table1[[#This Row],[Course ]], CCF!B:B, CCF!A:A)</f>
        <v>FSD103</v>
      </c>
      <c r="K1244" t="s">
        <v>366</v>
      </c>
      <c r="L1244">
        <f>_xlfn.XLOOKUP(K1244, CCF!B:B, CCF!C:C)</f>
        <v>109990</v>
      </c>
      <c r="M1244" t="s">
        <v>16</v>
      </c>
    </row>
    <row r="1245" spans="1:13" x14ac:dyDescent="0.3">
      <c r="A1245">
        <v>1244</v>
      </c>
      <c r="B1245" t="s">
        <v>1906</v>
      </c>
      <c r="C1245" s="3">
        <v>97206</v>
      </c>
      <c r="D1245" t="s">
        <v>667</v>
      </c>
      <c r="E1245">
        <v>34</v>
      </c>
      <c r="F1245" s="1">
        <v>45471</v>
      </c>
      <c r="G1245" s="1" t="str">
        <f>TEXT(Table1[[#This Row],[Enrollment date]], "mmm")</f>
        <v>Jun</v>
      </c>
      <c r="H1245" t="s">
        <v>360</v>
      </c>
      <c r="I1245" t="s">
        <v>661</v>
      </c>
      <c r="J1245" t="str">
        <f>_xlfn.XLOOKUP(Table1[[#This Row],[Course ]], CCF!B:B, CCF!A:A)</f>
        <v>DA202</v>
      </c>
      <c r="K1245" t="s">
        <v>363</v>
      </c>
      <c r="L1245">
        <f>_xlfn.XLOOKUP(K1245, CCF!B:B, CCF!C:C)</f>
        <v>79999</v>
      </c>
      <c r="M1245" t="s">
        <v>9</v>
      </c>
    </row>
    <row r="1246" spans="1:13" x14ac:dyDescent="0.3">
      <c r="A1246">
        <v>1245</v>
      </c>
      <c r="B1246" t="s">
        <v>1907</v>
      </c>
      <c r="C1246" s="3">
        <v>59344</v>
      </c>
      <c r="D1246" t="s">
        <v>666</v>
      </c>
      <c r="E1246">
        <v>52</v>
      </c>
      <c r="F1246" s="1">
        <v>45471</v>
      </c>
      <c r="G1246" s="1" t="str">
        <f>TEXT(Table1[[#This Row],[Enrollment date]], "mmm")</f>
        <v>Jun</v>
      </c>
      <c r="H1246" t="s">
        <v>360</v>
      </c>
      <c r="I1246" t="s">
        <v>660</v>
      </c>
      <c r="J1246" t="str">
        <f>_xlfn.XLOOKUP(Table1[[#This Row],[Course ]], CCF!B:B, CCF!A:A)</f>
        <v>BA301</v>
      </c>
      <c r="K1246" t="s">
        <v>364</v>
      </c>
      <c r="L1246">
        <f>_xlfn.XLOOKUP(K1246, CCF!B:B, CCF!C:C)</f>
        <v>59999</v>
      </c>
      <c r="M1246" t="s">
        <v>134</v>
      </c>
    </row>
    <row r="1247" spans="1:13" x14ac:dyDescent="0.3">
      <c r="A1247">
        <v>1246</v>
      </c>
      <c r="B1247" t="s">
        <v>1908</v>
      </c>
      <c r="C1247" s="3">
        <v>79570</v>
      </c>
      <c r="D1247" t="s">
        <v>667</v>
      </c>
      <c r="E1247">
        <v>44</v>
      </c>
      <c r="F1247" s="1">
        <v>45471</v>
      </c>
      <c r="G1247" s="1" t="str">
        <f>TEXT(Table1[[#This Row],[Enrollment date]], "mmm")</f>
        <v>Jun</v>
      </c>
      <c r="H1247" t="s">
        <v>360</v>
      </c>
      <c r="I1247" t="s">
        <v>659</v>
      </c>
      <c r="J1247" t="str">
        <f>_xlfn.XLOOKUP(Table1[[#This Row],[Course ]], CCF!B:B, CCF!A:A)</f>
        <v>DM101</v>
      </c>
      <c r="K1247" t="s">
        <v>365</v>
      </c>
      <c r="L1247">
        <f>_xlfn.XLOOKUP(K1247, CCF!B:B, CCF!C:C)</f>
        <v>85499</v>
      </c>
      <c r="M1247" t="s">
        <v>16</v>
      </c>
    </row>
    <row r="1248" spans="1:13" x14ac:dyDescent="0.3">
      <c r="A1248">
        <v>1247</v>
      </c>
      <c r="B1248" t="s">
        <v>1909</v>
      </c>
      <c r="C1248" s="3">
        <v>59400</v>
      </c>
      <c r="D1248" t="s">
        <v>667</v>
      </c>
      <c r="E1248">
        <v>30</v>
      </c>
      <c r="F1248" s="1">
        <v>45471</v>
      </c>
      <c r="G1248" s="1" t="str">
        <f>TEXT(Table1[[#This Row],[Enrollment date]], "mmm")</f>
        <v>Jun</v>
      </c>
      <c r="H1248" t="s">
        <v>360</v>
      </c>
      <c r="I1248" t="s">
        <v>659</v>
      </c>
      <c r="J1248" t="str">
        <f>_xlfn.XLOOKUP(Table1[[#This Row],[Course ]], CCF!B:B, CCF!A:A)</f>
        <v>DM101</v>
      </c>
      <c r="K1248" t="s">
        <v>365</v>
      </c>
      <c r="L1248">
        <f>_xlfn.XLOOKUP(K1248, CCF!B:B, CCF!C:C)</f>
        <v>85499</v>
      </c>
      <c r="M1248" t="s">
        <v>126</v>
      </c>
    </row>
    <row r="1249" spans="1:13" x14ac:dyDescent="0.3">
      <c r="A1249">
        <v>1248</v>
      </c>
      <c r="B1249" t="s">
        <v>1910</v>
      </c>
      <c r="C1249" s="3">
        <v>39370</v>
      </c>
      <c r="D1249" t="s">
        <v>666</v>
      </c>
      <c r="E1249">
        <v>42</v>
      </c>
      <c r="F1249" s="1">
        <v>45471</v>
      </c>
      <c r="G1249" s="1" t="str">
        <f>TEXT(Table1[[#This Row],[Enrollment date]], "mmm")</f>
        <v>Jun</v>
      </c>
      <c r="H1249" t="s">
        <v>360</v>
      </c>
      <c r="I1249" t="s">
        <v>661</v>
      </c>
      <c r="J1249" t="str">
        <f>_xlfn.XLOOKUP(Table1[[#This Row],[Course ]], CCF!B:B, CCF!A:A)</f>
        <v>DM101</v>
      </c>
      <c r="K1249" t="s">
        <v>365</v>
      </c>
      <c r="L1249">
        <f>_xlfn.XLOOKUP(K1249, CCF!B:B, CCF!C:C)</f>
        <v>85499</v>
      </c>
      <c r="M1249" t="s">
        <v>211</v>
      </c>
    </row>
    <row r="1250" spans="1:13" x14ac:dyDescent="0.3">
      <c r="A1250">
        <v>1249</v>
      </c>
      <c r="B1250" t="s">
        <v>1911</v>
      </c>
      <c r="C1250" s="3">
        <v>66392</v>
      </c>
      <c r="D1250" t="s">
        <v>666</v>
      </c>
      <c r="E1250">
        <v>42</v>
      </c>
      <c r="F1250" s="1">
        <v>45471</v>
      </c>
      <c r="G1250" s="1" t="str">
        <f>TEXT(Table1[[#This Row],[Enrollment date]], "mmm")</f>
        <v>Jun</v>
      </c>
      <c r="H1250" t="s">
        <v>360</v>
      </c>
      <c r="I1250" t="s">
        <v>660</v>
      </c>
      <c r="J1250" t="str">
        <f>_xlfn.XLOOKUP(Table1[[#This Row],[Course ]], CCF!B:B, CCF!A:A)</f>
        <v>DA202</v>
      </c>
      <c r="K1250" t="s">
        <v>363</v>
      </c>
      <c r="L1250">
        <f>_xlfn.XLOOKUP(K1250, CCF!B:B, CCF!C:C)</f>
        <v>79999</v>
      </c>
      <c r="M1250" t="s">
        <v>534</v>
      </c>
    </row>
    <row r="1251" spans="1:13" x14ac:dyDescent="0.3">
      <c r="A1251">
        <v>1250</v>
      </c>
      <c r="B1251" t="s">
        <v>1912</v>
      </c>
      <c r="C1251" s="3">
        <v>88848</v>
      </c>
      <c r="D1251" t="s">
        <v>666</v>
      </c>
      <c r="E1251">
        <v>25</v>
      </c>
      <c r="F1251" s="1">
        <v>45471</v>
      </c>
      <c r="G1251" s="1" t="str">
        <f>TEXT(Table1[[#This Row],[Enrollment date]], "mmm")</f>
        <v>Jun</v>
      </c>
      <c r="H1251" t="s">
        <v>360</v>
      </c>
      <c r="I1251" t="s">
        <v>661</v>
      </c>
      <c r="J1251" t="str">
        <f>_xlfn.XLOOKUP(Table1[[#This Row],[Course ]], CCF!B:B, CCF!A:A)</f>
        <v>DA202</v>
      </c>
      <c r="K1251" t="s">
        <v>363</v>
      </c>
      <c r="L1251">
        <f>_xlfn.XLOOKUP(K1251, CCF!B:B, CCF!C:C)</f>
        <v>79999</v>
      </c>
      <c r="M1251" t="s">
        <v>148</v>
      </c>
    </row>
    <row r="1252" spans="1:13" x14ac:dyDescent="0.3">
      <c r="A1252">
        <v>1251</v>
      </c>
      <c r="B1252" t="s">
        <v>1913</v>
      </c>
      <c r="C1252" s="3">
        <v>79662</v>
      </c>
      <c r="D1252" t="s">
        <v>666</v>
      </c>
      <c r="E1252">
        <v>32</v>
      </c>
      <c r="F1252" s="1">
        <v>45471</v>
      </c>
      <c r="G1252" s="1" t="str">
        <f>TEXT(Table1[[#This Row],[Enrollment date]], "mmm")</f>
        <v>Jun</v>
      </c>
      <c r="H1252" t="s">
        <v>360</v>
      </c>
      <c r="I1252" t="s">
        <v>661</v>
      </c>
      <c r="J1252" t="str">
        <f>_xlfn.XLOOKUP(Table1[[#This Row],[Course ]], CCF!B:B, CCF!A:A)</f>
        <v>DA202</v>
      </c>
      <c r="K1252" t="s">
        <v>363</v>
      </c>
      <c r="L1252">
        <f>_xlfn.XLOOKUP(K1252, CCF!B:B, CCF!C:C)</f>
        <v>79999</v>
      </c>
      <c r="M1252" t="s">
        <v>20</v>
      </c>
    </row>
    <row r="1253" spans="1:13" x14ac:dyDescent="0.3">
      <c r="A1253">
        <v>1252</v>
      </c>
      <c r="B1253" t="s">
        <v>1914</v>
      </c>
      <c r="C1253" s="3">
        <v>18938</v>
      </c>
      <c r="D1253" t="s">
        <v>666</v>
      </c>
      <c r="E1253">
        <v>49</v>
      </c>
      <c r="F1253" s="1">
        <v>45472</v>
      </c>
      <c r="G1253" s="1" t="str">
        <f>TEXT(Table1[[#This Row],[Enrollment date]], "mmm")</f>
        <v>Jun</v>
      </c>
      <c r="H1253" t="s">
        <v>360</v>
      </c>
      <c r="I1253" t="s">
        <v>659</v>
      </c>
      <c r="J1253" t="str">
        <f>_xlfn.XLOOKUP(Table1[[#This Row],[Course ]], CCF!B:B, CCF!A:A)</f>
        <v>DM101</v>
      </c>
      <c r="K1253" t="s">
        <v>365</v>
      </c>
      <c r="L1253">
        <f>_xlfn.XLOOKUP(K1253, CCF!B:B, CCF!C:C)</f>
        <v>85499</v>
      </c>
      <c r="M1253" t="s">
        <v>9</v>
      </c>
    </row>
    <row r="1254" spans="1:13" x14ac:dyDescent="0.3">
      <c r="A1254">
        <v>1253</v>
      </c>
      <c r="B1254" t="s">
        <v>1915</v>
      </c>
      <c r="C1254" s="3">
        <v>62541</v>
      </c>
      <c r="D1254" t="s">
        <v>667</v>
      </c>
      <c r="E1254">
        <v>68</v>
      </c>
      <c r="F1254" s="1">
        <v>45472</v>
      </c>
      <c r="G1254" s="1" t="str">
        <f>TEXT(Table1[[#This Row],[Enrollment date]], "mmm")</f>
        <v>Jun</v>
      </c>
      <c r="H1254" t="s">
        <v>360</v>
      </c>
      <c r="I1254" t="s">
        <v>663</v>
      </c>
      <c r="J1254" t="str">
        <f>_xlfn.XLOOKUP(Table1[[#This Row],[Course ]], CCF!B:B, CCF!A:A)</f>
        <v>DA202</v>
      </c>
      <c r="K1254" t="s">
        <v>363</v>
      </c>
      <c r="L1254">
        <f>_xlfn.XLOOKUP(K1254, CCF!B:B, CCF!C:C)</f>
        <v>79999</v>
      </c>
      <c r="M1254" t="s">
        <v>9</v>
      </c>
    </row>
    <row r="1255" spans="1:13" x14ac:dyDescent="0.3">
      <c r="A1255">
        <v>1254</v>
      </c>
      <c r="B1255" t="s">
        <v>1916</v>
      </c>
      <c r="C1255" s="3">
        <v>60946</v>
      </c>
      <c r="D1255" t="s">
        <v>667</v>
      </c>
      <c r="E1255">
        <v>32</v>
      </c>
      <c r="F1255" s="1">
        <v>45472</v>
      </c>
      <c r="G1255" s="1" t="str">
        <f>TEXT(Table1[[#This Row],[Enrollment date]], "mmm")</f>
        <v>Jun</v>
      </c>
      <c r="H1255" t="s">
        <v>360</v>
      </c>
      <c r="I1255" t="s">
        <v>661</v>
      </c>
      <c r="J1255" t="str">
        <f>_xlfn.XLOOKUP(Table1[[#This Row],[Course ]], CCF!B:B, CCF!A:A)</f>
        <v>DA202</v>
      </c>
      <c r="K1255" t="s">
        <v>363</v>
      </c>
      <c r="L1255">
        <f>_xlfn.XLOOKUP(K1255, CCF!B:B, CCF!C:C)</f>
        <v>79999</v>
      </c>
      <c r="M1255" t="s">
        <v>535</v>
      </c>
    </row>
    <row r="1256" spans="1:13" x14ac:dyDescent="0.3">
      <c r="A1256">
        <v>1255</v>
      </c>
      <c r="B1256" t="s">
        <v>1917</v>
      </c>
      <c r="C1256" s="3">
        <v>90835</v>
      </c>
      <c r="D1256" t="s">
        <v>667</v>
      </c>
      <c r="E1256">
        <v>34</v>
      </c>
      <c r="F1256" s="1">
        <v>45472</v>
      </c>
      <c r="G1256" s="1" t="str">
        <f>TEXT(Table1[[#This Row],[Enrollment date]], "mmm")</f>
        <v>Jun</v>
      </c>
      <c r="H1256" t="s">
        <v>360</v>
      </c>
      <c r="I1256" t="s">
        <v>661</v>
      </c>
      <c r="J1256" t="str">
        <f>_xlfn.XLOOKUP(Table1[[#This Row],[Course ]], CCF!B:B, CCF!A:A)</f>
        <v>FSD103</v>
      </c>
      <c r="K1256" t="s">
        <v>366</v>
      </c>
      <c r="L1256">
        <f>_xlfn.XLOOKUP(K1256, CCF!B:B, CCF!C:C)</f>
        <v>109990</v>
      </c>
      <c r="M1256" t="s">
        <v>145</v>
      </c>
    </row>
    <row r="1257" spans="1:13" x14ac:dyDescent="0.3">
      <c r="A1257">
        <v>1256</v>
      </c>
      <c r="B1257" t="s">
        <v>1918</v>
      </c>
      <c r="C1257" s="3">
        <v>45156</v>
      </c>
      <c r="D1257" t="s">
        <v>667</v>
      </c>
      <c r="E1257">
        <v>34</v>
      </c>
      <c r="F1257" s="1">
        <v>45472</v>
      </c>
      <c r="G1257" s="1" t="str">
        <f>TEXT(Table1[[#This Row],[Enrollment date]], "mmm")</f>
        <v>Jun</v>
      </c>
      <c r="H1257" t="s">
        <v>360</v>
      </c>
      <c r="I1257" t="s">
        <v>659</v>
      </c>
      <c r="J1257" t="str">
        <f>_xlfn.XLOOKUP(Table1[[#This Row],[Course ]], CCF!B:B, CCF!A:A)</f>
        <v>DA202</v>
      </c>
      <c r="K1257" t="s">
        <v>363</v>
      </c>
      <c r="L1257">
        <f>_xlfn.XLOOKUP(K1257, CCF!B:B, CCF!C:C)</f>
        <v>79999</v>
      </c>
      <c r="M1257" t="s">
        <v>111</v>
      </c>
    </row>
    <row r="1258" spans="1:13" x14ac:dyDescent="0.3">
      <c r="A1258">
        <v>1257</v>
      </c>
      <c r="B1258" t="s">
        <v>1919</v>
      </c>
      <c r="C1258" s="3">
        <v>46871</v>
      </c>
      <c r="D1258" t="s">
        <v>667</v>
      </c>
      <c r="E1258">
        <v>44</v>
      </c>
      <c r="F1258" s="1">
        <v>45472</v>
      </c>
      <c r="G1258" s="1" t="str">
        <f>TEXT(Table1[[#This Row],[Enrollment date]], "mmm")</f>
        <v>Jun</v>
      </c>
      <c r="H1258" t="s">
        <v>360</v>
      </c>
      <c r="I1258" t="s">
        <v>660</v>
      </c>
      <c r="J1258" t="str">
        <f>_xlfn.XLOOKUP(Table1[[#This Row],[Course ]], CCF!B:B, CCF!A:A)</f>
        <v>DA202</v>
      </c>
      <c r="K1258" t="s">
        <v>363</v>
      </c>
      <c r="L1258">
        <f>_xlfn.XLOOKUP(K1258, CCF!B:B, CCF!C:C)</f>
        <v>79999</v>
      </c>
      <c r="M1258" t="s">
        <v>179</v>
      </c>
    </row>
    <row r="1259" spans="1:13" x14ac:dyDescent="0.3">
      <c r="A1259">
        <v>1258</v>
      </c>
      <c r="B1259" t="s">
        <v>1920</v>
      </c>
      <c r="C1259" s="3">
        <v>90758</v>
      </c>
      <c r="D1259" t="s">
        <v>666</v>
      </c>
      <c r="E1259">
        <v>35</v>
      </c>
      <c r="F1259" s="1">
        <v>45473</v>
      </c>
      <c r="G1259" s="1" t="str">
        <f>TEXT(Table1[[#This Row],[Enrollment date]], "mmm")</f>
        <v>Jun</v>
      </c>
      <c r="H1259" t="s">
        <v>360</v>
      </c>
      <c r="I1259" t="s">
        <v>660</v>
      </c>
      <c r="J1259" t="str">
        <f>_xlfn.XLOOKUP(Table1[[#This Row],[Course ]], CCF!B:B, CCF!A:A)</f>
        <v>DM101</v>
      </c>
      <c r="K1259" t="s">
        <v>365</v>
      </c>
      <c r="L1259">
        <f>_xlfn.XLOOKUP(K1259, CCF!B:B, CCF!C:C)</f>
        <v>85499</v>
      </c>
      <c r="M1259" t="s">
        <v>20</v>
      </c>
    </row>
    <row r="1260" spans="1:13" x14ac:dyDescent="0.3">
      <c r="A1260">
        <v>1259</v>
      </c>
      <c r="B1260" t="s">
        <v>1921</v>
      </c>
      <c r="C1260" s="3">
        <v>78397</v>
      </c>
      <c r="D1260" t="s">
        <v>666</v>
      </c>
      <c r="E1260">
        <v>18</v>
      </c>
      <c r="F1260" s="1">
        <v>45473</v>
      </c>
      <c r="G1260" s="1" t="str">
        <f>TEXT(Table1[[#This Row],[Enrollment date]], "mmm")</f>
        <v>Jun</v>
      </c>
      <c r="H1260" t="s">
        <v>361</v>
      </c>
      <c r="I1260" t="s">
        <v>660</v>
      </c>
      <c r="J1260" t="str">
        <f>_xlfn.XLOOKUP(Table1[[#This Row],[Course ]], CCF!B:B, CCF!A:A)</f>
        <v>UX401</v>
      </c>
      <c r="K1260" t="s">
        <v>367</v>
      </c>
      <c r="L1260">
        <f>_xlfn.XLOOKUP(K1260, CCF!B:B, CCF!C:C)</f>
        <v>67990</v>
      </c>
      <c r="M1260" t="s">
        <v>16</v>
      </c>
    </row>
    <row r="1261" spans="1:13" x14ac:dyDescent="0.3">
      <c r="A1261">
        <v>1260</v>
      </c>
      <c r="B1261" t="s">
        <v>1922</v>
      </c>
      <c r="C1261" s="3">
        <v>83610</v>
      </c>
      <c r="D1261" t="s">
        <v>667</v>
      </c>
      <c r="E1261">
        <v>31</v>
      </c>
      <c r="F1261" s="1">
        <v>45473</v>
      </c>
      <c r="G1261" s="1" t="str">
        <f>TEXT(Table1[[#This Row],[Enrollment date]], "mmm")</f>
        <v>Jun</v>
      </c>
      <c r="H1261" t="s">
        <v>360</v>
      </c>
      <c r="I1261" t="s">
        <v>665</v>
      </c>
      <c r="J1261" t="str">
        <f>_xlfn.XLOOKUP(Table1[[#This Row],[Course ]], CCF!B:B, CCF!A:A)</f>
        <v>DM101</v>
      </c>
      <c r="K1261" t="s">
        <v>365</v>
      </c>
      <c r="L1261">
        <f>_xlfn.XLOOKUP(K1261, CCF!B:B, CCF!C:C)</f>
        <v>85499</v>
      </c>
      <c r="M1261" t="s">
        <v>536</v>
      </c>
    </row>
    <row r="1262" spans="1:13" x14ac:dyDescent="0.3">
      <c r="A1262">
        <v>1261</v>
      </c>
      <c r="B1262" t="s">
        <v>1923</v>
      </c>
      <c r="C1262" s="3">
        <v>58248</v>
      </c>
      <c r="D1262" t="s">
        <v>666</v>
      </c>
      <c r="E1262">
        <v>44</v>
      </c>
      <c r="F1262" s="1">
        <v>45473</v>
      </c>
      <c r="G1262" s="1" t="str">
        <f>TEXT(Table1[[#This Row],[Enrollment date]], "mmm")</f>
        <v>Jun</v>
      </c>
      <c r="H1262" t="s">
        <v>360</v>
      </c>
      <c r="I1262" t="s">
        <v>660</v>
      </c>
      <c r="J1262" t="str">
        <f>_xlfn.XLOOKUP(Table1[[#This Row],[Course ]], CCF!B:B, CCF!A:A)</f>
        <v>DM101</v>
      </c>
      <c r="K1262" t="s">
        <v>365</v>
      </c>
      <c r="L1262">
        <f>_xlfn.XLOOKUP(K1262, CCF!B:B, CCF!C:C)</f>
        <v>85499</v>
      </c>
      <c r="M1262" t="s">
        <v>47</v>
      </c>
    </row>
    <row r="1263" spans="1:13" x14ac:dyDescent="0.3">
      <c r="A1263">
        <v>1262</v>
      </c>
      <c r="B1263" t="s">
        <v>1924</v>
      </c>
      <c r="C1263" s="3">
        <v>22718</v>
      </c>
      <c r="D1263" t="s">
        <v>667</v>
      </c>
      <c r="E1263">
        <v>43</v>
      </c>
      <c r="F1263" s="1">
        <v>45473</v>
      </c>
      <c r="G1263" s="1" t="str">
        <f>TEXT(Table1[[#This Row],[Enrollment date]], "mmm")</f>
        <v>Jun</v>
      </c>
      <c r="H1263" t="s">
        <v>360</v>
      </c>
      <c r="I1263" t="s">
        <v>659</v>
      </c>
      <c r="J1263" t="str">
        <f>_xlfn.XLOOKUP(Table1[[#This Row],[Course ]], CCF!B:B, CCF!A:A)</f>
        <v>BA301</v>
      </c>
      <c r="K1263" t="s">
        <v>364</v>
      </c>
      <c r="L1263">
        <f>_xlfn.XLOOKUP(K1263, CCF!B:B, CCF!C:C)</f>
        <v>59999</v>
      </c>
      <c r="M1263" t="s">
        <v>20</v>
      </c>
    </row>
    <row r="1264" spans="1:13" x14ac:dyDescent="0.3">
      <c r="A1264">
        <v>1263</v>
      </c>
      <c r="B1264" t="s">
        <v>1925</v>
      </c>
      <c r="C1264" s="3">
        <v>23564</v>
      </c>
      <c r="D1264" t="s">
        <v>667</v>
      </c>
      <c r="E1264">
        <v>26</v>
      </c>
      <c r="F1264" s="1">
        <v>45473</v>
      </c>
      <c r="G1264" s="1" t="str">
        <f>TEXT(Table1[[#This Row],[Enrollment date]], "mmm")</f>
        <v>Jun</v>
      </c>
      <c r="H1264" t="s">
        <v>360</v>
      </c>
      <c r="I1264" t="s">
        <v>665</v>
      </c>
      <c r="J1264" t="str">
        <f>_xlfn.XLOOKUP(Table1[[#This Row],[Course ]], CCF!B:B, CCF!A:A)</f>
        <v>DM101</v>
      </c>
      <c r="K1264" t="s">
        <v>365</v>
      </c>
      <c r="L1264">
        <f>_xlfn.XLOOKUP(K1264, CCF!B:B, CCF!C:C)</f>
        <v>85499</v>
      </c>
      <c r="M1264" t="s">
        <v>28</v>
      </c>
    </row>
    <row r="1265" spans="1:13" x14ac:dyDescent="0.3">
      <c r="A1265">
        <v>1264</v>
      </c>
      <c r="B1265" t="s">
        <v>1926</v>
      </c>
      <c r="C1265" s="3">
        <v>36133</v>
      </c>
      <c r="D1265" t="s">
        <v>667</v>
      </c>
      <c r="E1265">
        <v>43</v>
      </c>
      <c r="F1265" s="1">
        <v>45474</v>
      </c>
      <c r="G1265" s="1" t="str">
        <f>TEXT(Table1[[#This Row],[Enrollment date]], "mmm")</f>
        <v>Jul</v>
      </c>
      <c r="H1265" t="s">
        <v>360</v>
      </c>
      <c r="I1265" t="s">
        <v>660</v>
      </c>
      <c r="J1265" t="str">
        <f>_xlfn.XLOOKUP(Table1[[#This Row],[Course ]], CCF!B:B, CCF!A:A)</f>
        <v>DA202</v>
      </c>
      <c r="K1265" t="s">
        <v>363</v>
      </c>
      <c r="L1265">
        <f>_xlfn.XLOOKUP(K1265, CCF!B:B, CCF!C:C)</f>
        <v>79999</v>
      </c>
      <c r="M1265" t="s">
        <v>167</v>
      </c>
    </row>
    <row r="1266" spans="1:13" x14ac:dyDescent="0.3">
      <c r="A1266">
        <v>1265</v>
      </c>
      <c r="B1266" t="s">
        <v>1927</v>
      </c>
      <c r="C1266" s="3">
        <v>36964</v>
      </c>
      <c r="D1266" t="s">
        <v>666</v>
      </c>
      <c r="E1266">
        <v>44</v>
      </c>
      <c r="F1266" s="1">
        <v>45474</v>
      </c>
      <c r="G1266" s="1" t="str">
        <f>TEXT(Table1[[#This Row],[Enrollment date]], "mmm")</f>
        <v>Jul</v>
      </c>
      <c r="H1266" t="s">
        <v>360</v>
      </c>
      <c r="I1266" t="s">
        <v>663</v>
      </c>
      <c r="J1266" t="str">
        <f>_xlfn.XLOOKUP(Table1[[#This Row],[Course ]], CCF!B:B, CCF!A:A)</f>
        <v>DM101</v>
      </c>
      <c r="K1266" t="s">
        <v>365</v>
      </c>
      <c r="L1266">
        <f>_xlfn.XLOOKUP(K1266, CCF!B:B, CCF!C:C)</f>
        <v>85499</v>
      </c>
      <c r="M1266" t="s">
        <v>47</v>
      </c>
    </row>
    <row r="1267" spans="1:13" x14ac:dyDescent="0.3">
      <c r="A1267">
        <v>1266</v>
      </c>
      <c r="B1267" t="s">
        <v>1928</v>
      </c>
      <c r="C1267" s="3">
        <v>93079</v>
      </c>
      <c r="D1267" t="s">
        <v>667</v>
      </c>
      <c r="E1267">
        <v>35</v>
      </c>
      <c r="F1267" s="1">
        <v>45474</v>
      </c>
      <c r="G1267" s="1" t="str">
        <f>TEXT(Table1[[#This Row],[Enrollment date]], "mmm")</f>
        <v>Jul</v>
      </c>
      <c r="H1267" t="s">
        <v>360</v>
      </c>
      <c r="I1267" t="s">
        <v>660</v>
      </c>
      <c r="J1267" t="str">
        <f>_xlfn.XLOOKUP(Table1[[#This Row],[Course ]], CCF!B:B, CCF!A:A)</f>
        <v>DM101</v>
      </c>
      <c r="K1267" t="s">
        <v>365</v>
      </c>
      <c r="L1267">
        <f>_xlfn.XLOOKUP(K1267, CCF!B:B, CCF!C:C)</f>
        <v>85499</v>
      </c>
      <c r="M1267" t="s">
        <v>27</v>
      </c>
    </row>
    <row r="1268" spans="1:13" x14ac:dyDescent="0.3">
      <c r="A1268">
        <v>1267</v>
      </c>
      <c r="B1268" t="s">
        <v>1929</v>
      </c>
      <c r="C1268" s="3">
        <v>58532</v>
      </c>
      <c r="D1268" t="s">
        <v>666</v>
      </c>
      <c r="E1268">
        <v>59</v>
      </c>
      <c r="F1268" s="1">
        <v>45474</v>
      </c>
      <c r="G1268" s="1" t="str">
        <f>TEXT(Table1[[#This Row],[Enrollment date]], "mmm")</f>
        <v>Jul</v>
      </c>
      <c r="H1268" t="s">
        <v>360</v>
      </c>
      <c r="I1268" t="s">
        <v>661</v>
      </c>
      <c r="J1268" t="str">
        <f>_xlfn.XLOOKUP(Table1[[#This Row],[Course ]], CCF!B:B, CCF!A:A)</f>
        <v>DA202</v>
      </c>
      <c r="K1268" t="s">
        <v>363</v>
      </c>
      <c r="L1268">
        <f>_xlfn.XLOOKUP(K1268, CCF!B:B, CCF!C:C)</f>
        <v>79999</v>
      </c>
      <c r="M1268" t="s">
        <v>48</v>
      </c>
    </row>
    <row r="1269" spans="1:13" x14ac:dyDescent="0.3">
      <c r="A1269">
        <v>1268</v>
      </c>
      <c r="B1269" t="s">
        <v>1930</v>
      </c>
      <c r="C1269" s="3">
        <v>13144</v>
      </c>
      <c r="D1269" t="s">
        <v>666</v>
      </c>
      <c r="E1269">
        <v>20</v>
      </c>
      <c r="F1269" s="1">
        <v>45475</v>
      </c>
      <c r="G1269" s="1" t="str">
        <f>TEXT(Table1[[#This Row],[Enrollment date]], "mmm")</f>
        <v>Jul</v>
      </c>
      <c r="H1269" t="s">
        <v>360</v>
      </c>
      <c r="I1269" t="s">
        <v>662</v>
      </c>
      <c r="J1269" t="str">
        <f>_xlfn.XLOOKUP(Table1[[#This Row],[Course ]], CCF!B:B, CCF!A:A)</f>
        <v>DM101</v>
      </c>
      <c r="K1269" t="s">
        <v>365</v>
      </c>
      <c r="L1269">
        <f>_xlfn.XLOOKUP(K1269, CCF!B:B, CCF!C:C)</f>
        <v>85499</v>
      </c>
      <c r="M1269" t="s">
        <v>537</v>
      </c>
    </row>
    <row r="1270" spans="1:13" x14ac:dyDescent="0.3">
      <c r="A1270">
        <v>1269</v>
      </c>
      <c r="B1270" t="s">
        <v>1931</v>
      </c>
      <c r="C1270" s="3">
        <v>27405</v>
      </c>
      <c r="D1270" t="s">
        <v>667</v>
      </c>
      <c r="E1270">
        <v>36</v>
      </c>
      <c r="F1270" s="1">
        <v>45475</v>
      </c>
      <c r="G1270" s="1" t="str">
        <f>TEXT(Table1[[#This Row],[Enrollment date]], "mmm")</f>
        <v>Jul</v>
      </c>
      <c r="H1270" t="s">
        <v>3</v>
      </c>
      <c r="I1270" t="s">
        <v>663</v>
      </c>
      <c r="J1270" t="str">
        <f>_xlfn.XLOOKUP(Table1[[#This Row],[Course ]], CCF!B:B, CCF!A:A)</f>
        <v>DA202</v>
      </c>
      <c r="K1270" t="s">
        <v>363</v>
      </c>
      <c r="L1270">
        <f>_xlfn.XLOOKUP(K1270, CCF!B:B, CCF!C:C)</f>
        <v>79999</v>
      </c>
      <c r="M1270" t="s">
        <v>175</v>
      </c>
    </row>
    <row r="1271" spans="1:13" x14ac:dyDescent="0.3">
      <c r="A1271">
        <v>1270</v>
      </c>
      <c r="B1271" t="s">
        <v>1932</v>
      </c>
      <c r="C1271" s="3">
        <v>64793</v>
      </c>
      <c r="D1271" t="s">
        <v>666</v>
      </c>
      <c r="E1271">
        <v>38</v>
      </c>
      <c r="F1271" s="1">
        <v>45475</v>
      </c>
      <c r="G1271" s="1" t="str">
        <f>TEXT(Table1[[#This Row],[Enrollment date]], "mmm")</f>
        <v>Jul</v>
      </c>
      <c r="H1271" t="s">
        <v>360</v>
      </c>
      <c r="I1271" t="s">
        <v>660</v>
      </c>
      <c r="J1271" t="str">
        <f>_xlfn.XLOOKUP(Table1[[#This Row],[Course ]], CCF!B:B, CCF!A:A)</f>
        <v>DM101</v>
      </c>
      <c r="K1271" t="s">
        <v>365</v>
      </c>
      <c r="L1271">
        <f>_xlfn.XLOOKUP(K1271, CCF!B:B, CCF!C:C)</f>
        <v>85499</v>
      </c>
      <c r="M1271" t="s">
        <v>20</v>
      </c>
    </row>
    <row r="1272" spans="1:13" x14ac:dyDescent="0.3">
      <c r="A1272">
        <v>1271</v>
      </c>
      <c r="B1272" t="s">
        <v>1933</v>
      </c>
      <c r="C1272" s="3">
        <v>26360</v>
      </c>
      <c r="D1272" t="s">
        <v>666</v>
      </c>
      <c r="E1272">
        <v>45</v>
      </c>
      <c r="F1272" s="1">
        <v>45475</v>
      </c>
      <c r="G1272" s="1" t="str">
        <f>TEXT(Table1[[#This Row],[Enrollment date]], "mmm")</f>
        <v>Jul</v>
      </c>
      <c r="H1272" t="s">
        <v>360</v>
      </c>
      <c r="I1272" t="s">
        <v>661</v>
      </c>
      <c r="J1272" t="str">
        <f>_xlfn.XLOOKUP(Table1[[#This Row],[Course ]], CCF!B:B, CCF!A:A)</f>
        <v>BA301</v>
      </c>
      <c r="K1272" t="s">
        <v>364</v>
      </c>
      <c r="L1272">
        <f>_xlfn.XLOOKUP(K1272, CCF!B:B, CCF!C:C)</f>
        <v>59999</v>
      </c>
      <c r="M1272" t="s">
        <v>192</v>
      </c>
    </row>
    <row r="1273" spans="1:13" x14ac:dyDescent="0.3">
      <c r="A1273">
        <v>1272</v>
      </c>
      <c r="B1273" t="s">
        <v>1934</v>
      </c>
      <c r="C1273" s="3">
        <v>41378</v>
      </c>
      <c r="D1273" t="s">
        <v>667</v>
      </c>
      <c r="E1273">
        <v>39</v>
      </c>
      <c r="F1273" s="1">
        <v>45475</v>
      </c>
      <c r="G1273" s="1" t="str">
        <f>TEXT(Table1[[#This Row],[Enrollment date]], "mmm")</f>
        <v>Jul</v>
      </c>
      <c r="H1273" t="s">
        <v>360</v>
      </c>
      <c r="I1273" t="s">
        <v>661</v>
      </c>
      <c r="J1273" t="str">
        <f>_xlfn.XLOOKUP(Table1[[#This Row],[Course ]], CCF!B:B, CCF!A:A)</f>
        <v>DM101</v>
      </c>
      <c r="K1273" t="s">
        <v>365</v>
      </c>
      <c r="L1273">
        <f>_xlfn.XLOOKUP(K1273, CCF!B:B, CCF!C:C)</f>
        <v>85499</v>
      </c>
      <c r="M1273" t="s">
        <v>84</v>
      </c>
    </row>
    <row r="1274" spans="1:13" x14ac:dyDescent="0.3">
      <c r="A1274">
        <v>1273</v>
      </c>
      <c r="B1274" t="s">
        <v>1935</v>
      </c>
      <c r="C1274" s="3">
        <v>41830</v>
      </c>
      <c r="D1274" t="s">
        <v>667</v>
      </c>
      <c r="E1274">
        <v>22</v>
      </c>
      <c r="F1274" s="1">
        <v>45475</v>
      </c>
      <c r="G1274" s="1" t="str">
        <f>TEXT(Table1[[#This Row],[Enrollment date]], "mmm")</f>
        <v>Jul</v>
      </c>
      <c r="H1274" t="s">
        <v>360</v>
      </c>
      <c r="I1274" t="s">
        <v>662</v>
      </c>
      <c r="J1274" t="str">
        <f>_xlfn.XLOOKUP(Table1[[#This Row],[Course ]], CCF!B:B, CCF!A:A)</f>
        <v>DM101</v>
      </c>
      <c r="K1274" t="s">
        <v>365</v>
      </c>
      <c r="L1274">
        <f>_xlfn.XLOOKUP(K1274, CCF!B:B, CCF!C:C)</f>
        <v>85499</v>
      </c>
      <c r="M1274" t="s">
        <v>43</v>
      </c>
    </row>
    <row r="1275" spans="1:13" x14ac:dyDescent="0.3">
      <c r="A1275">
        <v>1274</v>
      </c>
      <c r="B1275" t="s">
        <v>1936</v>
      </c>
      <c r="C1275" s="3">
        <v>78832</v>
      </c>
      <c r="D1275" t="s">
        <v>666</v>
      </c>
      <c r="E1275">
        <v>49</v>
      </c>
      <c r="F1275" s="1">
        <v>45475</v>
      </c>
      <c r="G1275" s="1" t="str">
        <f>TEXT(Table1[[#This Row],[Enrollment date]], "mmm")</f>
        <v>Jul</v>
      </c>
      <c r="H1275" t="s">
        <v>360</v>
      </c>
      <c r="I1275" t="s">
        <v>662</v>
      </c>
      <c r="J1275" t="str">
        <f>_xlfn.XLOOKUP(Table1[[#This Row],[Course ]], CCF!B:B, CCF!A:A)</f>
        <v>DM101</v>
      </c>
      <c r="K1275" t="s">
        <v>365</v>
      </c>
      <c r="L1275">
        <f>_xlfn.XLOOKUP(K1275, CCF!B:B, CCF!C:C)</f>
        <v>85499</v>
      </c>
      <c r="M1275" t="s">
        <v>251</v>
      </c>
    </row>
    <row r="1276" spans="1:13" x14ac:dyDescent="0.3">
      <c r="A1276">
        <v>1275</v>
      </c>
      <c r="B1276" t="s">
        <v>1937</v>
      </c>
      <c r="C1276" s="3">
        <v>28012</v>
      </c>
      <c r="D1276" t="s">
        <v>667</v>
      </c>
      <c r="E1276">
        <v>33</v>
      </c>
      <c r="F1276" s="1">
        <v>45475</v>
      </c>
      <c r="G1276" s="1" t="str">
        <f>TEXT(Table1[[#This Row],[Enrollment date]], "mmm")</f>
        <v>Jul</v>
      </c>
      <c r="H1276" t="s">
        <v>360</v>
      </c>
      <c r="I1276" t="s">
        <v>663</v>
      </c>
      <c r="J1276" t="str">
        <f>_xlfn.XLOOKUP(Table1[[#This Row],[Course ]], CCF!B:B, CCF!A:A)</f>
        <v>UX401</v>
      </c>
      <c r="K1276" t="s">
        <v>367</v>
      </c>
      <c r="L1276">
        <f>_xlfn.XLOOKUP(K1276, CCF!B:B, CCF!C:C)</f>
        <v>67990</v>
      </c>
      <c r="M1276" t="s">
        <v>47</v>
      </c>
    </row>
    <row r="1277" spans="1:13" x14ac:dyDescent="0.3">
      <c r="A1277">
        <v>1276</v>
      </c>
      <c r="B1277" t="s">
        <v>1938</v>
      </c>
      <c r="C1277" s="3">
        <v>80331</v>
      </c>
      <c r="D1277" t="s">
        <v>666</v>
      </c>
      <c r="E1277">
        <v>45</v>
      </c>
      <c r="F1277" s="1">
        <v>45475</v>
      </c>
      <c r="G1277" s="1" t="str">
        <f>TEXT(Table1[[#This Row],[Enrollment date]], "mmm")</f>
        <v>Jul</v>
      </c>
      <c r="H1277" t="s">
        <v>360</v>
      </c>
      <c r="I1277" t="s">
        <v>662</v>
      </c>
      <c r="J1277" t="str">
        <f>_xlfn.XLOOKUP(Table1[[#This Row],[Course ]], CCF!B:B, CCF!A:A)</f>
        <v>BA301</v>
      </c>
      <c r="K1277" t="s">
        <v>364</v>
      </c>
      <c r="L1277">
        <f>_xlfn.XLOOKUP(K1277, CCF!B:B, CCF!C:C)</f>
        <v>59999</v>
      </c>
      <c r="M1277" t="s">
        <v>16</v>
      </c>
    </row>
    <row r="1278" spans="1:13" x14ac:dyDescent="0.3">
      <c r="A1278">
        <v>1277</v>
      </c>
      <c r="B1278" t="s">
        <v>1939</v>
      </c>
      <c r="C1278" s="3">
        <v>35659</v>
      </c>
      <c r="D1278" t="s">
        <v>667</v>
      </c>
      <c r="E1278">
        <v>48</v>
      </c>
      <c r="F1278" s="1">
        <v>45475</v>
      </c>
      <c r="G1278" s="1" t="str">
        <f>TEXT(Table1[[#This Row],[Enrollment date]], "mmm")</f>
        <v>Jul</v>
      </c>
      <c r="H1278" t="s">
        <v>360</v>
      </c>
      <c r="I1278" t="s">
        <v>664</v>
      </c>
      <c r="J1278" t="str">
        <f>_xlfn.XLOOKUP(Table1[[#This Row],[Course ]], CCF!B:B, CCF!A:A)</f>
        <v>DM101</v>
      </c>
      <c r="K1278" t="s">
        <v>365</v>
      </c>
      <c r="L1278">
        <f>_xlfn.XLOOKUP(K1278, CCF!B:B, CCF!C:C)</f>
        <v>85499</v>
      </c>
      <c r="M1278" t="s">
        <v>84</v>
      </c>
    </row>
    <row r="1279" spans="1:13" x14ac:dyDescent="0.3">
      <c r="A1279">
        <v>1278</v>
      </c>
      <c r="B1279" t="s">
        <v>1940</v>
      </c>
      <c r="C1279" s="3">
        <v>85849</v>
      </c>
      <c r="D1279" t="s">
        <v>667</v>
      </c>
      <c r="E1279">
        <v>33</v>
      </c>
      <c r="F1279" s="1">
        <v>45475</v>
      </c>
      <c r="G1279" s="1" t="str">
        <f>TEXT(Table1[[#This Row],[Enrollment date]], "mmm")</f>
        <v>Jul</v>
      </c>
      <c r="H1279" t="s">
        <v>360</v>
      </c>
      <c r="I1279" t="s">
        <v>661</v>
      </c>
      <c r="J1279" t="str">
        <f>_xlfn.XLOOKUP(Table1[[#This Row],[Course ]], CCF!B:B, CCF!A:A)</f>
        <v>DM101</v>
      </c>
      <c r="K1279" t="s">
        <v>365</v>
      </c>
      <c r="L1279">
        <f>_xlfn.XLOOKUP(K1279, CCF!B:B, CCF!C:C)</f>
        <v>85499</v>
      </c>
      <c r="M1279" t="s">
        <v>27</v>
      </c>
    </row>
    <row r="1280" spans="1:13" x14ac:dyDescent="0.3">
      <c r="A1280">
        <v>1279</v>
      </c>
      <c r="B1280" t="s">
        <v>1941</v>
      </c>
      <c r="C1280" s="3">
        <v>20384</v>
      </c>
      <c r="D1280" t="s">
        <v>666</v>
      </c>
      <c r="E1280">
        <v>33</v>
      </c>
      <c r="F1280" s="1">
        <v>45476</v>
      </c>
      <c r="G1280" s="1" t="str">
        <f>TEXT(Table1[[#This Row],[Enrollment date]], "mmm")</f>
        <v>Jul</v>
      </c>
      <c r="H1280" t="s">
        <v>360</v>
      </c>
      <c r="I1280" t="s">
        <v>659</v>
      </c>
      <c r="J1280" t="str">
        <f>_xlfn.XLOOKUP(Table1[[#This Row],[Course ]], CCF!B:B, CCF!A:A)</f>
        <v>DA202</v>
      </c>
      <c r="K1280" t="s">
        <v>363</v>
      </c>
      <c r="L1280">
        <f>_xlfn.XLOOKUP(K1280, CCF!B:B, CCF!C:C)</f>
        <v>79999</v>
      </c>
      <c r="M1280" t="s">
        <v>538</v>
      </c>
    </row>
    <row r="1281" spans="1:13" x14ac:dyDescent="0.3">
      <c r="A1281">
        <v>1280</v>
      </c>
      <c r="B1281" t="s">
        <v>1942</v>
      </c>
      <c r="C1281" s="3">
        <v>13475</v>
      </c>
      <c r="D1281" t="s">
        <v>666</v>
      </c>
      <c r="E1281">
        <v>26</v>
      </c>
      <c r="F1281" s="1">
        <v>45476</v>
      </c>
      <c r="G1281" s="1" t="str">
        <f>TEXT(Table1[[#This Row],[Enrollment date]], "mmm")</f>
        <v>Jul</v>
      </c>
      <c r="H1281" t="s">
        <v>3</v>
      </c>
      <c r="I1281" t="s">
        <v>660</v>
      </c>
      <c r="J1281" t="str">
        <f>_xlfn.XLOOKUP(Table1[[#This Row],[Course ]], CCF!B:B, CCF!A:A)</f>
        <v>DA202</v>
      </c>
      <c r="K1281" t="s">
        <v>363</v>
      </c>
      <c r="L1281">
        <f>_xlfn.XLOOKUP(K1281, CCF!B:B, CCF!C:C)</f>
        <v>79999</v>
      </c>
      <c r="M1281" t="s">
        <v>344</v>
      </c>
    </row>
    <row r="1282" spans="1:13" x14ac:dyDescent="0.3">
      <c r="A1282">
        <v>1281</v>
      </c>
      <c r="B1282" t="s">
        <v>1943</v>
      </c>
      <c r="C1282" s="3">
        <v>14254</v>
      </c>
      <c r="D1282" t="s">
        <v>667</v>
      </c>
      <c r="E1282">
        <v>30</v>
      </c>
      <c r="F1282" s="1">
        <v>45476</v>
      </c>
      <c r="G1282" s="1" t="str">
        <f>TEXT(Table1[[#This Row],[Enrollment date]], "mmm")</f>
        <v>Jul</v>
      </c>
      <c r="H1282" t="s">
        <v>360</v>
      </c>
      <c r="I1282" t="s">
        <v>659</v>
      </c>
      <c r="J1282" t="str">
        <f>_xlfn.XLOOKUP(Table1[[#This Row],[Course ]], CCF!B:B, CCF!A:A)</f>
        <v>BA301</v>
      </c>
      <c r="K1282" t="s">
        <v>364</v>
      </c>
      <c r="L1282">
        <f>_xlfn.XLOOKUP(K1282, CCF!B:B, CCF!C:C)</f>
        <v>59999</v>
      </c>
      <c r="M1282" t="s">
        <v>343</v>
      </c>
    </row>
    <row r="1283" spans="1:13" x14ac:dyDescent="0.3">
      <c r="A1283">
        <v>1282</v>
      </c>
      <c r="B1283" t="s">
        <v>1944</v>
      </c>
      <c r="C1283" s="3">
        <v>90681</v>
      </c>
      <c r="D1283" t="s">
        <v>667</v>
      </c>
      <c r="E1283">
        <v>40</v>
      </c>
      <c r="F1283" s="1">
        <v>45476</v>
      </c>
      <c r="G1283" s="1" t="str">
        <f>TEXT(Table1[[#This Row],[Enrollment date]], "mmm")</f>
        <v>Jul</v>
      </c>
      <c r="H1283" t="s">
        <v>361</v>
      </c>
      <c r="I1283" t="s">
        <v>660</v>
      </c>
      <c r="J1283" t="str">
        <f>_xlfn.XLOOKUP(Table1[[#This Row],[Course ]], CCF!B:B, CCF!A:A)</f>
        <v>DA202</v>
      </c>
      <c r="K1283" t="s">
        <v>363</v>
      </c>
      <c r="L1283">
        <f>_xlfn.XLOOKUP(K1283, CCF!B:B, CCF!C:C)</f>
        <v>79999</v>
      </c>
      <c r="M1283" t="s">
        <v>29</v>
      </c>
    </row>
    <row r="1284" spans="1:13" x14ac:dyDescent="0.3">
      <c r="A1284">
        <v>1283</v>
      </c>
      <c r="B1284" t="s">
        <v>1945</v>
      </c>
      <c r="C1284" s="3">
        <v>48631</v>
      </c>
      <c r="D1284" t="s">
        <v>666</v>
      </c>
      <c r="E1284">
        <v>30</v>
      </c>
      <c r="F1284" s="1">
        <v>45476</v>
      </c>
      <c r="G1284" s="1" t="str">
        <f>TEXT(Table1[[#This Row],[Enrollment date]], "mmm")</f>
        <v>Jul</v>
      </c>
      <c r="H1284" t="s">
        <v>360</v>
      </c>
      <c r="I1284" t="s">
        <v>660</v>
      </c>
      <c r="J1284" t="str">
        <f>_xlfn.XLOOKUP(Table1[[#This Row],[Course ]], CCF!B:B, CCF!A:A)</f>
        <v>BA301</v>
      </c>
      <c r="K1284" t="s">
        <v>364</v>
      </c>
      <c r="L1284">
        <f>_xlfn.XLOOKUP(K1284, CCF!B:B, CCF!C:C)</f>
        <v>59999</v>
      </c>
      <c r="M1284" t="s">
        <v>84</v>
      </c>
    </row>
    <row r="1285" spans="1:13" x14ac:dyDescent="0.3">
      <c r="A1285">
        <v>1284</v>
      </c>
      <c r="B1285" t="s">
        <v>1946</v>
      </c>
      <c r="C1285" s="3">
        <v>69949</v>
      </c>
      <c r="D1285" t="s">
        <v>666</v>
      </c>
      <c r="E1285">
        <v>58</v>
      </c>
      <c r="F1285" s="1">
        <v>45476</v>
      </c>
      <c r="G1285" s="1" t="str">
        <f>TEXT(Table1[[#This Row],[Enrollment date]], "mmm")</f>
        <v>Jul</v>
      </c>
      <c r="H1285" t="s">
        <v>360</v>
      </c>
      <c r="I1285" t="s">
        <v>659</v>
      </c>
      <c r="J1285" t="str">
        <f>_xlfn.XLOOKUP(Table1[[#This Row],[Course ]], CCF!B:B, CCF!A:A)</f>
        <v>DM101</v>
      </c>
      <c r="K1285" t="s">
        <v>365</v>
      </c>
      <c r="L1285">
        <f>_xlfn.XLOOKUP(K1285, CCF!B:B, CCF!C:C)</f>
        <v>85499</v>
      </c>
      <c r="M1285" t="s">
        <v>9</v>
      </c>
    </row>
    <row r="1286" spans="1:13" x14ac:dyDescent="0.3">
      <c r="A1286">
        <v>1285</v>
      </c>
      <c r="B1286" t="s">
        <v>1947</v>
      </c>
      <c r="C1286" s="3">
        <v>86958</v>
      </c>
      <c r="D1286" t="s">
        <v>666</v>
      </c>
      <c r="E1286">
        <v>40</v>
      </c>
      <c r="F1286" s="1">
        <v>45476</v>
      </c>
      <c r="G1286" s="1" t="str">
        <f>TEXT(Table1[[#This Row],[Enrollment date]], "mmm")</f>
        <v>Jul</v>
      </c>
      <c r="H1286" t="s">
        <v>360</v>
      </c>
      <c r="I1286" t="s">
        <v>659</v>
      </c>
      <c r="J1286" t="str">
        <f>_xlfn.XLOOKUP(Table1[[#This Row],[Course ]], CCF!B:B, CCF!A:A)</f>
        <v>DA202</v>
      </c>
      <c r="K1286" t="s">
        <v>363</v>
      </c>
      <c r="L1286">
        <f>_xlfn.XLOOKUP(K1286, CCF!B:B, CCF!C:C)</f>
        <v>79999</v>
      </c>
      <c r="M1286" t="s">
        <v>539</v>
      </c>
    </row>
    <row r="1287" spans="1:13" x14ac:dyDescent="0.3">
      <c r="A1287">
        <v>1286</v>
      </c>
      <c r="B1287" t="s">
        <v>1948</v>
      </c>
      <c r="C1287" s="3">
        <v>66845</v>
      </c>
      <c r="D1287" t="s">
        <v>666</v>
      </c>
      <c r="E1287">
        <v>58</v>
      </c>
      <c r="F1287" s="1">
        <v>45476</v>
      </c>
      <c r="G1287" s="1" t="str">
        <f>TEXT(Table1[[#This Row],[Enrollment date]], "mmm")</f>
        <v>Jul</v>
      </c>
      <c r="H1287" t="s">
        <v>360</v>
      </c>
      <c r="I1287" t="s">
        <v>659</v>
      </c>
      <c r="J1287" t="str">
        <f>_xlfn.XLOOKUP(Table1[[#This Row],[Course ]], CCF!B:B, CCF!A:A)</f>
        <v>DM101</v>
      </c>
      <c r="K1287" t="s">
        <v>365</v>
      </c>
      <c r="L1287">
        <f>_xlfn.XLOOKUP(K1287, CCF!B:B, CCF!C:C)</f>
        <v>85499</v>
      </c>
      <c r="M1287" t="s">
        <v>223</v>
      </c>
    </row>
    <row r="1288" spans="1:13" x14ac:dyDescent="0.3">
      <c r="A1288">
        <v>1287</v>
      </c>
      <c r="B1288" t="s">
        <v>1949</v>
      </c>
      <c r="C1288" s="3">
        <v>64870</v>
      </c>
      <c r="D1288" t="s">
        <v>667</v>
      </c>
      <c r="E1288">
        <v>72</v>
      </c>
      <c r="F1288" s="1">
        <v>45476</v>
      </c>
      <c r="G1288" s="1" t="str">
        <f>TEXT(Table1[[#This Row],[Enrollment date]], "mmm")</f>
        <v>Jul</v>
      </c>
      <c r="H1288" t="s">
        <v>360</v>
      </c>
      <c r="I1288" t="s">
        <v>661</v>
      </c>
      <c r="J1288" t="str">
        <f>_xlfn.XLOOKUP(Table1[[#This Row],[Course ]], CCF!B:B, CCF!A:A)</f>
        <v>DM101</v>
      </c>
      <c r="K1288" t="s">
        <v>365</v>
      </c>
      <c r="L1288">
        <f>_xlfn.XLOOKUP(K1288, CCF!B:B, CCF!C:C)</f>
        <v>85499</v>
      </c>
      <c r="M1288" t="s">
        <v>134</v>
      </c>
    </row>
    <row r="1289" spans="1:13" x14ac:dyDescent="0.3">
      <c r="A1289">
        <v>1288</v>
      </c>
      <c r="B1289" t="s">
        <v>1950</v>
      </c>
      <c r="C1289" s="3">
        <v>72974</v>
      </c>
      <c r="D1289" t="s">
        <v>666</v>
      </c>
      <c r="E1289">
        <v>39</v>
      </c>
      <c r="F1289" s="1">
        <v>45476</v>
      </c>
      <c r="G1289" s="1" t="str">
        <f>TEXT(Table1[[#This Row],[Enrollment date]], "mmm")</f>
        <v>Jul</v>
      </c>
      <c r="H1289" t="s">
        <v>360</v>
      </c>
      <c r="I1289" t="s">
        <v>660</v>
      </c>
      <c r="J1289" t="str">
        <f>_xlfn.XLOOKUP(Table1[[#This Row],[Course ]], CCF!B:B, CCF!A:A)</f>
        <v>DM101</v>
      </c>
      <c r="K1289" t="s">
        <v>365</v>
      </c>
      <c r="L1289">
        <f>_xlfn.XLOOKUP(K1289, CCF!B:B, CCF!C:C)</f>
        <v>85499</v>
      </c>
      <c r="M1289" t="s">
        <v>528</v>
      </c>
    </row>
    <row r="1290" spans="1:13" x14ac:dyDescent="0.3">
      <c r="A1290">
        <v>1289</v>
      </c>
      <c r="B1290" t="s">
        <v>1951</v>
      </c>
      <c r="C1290" s="3">
        <v>44025</v>
      </c>
      <c r="D1290" t="s">
        <v>666</v>
      </c>
      <c r="E1290">
        <v>67</v>
      </c>
      <c r="F1290" s="1">
        <v>45476</v>
      </c>
      <c r="G1290" s="1" t="str">
        <f>TEXT(Table1[[#This Row],[Enrollment date]], "mmm")</f>
        <v>Jul</v>
      </c>
      <c r="H1290" t="s">
        <v>360</v>
      </c>
      <c r="I1290" t="s">
        <v>660</v>
      </c>
      <c r="J1290" t="str">
        <f>_xlfn.XLOOKUP(Table1[[#This Row],[Course ]], CCF!B:B, CCF!A:A)</f>
        <v>BA301</v>
      </c>
      <c r="K1290" t="s">
        <v>364</v>
      </c>
      <c r="L1290">
        <f>_xlfn.XLOOKUP(K1290, CCF!B:B, CCF!C:C)</f>
        <v>59999</v>
      </c>
      <c r="M1290" t="s">
        <v>540</v>
      </c>
    </row>
    <row r="1291" spans="1:13" x14ac:dyDescent="0.3">
      <c r="A1291">
        <v>1290</v>
      </c>
      <c r="B1291" t="s">
        <v>1952</v>
      </c>
      <c r="C1291" s="3">
        <v>99879</v>
      </c>
      <c r="D1291" t="s">
        <v>666</v>
      </c>
      <c r="E1291">
        <v>66</v>
      </c>
      <c r="F1291" s="1">
        <v>45477</v>
      </c>
      <c r="G1291" s="1" t="str">
        <f>TEXT(Table1[[#This Row],[Enrollment date]], "mmm")</f>
        <v>Jul</v>
      </c>
      <c r="H1291" t="s">
        <v>360</v>
      </c>
      <c r="I1291" t="s">
        <v>661</v>
      </c>
      <c r="J1291" t="str">
        <f>_xlfn.XLOOKUP(Table1[[#This Row],[Course ]], CCF!B:B, CCF!A:A)</f>
        <v>UX401</v>
      </c>
      <c r="K1291" t="s">
        <v>367</v>
      </c>
      <c r="L1291">
        <f>_xlfn.XLOOKUP(K1291, CCF!B:B, CCF!C:C)</f>
        <v>67990</v>
      </c>
      <c r="M1291" t="s">
        <v>50</v>
      </c>
    </row>
    <row r="1292" spans="1:13" x14ac:dyDescent="0.3">
      <c r="A1292">
        <v>1291</v>
      </c>
      <c r="B1292" t="s">
        <v>1953</v>
      </c>
      <c r="C1292" s="3">
        <v>91761</v>
      </c>
      <c r="D1292" t="s">
        <v>666</v>
      </c>
      <c r="E1292">
        <v>45</v>
      </c>
      <c r="F1292" s="1">
        <v>45477</v>
      </c>
      <c r="G1292" s="1" t="str">
        <f>TEXT(Table1[[#This Row],[Enrollment date]], "mmm")</f>
        <v>Jul</v>
      </c>
      <c r="H1292" t="s">
        <v>360</v>
      </c>
      <c r="I1292" t="s">
        <v>660</v>
      </c>
      <c r="J1292" t="str">
        <f>_xlfn.XLOOKUP(Table1[[#This Row],[Course ]], CCF!B:B, CCF!A:A)</f>
        <v>BA301</v>
      </c>
      <c r="K1292" t="s">
        <v>364</v>
      </c>
      <c r="L1292">
        <f>_xlfn.XLOOKUP(K1292, CCF!B:B, CCF!C:C)</f>
        <v>59999</v>
      </c>
      <c r="M1292" t="s">
        <v>541</v>
      </c>
    </row>
    <row r="1293" spans="1:13" x14ac:dyDescent="0.3">
      <c r="A1293">
        <v>1292</v>
      </c>
      <c r="B1293" t="s">
        <v>1954</v>
      </c>
      <c r="C1293" s="3">
        <v>33584</v>
      </c>
      <c r="D1293" t="s">
        <v>667</v>
      </c>
      <c r="E1293">
        <v>41</v>
      </c>
      <c r="F1293" s="1">
        <v>45478</v>
      </c>
      <c r="G1293" s="1" t="str">
        <f>TEXT(Table1[[#This Row],[Enrollment date]], "mmm")</f>
        <v>Jul</v>
      </c>
      <c r="H1293" t="s">
        <v>360</v>
      </c>
      <c r="I1293" t="s">
        <v>660</v>
      </c>
      <c r="J1293" t="str">
        <f>_xlfn.XLOOKUP(Table1[[#This Row],[Course ]], CCF!B:B, CCF!A:A)</f>
        <v>DA202</v>
      </c>
      <c r="K1293" t="s">
        <v>363</v>
      </c>
      <c r="L1293">
        <f>_xlfn.XLOOKUP(K1293, CCF!B:B, CCF!C:C)</f>
        <v>79999</v>
      </c>
      <c r="M1293" t="s">
        <v>6</v>
      </c>
    </row>
    <row r="1294" spans="1:13" x14ac:dyDescent="0.3">
      <c r="A1294">
        <v>1293</v>
      </c>
      <c r="B1294" t="s">
        <v>1955</v>
      </c>
      <c r="C1294" s="3">
        <v>91478</v>
      </c>
      <c r="D1294" t="s">
        <v>667</v>
      </c>
      <c r="E1294">
        <v>33</v>
      </c>
      <c r="F1294" s="1">
        <v>45478</v>
      </c>
      <c r="G1294" s="1" t="str">
        <f>TEXT(Table1[[#This Row],[Enrollment date]], "mmm")</f>
        <v>Jul</v>
      </c>
      <c r="H1294" t="s">
        <v>360</v>
      </c>
      <c r="I1294" t="s">
        <v>659</v>
      </c>
      <c r="J1294" t="str">
        <f>_xlfn.XLOOKUP(Table1[[#This Row],[Course ]], CCF!B:B, CCF!A:A)</f>
        <v>DA202</v>
      </c>
      <c r="K1294" t="s">
        <v>363</v>
      </c>
      <c r="L1294">
        <f>_xlfn.XLOOKUP(K1294, CCF!B:B, CCF!C:C)</f>
        <v>79999</v>
      </c>
      <c r="M1294" t="s">
        <v>80</v>
      </c>
    </row>
    <row r="1295" spans="1:13" x14ac:dyDescent="0.3">
      <c r="A1295">
        <v>1294</v>
      </c>
      <c r="B1295" t="s">
        <v>1956</v>
      </c>
      <c r="C1295" s="3">
        <v>58965</v>
      </c>
      <c r="D1295" t="s">
        <v>666</v>
      </c>
      <c r="E1295">
        <v>34</v>
      </c>
      <c r="F1295" s="1">
        <v>45478</v>
      </c>
      <c r="G1295" s="1" t="str">
        <f>TEXT(Table1[[#This Row],[Enrollment date]], "mmm")</f>
        <v>Jul</v>
      </c>
      <c r="H1295" t="s">
        <v>360</v>
      </c>
      <c r="I1295" t="s">
        <v>661</v>
      </c>
      <c r="J1295" t="str">
        <f>_xlfn.XLOOKUP(Table1[[#This Row],[Course ]], CCF!B:B, CCF!A:A)</f>
        <v>DA202</v>
      </c>
      <c r="K1295" t="s">
        <v>363</v>
      </c>
      <c r="L1295">
        <f>_xlfn.XLOOKUP(K1295, CCF!B:B, CCF!C:C)</f>
        <v>79999</v>
      </c>
      <c r="M1295" t="s">
        <v>43</v>
      </c>
    </row>
    <row r="1296" spans="1:13" x14ac:dyDescent="0.3">
      <c r="A1296">
        <v>1295</v>
      </c>
      <c r="B1296" t="s">
        <v>1957</v>
      </c>
      <c r="C1296" s="3">
        <v>26451</v>
      </c>
      <c r="D1296" t="s">
        <v>667</v>
      </c>
      <c r="E1296">
        <v>39</v>
      </c>
      <c r="F1296" s="1">
        <v>45478</v>
      </c>
      <c r="G1296" s="1" t="str">
        <f>TEXT(Table1[[#This Row],[Enrollment date]], "mmm")</f>
        <v>Jul</v>
      </c>
      <c r="H1296" t="s">
        <v>360</v>
      </c>
      <c r="I1296" t="s">
        <v>659</v>
      </c>
      <c r="J1296" t="str">
        <f>_xlfn.XLOOKUP(Table1[[#This Row],[Course ]], CCF!B:B, CCF!A:A)</f>
        <v>UX401</v>
      </c>
      <c r="K1296" t="s">
        <v>367</v>
      </c>
      <c r="L1296">
        <f>_xlfn.XLOOKUP(K1296, CCF!B:B, CCF!C:C)</f>
        <v>67990</v>
      </c>
      <c r="M1296" t="s">
        <v>183</v>
      </c>
    </row>
    <row r="1297" spans="1:13" x14ac:dyDescent="0.3">
      <c r="A1297">
        <v>1296</v>
      </c>
      <c r="B1297" t="s">
        <v>1958</v>
      </c>
      <c r="C1297" s="3">
        <v>44657</v>
      </c>
      <c r="D1297" t="s">
        <v>666</v>
      </c>
      <c r="E1297">
        <v>27</v>
      </c>
      <c r="F1297" s="1">
        <v>45478</v>
      </c>
      <c r="G1297" s="1" t="str">
        <f>TEXT(Table1[[#This Row],[Enrollment date]], "mmm")</f>
        <v>Jul</v>
      </c>
      <c r="H1297" t="s">
        <v>360</v>
      </c>
      <c r="I1297" t="s">
        <v>659</v>
      </c>
      <c r="J1297" t="str">
        <f>_xlfn.XLOOKUP(Table1[[#This Row],[Course ]], CCF!B:B, CCF!A:A)</f>
        <v>DA202</v>
      </c>
      <c r="K1297" t="s">
        <v>363</v>
      </c>
      <c r="L1297">
        <f>_xlfn.XLOOKUP(K1297, CCF!B:B, CCF!C:C)</f>
        <v>79999</v>
      </c>
      <c r="M1297" t="s">
        <v>53</v>
      </c>
    </row>
    <row r="1298" spans="1:13" x14ac:dyDescent="0.3">
      <c r="A1298">
        <v>1297</v>
      </c>
      <c r="B1298" t="s">
        <v>1959</v>
      </c>
      <c r="C1298" s="3">
        <v>17702</v>
      </c>
      <c r="D1298" t="s">
        <v>667</v>
      </c>
      <c r="E1298">
        <v>47</v>
      </c>
      <c r="F1298" s="1">
        <v>45478</v>
      </c>
      <c r="G1298" s="1" t="str">
        <f>TEXT(Table1[[#This Row],[Enrollment date]], "mmm")</f>
        <v>Jul</v>
      </c>
      <c r="H1298" t="s">
        <v>360</v>
      </c>
      <c r="I1298" t="s">
        <v>660</v>
      </c>
      <c r="J1298" t="str">
        <f>_xlfn.XLOOKUP(Table1[[#This Row],[Course ]], CCF!B:B, CCF!A:A)</f>
        <v>DA202</v>
      </c>
      <c r="K1298" t="s">
        <v>363</v>
      </c>
      <c r="L1298">
        <f>_xlfn.XLOOKUP(K1298, CCF!B:B, CCF!C:C)</f>
        <v>79999</v>
      </c>
      <c r="M1298" t="s">
        <v>7</v>
      </c>
    </row>
    <row r="1299" spans="1:13" x14ac:dyDescent="0.3">
      <c r="A1299">
        <v>1298</v>
      </c>
      <c r="B1299" t="s">
        <v>1960</v>
      </c>
      <c r="C1299" s="3">
        <v>16415</v>
      </c>
      <c r="D1299" t="s">
        <v>666</v>
      </c>
      <c r="E1299">
        <v>67</v>
      </c>
      <c r="F1299" s="1">
        <v>45478</v>
      </c>
      <c r="G1299" s="1" t="str">
        <f>TEXT(Table1[[#This Row],[Enrollment date]], "mmm")</f>
        <v>Jul</v>
      </c>
      <c r="H1299" t="s">
        <v>360</v>
      </c>
      <c r="I1299" t="s">
        <v>659</v>
      </c>
      <c r="J1299" t="str">
        <f>_xlfn.XLOOKUP(Table1[[#This Row],[Course ]], CCF!B:B, CCF!A:A)</f>
        <v>HR201</v>
      </c>
      <c r="K1299" t="s">
        <v>3152</v>
      </c>
      <c r="L1299">
        <f>_xlfn.XLOOKUP(K1299, CCF!B:B, CCF!C:C)</f>
        <v>41999</v>
      </c>
      <c r="M1299" t="s">
        <v>17</v>
      </c>
    </row>
    <row r="1300" spans="1:13" x14ac:dyDescent="0.3">
      <c r="A1300">
        <v>1299</v>
      </c>
      <c r="B1300" t="s">
        <v>1961</v>
      </c>
      <c r="C1300" s="3">
        <v>13101</v>
      </c>
      <c r="D1300" t="s">
        <v>666</v>
      </c>
      <c r="E1300">
        <v>23</v>
      </c>
      <c r="F1300" s="1">
        <v>45478</v>
      </c>
      <c r="G1300" s="1" t="str">
        <f>TEXT(Table1[[#This Row],[Enrollment date]], "mmm")</f>
        <v>Jul</v>
      </c>
      <c r="H1300" t="s">
        <v>360</v>
      </c>
      <c r="I1300" t="s">
        <v>660</v>
      </c>
      <c r="J1300" t="str">
        <f>_xlfn.XLOOKUP(Table1[[#This Row],[Course ]], CCF!B:B, CCF!A:A)</f>
        <v>DM101</v>
      </c>
      <c r="K1300" t="s">
        <v>365</v>
      </c>
      <c r="L1300">
        <f>_xlfn.XLOOKUP(K1300, CCF!B:B, CCF!C:C)</f>
        <v>85499</v>
      </c>
      <c r="M1300" t="s">
        <v>170</v>
      </c>
    </row>
    <row r="1301" spans="1:13" x14ac:dyDescent="0.3">
      <c r="A1301">
        <v>1300</v>
      </c>
      <c r="B1301" t="s">
        <v>1962</v>
      </c>
      <c r="C1301" s="3">
        <v>84117</v>
      </c>
      <c r="D1301" t="s">
        <v>667</v>
      </c>
      <c r="E1301">
        <v>41</v>
      </c>
      <c r="F1301" s="1">
        <v>45478</v>
      </c>
      <c r="G1301" s="1" t="str">
        <f>TEXT(Table1[[#This Row],[Enrollment date]], "mmm")</f>
        <v>Jul</v>
      </c>
      <c r="H1301" t="s">
        <v>360</v>
      </c>
      <c r="I1301" t="s">
        <v>660</v>
      </c>
      <c r="J1301" t="str">
        <f>_xlfn.XLOOKUP(Table1[[#This Row],[Course ]], CCF!B:B, CCF!A:A)</f>
        <v>DA202</v>
      </c>
      <c r="K1301" t="s">
        <v>363</v>
      </c>
      <c r="L1301">
        <f>_xlfn.XLOOKUP(K1301, CCF!B:B, CCF!C:C)</f>
        <v>79999</v>
      </c>
      <c r="M1301" t="s">
        <v>53</v>
      </c>
    </row>
    <row r="1302" spans="1:13" x14ac:dyDescent="0.3">
      <c r="A1302">
        <v>1301</v>
      </c>
      <c r="B1302" t="s">
        <v>1963</v>
      </c>
      <c r="C1302" s="3">
        <v>31384</v>
      </c>
      <c r="D1302" t="s">
        <v>666</v>
      </c>
      <c r="E1302">
        <v>33</v>
      </c>
      <c r="F1302" s="1">
        <v>45478</v>
      </c>
      <c r="G1302" s="1" t="str">
        <f>TEXT(Table1[[#This Row],[Enrollment date]], "mmm")</f>
        <v>Jul</v>
      </c>
      <c r="H1302" t="s">
        <v>360</v>
      </c>
      <c r="I1302" t="s">
        <v>659</v>
      </c>
      <c r="J1302" t="str">
        <f>_xlfn.XLOOKUP(Table1[[#This Row],[Course ]], CCF!B:B, CCF!A:A)</f>
        <v>DA202</v>
      </c>
      <c r="K1302" t="s">
        <v>363</v>
      </c>
      <c r="L1302">
        <f>_xlfn.XLOOKUP(K1302, CCF!B:B, CCF!C:C)</f>
        <v>79999</v>
      </c>
      <c r="M1302" t="s">
        <v>9</v>
      </c>
    </row>
    <row r="1303" spans="1:13" x14ac:dyDescent="0.3">
      <c r="A1303">
        <v>1302</v>
      </c>
      <c r="B1303" t="s">
        <v>1964</v>
      </c>
      <c r="C1303" s="3">
        <v>88862</v>
      </c>
      <c r="D1303" t="s">
        <v>666</v>
      </c>
      <c r="E1303">
        <v>71</v>
      </c>
      <c r="F1303" s="1">
        <v>45478</v>
      </c>
      <c r="G1303" s="1" t="str">
        <f>TEXT(Table1[[#This Row],[Enrollment date]], "mmm")</f>
        <v>Jul</v>
      </c>
      <c r="H1303" t="s">
        <v>360</v>
      </c>
      <c r="I1303" t="s">
        <v>659</v>
      </c>
      <c r="J1303" t="str">
        <f>_xlfn.XLOOKUP(Table1[[#This Row],[Course ]], CCF!B:B, CCF!A:A)</f>
        <v>DM101</v>
      </c>
      <c r="K1303" t="s">
        <v>365</v>
      </c>
      <c r="L1303">
        <f>_xlfn.XLOOKUP(K1303, CCF!B:B, CCF!C:C)</f>
        <v>85499</v>
      </c>
      <c r="M1303" t="s">
        <v>16</v>
      </c>
    </row>
    <row r="1304" spans="1:13" x14ac:dyDescent="0.3">
      <c r="A1304">
        <v>1303</v>
      </c>
      <c r="B1304" t="s">
        <v>1965</v>
      </c>
      <c r="C1304" s="3">
        <v>35485</v>
      </c>
      <c r="D1304" t="s">
        <v>667</v>
      </c>
      <c r="E1304">
        <v>38</v>
      </c>
      <c r="F1304" s="1">
        <v>45478</v>
      </c>
      <c r="G1304" s="1" t="str">
        <f>TEXT(Table1[[#This Row],[Enrollment date]], "mmm")</f>
        <v>Jul</v>
      </c>
      <c r="H1304" t="s">
        <v>360</v>
      </c>
      <c r="I1304" t="s">
        <v>661</v>
      </c>
      <c r="J1304" t="str">
        <f>_xlfn.XLOOKUP(Table1[[#This Row],[Course ]], CCF!B:B, CCF!A:A)</f>
        <v>DA202</v>
      </c>
      <c r="K1304" t="s">
        <v>363</v>
      </c>
      <c r="L1304">
        <f>_xlfn.XLOOKUP(K1304, CCF!B:B, CCF!C:C)</f>
        <v>79999</v>
      </c>
      <c r="M1304" t="s">
        <v>144</v>
      </c>
    </row>
    <row r="1305" spans="1:13" x14ac:dyDescent="0.3">
      <c r="A1305">
        <v>1304</v>
      </c>
      <c r="B1305" t="s">
        <v>1966</v>
      </c>
      <c r="C1305" s="3">
        <v>15343</v>
      </c>
      <c r="D1305" t="s">
        <v>667</v>
      </c>
      <c r="E1305">
        <v>37</v>
      </c>
      <c r="F1305" s="1">
        <v>45478</v>
      </c>
      <c r="G1305" s="1" t="str">
        <f>TEXT(Table1[[#This Row],[Enrollment date]], "mmm")</f>
        <v>Jul</v>
      </c>
      <c r="H1305" t="s">
        <v>360</v>
      </c>
      <c r="I1305" t="s">
        <v>660</v>
      </c>
      <c r="J1305" t="str">
        <f>_xlfn.XLOOKUP(Table1[[#This Row],[Course ]], CCF!B:B, CCF!A:A)</f>
        <v>DM101</v>
      </c>
      <c r="K1305" t="s">
        <v>365</v>
      </c>
      <c r="L1305">
        <f>_xlfn.XLOOKUP(K1305, CCF!B:B, CCF!C:C)</f>
        <v>85499</v>
      </c>
      <c r="M1305" t="s">
        <v>28</v>
      </c>
    </row>
    <row r="1306" spans="1:13" x14ac:dyDescent="0.3">
      <c r="A1306">
        <v>1305</v>
      </c>
      <c r="B1306" t="s">
        <v>1967</v>
      </c>
      <c r="C1306" s="3">
        <v>47835</v>
      </c>
      <c r="D1306" t="s">
        <v>666</v>
      </c>
      <c r="E1306">
        <v>74</v>
      </c>
      <c r="F1306" s="1">
        <v>45478</v>
      </c>
      <c r="G1306" s="1" t="str">
        <f>TEXT(Table1[[#This Row],[Enrollment date]], "mmm")</f>
        <v>Jul</v>
      </c>
      <c r="H1306" t="s">
        <v>360</v>
      </c>
      <c r="I1306" t="s">
        <v>659</v>
      </c>
      <c r="J1306" t="str">
        <f>_xlfn.XLOOKUP(Table1[[#This Row],[Course ]], CCF!B:B, CCF!A:A)</f>
        <v>DM101</v>
      </c>
      <c r="K1306" t="s">
        <v>365</v>
      </c>
      <c r="L1306">
        <f>_xlfn.XLOOKUP(K1306, CCF!B:B, CCF!C:C)</f>
        <v>85499</v>
      </c>
      <c r="M1306" t="s">
        <v>264</v>
      </c>
    </row>
    <row r="1307" spans="1:13" x14ac:dyDescent="0.3">
      <c r="A1307">
        <v>1306</v>
      </c>
      <c r="B1307" t="s">
        <v>1968</v>
      </c>
      <c r="C1307" s="3">
        <v>65508</v>
      </c>
      <c r="D1307" t="s">
        <v>666</v>
      </c>
      <c r="E1307">
        <v>45</v>
      </c>
      <c r="F1307" s="1">
        <v>45478</v>
      </c>
      <c r="G1307" s="1" t="str">
        <f>TEXT(Table1[[#This Row],[Enrollment date]], "mmm")</f>
        <v>Jul</v>
      </c>
      <c r="H1307" t="s">
        <v>360</v>
      </c>
      <c r="I1307" t="s">
        <v>660</v>
      </c>
      <c r="J1307" t="str">
        <f>_xlfn.XLOOKUP(Table1[[#This Row],[Course ]], CCF!B:B, CCF!A:A)</f>
        <v>DM101</v>
      </c>
      <c r="K1307" t="s">
        <v>365</v>
      </c>
      <c r="L1307">
        <f>_xlfn.XLOOKUP(K1307, CCF!B:B, CCF!C:C)</f>
        <v>85499</v>
      </c>
      <c r="M1307" t="s">
        <v>238</v>
      </c>
    </row>
    <row r="1308" spans="1:13" x14ac:dyDescent="0.3">
      <c r="A1308">
        <v>1307</v>
      </c>
      <c r="B1308" t="s">
        <v>1969</v>
      </c>
      <c r="C1308" s="3">
        <v>22025</v>
      </c>
      <c r="D1308" t="s">
        <v>666</v>
      </c>
      <c r="E1308">
        <v>29</v>
      </c>
      <c r="F1308" s="1">
        <v>45479</v>
      </c>
      <c r="G1308" s="1" t="str">
        <f>TEXT(Table1[[#This Row],[Enrollment date]], "mmm")</f>
        <v>Jul</v>
      </c>
      <c r="H1308" t="s">
        <v>360</v>
      </c>
      <c r="I1308" t="s">
        <v>659</v>
      </c>
      <c r="J1308" t="str">
        <f>_xlfn.XLOOKUP(Table1[[#This Row],[Course ]], CCF!B:B, CCF!A:A)</f>
        <v>BA301</v>
      </c>
      <c r="K1308" t="s">
        <v>364</v>
      </c>
      <c r="L1308">
        <f>_xlfn.XLOOKUP(K1308, CCF!B:B, CCF!C:C)</f>
        <v>59999</v>
      </c>
      <c r="M1308" t="s">
        <v>510</v>
      </c>
    </row>
    <row r="1309" spans="1:13" x14ac:dyDescent="0.3">
      <c r="A1309">
        <v>1308</v>
      </c>
      <c r="B1309" t="s">
        <v>1970</v>
      </c>
      <c r="C1309" s="3">
        <v>31794</v>
      </c>
      <c r="D1309" t="s">
        <v>667</v>
      </c>
      <c r="E1309">
        <v>42</v>
      </c>
      <c r="F1309" s="1">
        <v>45479</v>
      </c>
      <c r="G1309" s="1" t="str">
        <f>TEXT(Table1[[#This Row],[Enrollment date]], "mmm")</f>
        <v>Jul</v>
      </c>
      <c r="H1309" t="s">
        <v>360</v>
      </c>
      <c r="I1309" t="s">
        <v>660</v>
      </c>
      <c r="J1309" t="str">
        <f>_xlfn.XLOOKUP(Table1[[#This Row],[Course ]], CCF!B:B, CCF!A:A)</f>
        <v>DM101</v>
      </c>
      <c r="K1309" t="s">
        <v>365</v>
      </c>
      <c r="L1309">
        <f>_xlfn.XLOOKUP(K1309, CCF!B:B, CCF!C:C)</f>
        <v>85499</v>
      </c>
      <c r="M1309" t="s">
        <v>417</v>
      </c>
    </row>
    <row r="1310" spans="1:13" x14ac:dyDescent="0.3">
      <c r="A1310">
        <v>1309</v>
      </c>
      <c r="B1310" t="s">
        <v>1971</v>
      </c>
      <c r="C1310" s="3">
        <v>23984</v>
      </c>
      <c r="D1310" t="s">
        <v>667</v>
      </c>
      <c r="E1310">
        <v>35</v>
      </c>
      <c r="F1310" s="1">
        <v>45479</v>
      </c>
      <c r="G1310" s="1" t="str">
        <f>TEXT(Table1[[#This Row],[Enrollment date]], "mmm")</f>
        <v>Jul</v>
      </c>
      <c r="H1310" t="s">
        <v>360</v>
      </c>
      <c r="I1310" t="s">
        <v>661</v>
      </c>
      <c r="J1310" t="str">
        <f>_xlfn.XLOOKUP(Table1[[#This Row],[Course ]], CCF!B:B, CCF!A:A)</f>
        <v>DM101</v>
      </c>
      <c r="K1310" t="s">
        <v>365</v>
      </c>
      <c r="L1310">
        <f>_xlfn.XLOOKUP(K1310, CCF!B:B, CCF!C:C)</f>
        <v>85499</v>
      </c>
      <c r="M1310" t="s">
        <v>16</v>
      </c>
    </row>
    <row r="1311" spans="1:13" x14ac:dyDescent="0.3">
      <c r="A1311">
        <v>1310</v>
      </c>
      <c r="B1311" t="s">
        <v>1972</v>
      </c>
      <c r="C1311" s="3">
        <v>10354</v>
      </c>
      <c r="D1311" t="s">
        <v>666</v>
      </c>
      <c r="E1311">
        <v>47</v>
      </c>
      <c r="F1311" s="1">
        <v>45479</v>
      </c>
      <c r="G1311" s="1" t="str">
        <f>TEXT(Table1[[#This Row],[Enrollment date]], "mmm")</f>
        <v>Jul</v>
      </c>
      <c r="H1311" t="s">
        <v>360</v>
      </c>
      <c r="I1311" t="s">
        <v>662</v>
      </c>
      <c r="J1311" t="str">
        <f>_xlfn.XLOOKUP(Table1[[#This Row],[Course ]], CCF!B:B, CCF!A:A)</f>
        <v>DA202</v>
      </c>
      <c r="K1311" t="s">
        <v>363</v>
      </c>
      <c r="L1311">
        <f>_xlfn.XLOOKUP(K1311, CCF!B:B, CCF!C:C)</f>
        <v>79999</v>
      </c>
      <c r="M1311" t="s">
        <v>75</v>
      </c>
    </row>
    <row r="1312" spans="1:13" x14ac:dyDescent="0.3">
      <c r="A1312">
        <v>1311</v>
      </c>
      <c r="B1312" t="s">
        <v>1973</v>
      </c>
      <c r="C1312" s="3">
        <v>89112</v>
      </c>
      <c r="D1312" t="s">
        <v>666</v>
      </c>
      <c r="E1312">
        <v>57</v>
      </c>
      <c r="F1312" s="1">
        <v>45479</v>
      </c>
      <c r="G1312" s="1" t="str">
        <f>TEXT(Table1[[#This Row],[Enrollment date]], "mmm")</f>
        <v>Jul</v>
      </c>
      <c r="H1312" t="s">
        <v>360</v>
      </c>
      <c r="I1312" t="s">
        <v>659</v>
      </c>
      <c r="J1312" t="str">
        <f>_xlfn.XLOOKUP(Table1[[#This Row],[Course ]], CCF!B:B, CCF!A:A)</f>
        <v>DA202</v>
      </c>
      <c r="K1312" t="s">
        <v>363</v>
      </c>
      <c r="L1312">
        <f>_xlfn.XLOOKUP(K1312, CCF!B:B, CCF!C:C)</f>
        <v>79999</v>
      </c>
      <c r="M1312" t="s">
        <v>542</v>
      </c>
    </row>
    <row r="1313" spans="1:13" x14ac:dyDescent="0.3">
      <c r="A1313">
        <v>1312</v>
      </c>
      <c r="B1313" t="s">
        <v>1974</v>
      </c>
      <c r="C1313" s="3">
        <v>69220</v>
      </c>
      <c r="D1313" t="s">
        <v>666</v>
      </c>
      <c r="E1313">
        <v>24</v>
      </c>
      <c r="F1313" s="1">
        <v>45479</v>
      </c>
      <c r="G1313" s="1" t="str">
        <f>TEXT(Table1[[#This Row],[Enrollment date]], "mmm")</f>
        <v>Jul</v>
      </c>
      <c r="H1313" t="s">
        <v>360</v>
      </c>
      <c r="I1313" t="s">
        <v>660</v>
      </c>
      <c r="J1313" t="str">
        <f>_xlfn.XLOOKUP(Table1[[#This Row],[Course ]], CCF!B:B, CCF!A:A)</f>
        <v>DM101</v>
      </c>
      <c r="K1313" t="s">
        <v>365</v>
      </c>
      <c r="L1313">
        <f>_xlfn.XLOOKUP(K1313, CCF!B:B, CCF!C:C)</f>
        <v>85499</v>
      </c>
      <c r="M1313" t="s">
        <v>144</v>
      </c>
    </row>
    <row r="1314" spans="1:13" x14ac:dyDescent="0.3">
      <c r="A1314">
        <v>1313</v>
      </c>
      <c r="B1314" t="s">
        <v>1975</v>
      </c>
      <c r="C1314" s="3">
        <v>95168</v>
      </c>
      <c r="D1314" t="s">
        <v>666</v>
      </c>
      <c r="E1314">
        <v>66</v>
      </c>
      <c r="F1314" s="1">
        <v>45479</v>
      </c>
      <c r="G1314" s="1" t="str">
        <f>TEXT(Table1[[#This Row],[Enrollment date]], "mmm")</f>
        <v>Jul</v>
      </c>
      <c r="H1314" t="s">
        <v>360</v>
      </c>
      <c r="I1314" t="s">
        <v>660</v>
      </c>
      <c r="J1314" t="str">
        <f>_xlfn.XLOOKUP(Table1[[#This Row],[Course ]], CCF!B:B, CCF!A:A)</f>
        <v>DM101</v>
      </c>
      <c r="K1314" t="s">
        <v>365</v>
      </c>
      <c r="L1314">
        <f>_xlfn.XLOOKUP(K1314, CCF!B:B, CCF!C:C)</f>
        <v>85499</v>
      </c>
      <c r="M1314" t="s">
        <v>145</v>
      </c>
    </row>
    <row r="1315" spans="1:13" x14ac:dyDescent="0.3">
      <c r="A1315">
        <v>1314</v>
      </c>
      <c r="B1315" t="s">
        <v>1976</v>
      </c>
      <c r="C1315" s="3">
        <v>62656</v>
      </c>
      <c r="D1315" t="s">
        <v>666</v>
      </c>
      <c r="E1315">
        <v>19</v>
      </c>
      <c r="F1315" s="1">
        <v>45479</v>
      </c>
      <c r="G1315" s="1" t="str">
        <f>TEXT(Table1[[#This Row],[Enrollment date]], "mmm")</f>
        <v>Jul</v>
      </c>
      <c r="H1315" t="s">
        <v>360</v>
      </c>
      <c r="I1315" t="s">
        <v>660</v>
      </c>
      <c r="J1315" t="str">
        <f>_xlfn.XLOOKUP(Table1[[#This Row],[Course ]], CCF!B:B, CCF!A:A)</f>
        <v>DM101</v>
      </c>
      <c r="K1315" t="s">
        <v>365</v>
      </c>
      <c r="L1315">
        <f>_xlfn.XLOOKUP(K1315, CCF!B:B, CCF!C:C)</f>
        <v>85499</v>
      </c>
      <c r="M1315" t="s">
        <v>65</v>
      </c>
    </row>
    <row r="1316" spans="1:13" x14ac:dyDescent="0.3">
      <c r="A1316">
        <v>1315</v>
      </c>
      <c r="B1316" t="s">
        <v>1977</v>
      </c>
      <c r="C1316" s="3">
        <v>69471</v>
      </c>
      <c r="D1316" t="s">
        <v>666</v>
      </c>
      <c r="E1316">
        <v>30</v>
      </c>
      <c r="F1316" s="1">
        <v>45480</v>
      </c>
      <c r="G1316" s="1" t="str">
        <f>TEXT(Table1[[#This Row],[Enrollment date]], "mmm")</f>
        <v>Jul</v>
      </c>
      <c r="H1316" t="s">
        <v>361</v>
      </c>
      <c r="I1316" t="s">
        <v>660</v>
      </c>
      <c r="J1316" t="str">
        <f>_xlfn.XLOOKUP(Table1[[#This Row],[Course ]], CCF!B:B, CCF!A:A)</f>
        <v>DA202</v>
      </c>
      <c r="K1316" t="s">
        <v>363</v>
      </c>
      <c r="L1316">
        <f>_xlfn.XLOOKUP(K1316, CCF!B:B, CCF!C:C)</f>
        <v>79999</v>
      </c>
      <c r="M1316" t="s">
        <v>43</v>
      </c>
    </row>
    <row r="1317" spans="1:13" x14ac:dyDescent="0.3">
      <c r="A1317">
        <v>1316</v>
      </c>
      <c r="B1317" t="s">
        <v>1978</v>
      </c>
      <c r="C1317" s="3">
        <v>23542</v>
      </c>
      <c r="D1317" t="s">
        <v>666</v>
      </c>
      <c r="E1317">
        <v>30</v>
      </c>
      <c r="F1317" s="1">
        <v>45480</v>
      </c>
      <c r="G1317" s="1" t="str">
        <f>TEXT(Table1[[#This Row],[Enrollment date]], "mmm")</f>
        <v>Jul</v>
      </c>
      <c r="H1317" t="s">
        <v>360</v>
      </c>
      <c r="I1317" t="s">
        <v>660</v>
      </c>
      <c r="J1317" t="str">
        <f>_xlfn.XLOOKUP(Table1[[#This Row],[Course ]], CCF!B:B, CCF!A:A)</f>
        <v>DM101</v>
      </c>
      <c r="K1317" t="s">
        <v>365</v>
      </c>
      <c r="L1317">
        <f>_xlfn.XLOOKUP(K1317, CCF!B:B, CCF!C:C)</f>
        <v>85499</v>
      </c>
      <c r="M1317" t="s">
        <v>543</v>
      </c>
    </row>
    <row r="1318" spans="1:13" x14ac:dyDescent="0.3">
      <c r="A1318">
        <v>1317</v>
      </c>
      <c r="B1318" t="s">
        <v>1979</v>
      </c>
      <c r="C1318" s="3">
        <v>86702</v>
      </c>
      <c r="D1318" t="s">
        <v>666</v>
      </c>
      <c r="E1318">
        <v>18</v>
      </c>
      <c r="F1318" s="1">
        <v>45480</v>
      </c>
      <c r="G1318" s="1" t="str">
        <f>TEXT(Table1[[#This Row],[Enrollment date]], "mmm")</f>
        <v>Jul</v>
      </c>
      <c r="H1318" t="s">
        <v>360</v>
      </c>
      <c r="I1318" t="s">
        <v>661</v>
      </c>
      <c r="J1318" t="str">
        <f>_xlfn.XLOOKUP(Table1[[#This Row],[Course ]], CCF!B:B, CCF!A:A)</f>
        <v>DA202</v>
      </c>
      <c r="K1318" t="s">
        <v>363</v>
      </c>
      <c r="L1318">
        <f>_xlfn.XLOOKUP(K1318, CCF!B:B, CCF!C:C)</f>
        <v>79999</v>
      </c>
      <c r="M1318" t="s">
        <v>20</v>
      </c>
    </row>
    <row r="1319" spans="1:13" x14ac:dyDescent="0.3">
      <c r="A1319">
        <v>1318</v>
      </c>
      <c r="B1319" t="s">
        <v>1980</v>
      </c>
      <c r="C1319" s="3">
        <v>40936</v>
      </c>
      <c r="D1319" t="s">
        <v>666</v>
      </c>
      <c r="E1319">
        <v>23</v>
      </c>
      <c r="F1319" s="1">
        <v>45481</v>
      </c>
      <c r="G1319" s="1" t="str">
        <f>TEXT(Table1[[#This Row],[Enrollment date]], "mmm")</f>
        <v>Jul</v>
      </c>
      <c r="H1319" t="s">
        <v>360</v>
      </c>
      <c r="I1319" t="s">
        <v>659</v>
      </c>
      <c r="J1319" t="str">
        <f>_xlfn.XLOOKUP(Table1[[#This Row],[Course ]], CCF!B:B, CCF!A:A)</f>
        <v>DM101</v>
      </c>
      <c r="K1319" t="s">
        <v>365</v>
      </c>
      <c r="L1319">
        <f>_xlfn.XLOOKUP(K1319, CCF!B:B, CCF!C:C)</f>
        <v>85499</v>
      </c>
      <c r="M1319" t="s">
        <v>345</v>
      </c>
    </row>
    <row r="1320" spans="1:13" x14ac:dyDescent="0.3">
      <c r="A1320">
        <v>1319</v>
      </c>
      <c r="B1320" t="s">
        <v>1981</v>
      </c>
      <c r="C1320" s="3">
        <v>49092</v>
      </c>
      <c r="D1320" t="s">
        <v>667</v>
      </c>
      <c r="E1320">
        <v>34</v>
      </c>
      <c r="F1320" s="1">
        <v>45481</v>
      </c>
      <c r="G1320" s="1" t="str">
        <f>TEXT(Table1[[#This Row],[Enrollment date]], "mmm")</f>
        <v>Jul</v>
      </c>
      <c r="H1320" t="s">
        <v>360</v>
      </c>
      <c r="I1320" t="s">
        <v>659</v>
      </c>
      <c r="J1320" t="str">
        <f>_xlfn.XLOOKUP(Table1[[#This Row],[Course ]], CCF!B:B, CCF!A:A)</f>
        <v>DA202</v>
      </c>
      <c r="K1320" t="s">
        <v>363</v>
      </c>
      <c r="L1320">
        <f>_xlfn.XLOOKUP(K1320, CCF!B:B, CCF!C:C)</f>
        <v>79999</v>
      </c>
      <c r="M1320" t="s">
        <v>20</v>
      </c>
    </row>
    <row r="1321" spans="1:13" x14ac:dyDescent="0.3">
      <c r="A1321">
        <v>1320</v>
      </c>
      <c r="B1321" t="s">
        <v>1982</v>
      </c>
      <c r="C1321" s="3">
        <v>79852</v>
      </c>
      <c r="D1321" t="s">
        <v>667</v>
      </c>
      <c r="E1321">
        <v>44</v>
      </c>
      <c r="F1321" s="1">
        <v>45481</v>
      </c>
      <c r="G1321" s="1" t="str">
        <f>TEXT(Table1[[#This Row],[Enrollment date]], "mmm")</f>
        <v>Jul</v>
      </c>
      <c r="H1321" t="s">
        <v>360</v>
      </c>
      <c r="I1321" t="s">
        <v>665</v>
      </c>
      <c r="J1321" t="str">
        <f>_xlfn.XLOOKUP(Table1[[#This Row],[Course ]], CCF!B:B, CCF!A:A)</f>
        <v>DA202</v>
      </c>
      <c r="K1321" t="s">
        <v>363</v>
      </c>
      <c r="L1321">
        <f>_xlfn.XLOOKUP(K1321, CCF!B:B, CCF!C:C)</f>
        <v>79999</v>
      </c>
      <c r="M1321" t="s">
        <v>213</v>
      </c>
    </row>
    <row r="1322" spans="1:13" x14ac:dyDescent="0.3">
      <c r="A1322">
        <v>1321</v>
      </c>
      <c r="B1322" t="s">
        <v>1983</v>
      </c>
      <c r="C1322" s="3">
        <v>30567</v>
      </c>
      <c r="D1322" t="s">
        <v>666</v>
      </c>
      <c r="E1322">
        <v>45</v>
      </c>
      <c r="F1322" s="1">
        <v>45482</v>
      </c>
      <c r="G1322" s="1" t="str">
        <f>TEXT(Table1[[#This Row],[Enrollment date]], "mmm")</f>
        <v>Jul</v>
      </c>
      <c r="H1322" t="s">
        <v>360</v>
      </c>
      <c r="I1322" t="s">
        <v>660</v>
      </c>
      <c r="J1322" t="str">
        <f>_xlfn.XLOOKUP(Table1[[#This Row],[Course ]], CCF!B:B, CCF!A:A)</f>
        <v>DM101</v>
      </c>
      <c r="K1322" t="s">
        <v>365</v>
      </c>
      <c r="L1322">
        <f>_xlfn.XLOOKUP(K1322, CCF!B:B, CCF!C:C)</f>
        <v>85499</v>
      </c>
      <c r="M1322" t="s">
        <v>144</v>
      </c>
    </row>
    <row r="1323" spans="1:13" x14ac:dyDescent="0.3">
      <c r="A1323">
        <v>1322</v>
      </c>
      <c r="B1323" t="s">
        <v>1984</v>
      </c>
      <c r="C1323" s="3">
        <v>77169</v>
      </c>
      <c r="D1323" t="s">
        <v>666</v>
      </c>
      <c r="E1323">
        <v>61</v>
      </c>
      <c r="F1323" s="1">
        <v>45482</v>
      </c>
      <c r="G1323" s="1" t="str">
        <f>TEXT(Table1[[#This Row],[Enrollment date]], "mmm")</f>
        <v>Jul</v>
      </c>
      <c r="H1323" t="s">
        <v>360</v>
      </c>
      <c r="I1323" t="s">
        <v>661</v>
      </c>
      <c r="J1323" t="str">
        <f>_xlfn.XLOOKUP(Table1[[#This Row],[Course ]], CCF!B:B, CCF!A:A)</f>
        <v>DM101</v>
      </c>
      <c r="K1323" t="s">
        <v>365</v>
      </c>
      <c r="L1323">
        <f>_xlfn.XLOOKUP(K1323, CCF!B:B, CCF!C:C)</f>
        <v>85499</v>
      </c>
      <c r="M1323" t="s">
        <v>20</v>
      </c>
    </row>
    <row r="1324" spans="1:13" x14ac:dyDescent="0.3">
      <c r="A1324">
        <v>1323</v>
      </c>
      <c r="B1324" t="s">
        <v>1985</v>
      </c>
      <c r="C1324" s="3">
        <v>21551</v>
      </c>
      <c r="D1324" t="s">
        <v>666</v>
      </c>
      <c r="E1324">
        <v>63</v>
      </c>
      <c r="F1324" s="1">
        <v>45482</v>
      </c>
      <c r="G1324" s="1" t="str">
        <f>TEXT(Table1[[#This Row],[Enrollment date]], "mmm")</f>
        <v>Jul</v>
      </c>
      <c r="H1324" t="s">
        <v>360</v>
      </c>
      <c r="I1324" t="s">
        <v>660</v>
      </c>
      <c r="J1324" t="str">
        <f>_xlfn.XLOOKUP(Table1[[#This Row],[Course ]], CCF!B:B, CCF!A:A)</f>
        <v>FSD103</v>
      </c>
      <c r="K1324" t="s">
        <v>366</v>
      </c>
      <c r="L1324">
        <f>_xlfn.XLOOKUP(K1324, CCF!B:B, CCF!C:C)</f>
        <v>109990</v>
      </c>
      <c r="M1324" t="s">
        <v>16</v>
      </c>
    </row>
    <row r="1325" spans="1:13" x14ac:dyDescent="0.3">
      <c r="A1325">
        <v>1324</v>
      </c>
      <c r="B1325" t="s">
        <v>1986</v>
      </c>
      <c r="C1325" s="3">
        <v>85820</v>
      </c>
      <c r="D1325" t="s">
        <v>666</v>
      </c>
      <c r="E1325">
        <v>25</v>
      </c>
      <c r="F1325" s="1">
        <v>45482</v>
      </c>
      <c r="G1325" s="1" t="str">
        <f>TEXT(Table1[[#This Row],[Enrollment date]], "mmm")</f>
        <v>Jul</v>
      </c>
      <c r="H1325" t="s">
        <v>360</v>
      </c>
      <c r="I1325" t="s">
        <v>660</v>
      </c>
      <c r="J1325" t="str">
        <f>_xlfn.XLOOKUP(Table1[[#This Row],[Course ]], CCF!B:B, CCF!A:A)</f>
        <v>BA301</v>
      </c>
      <c r="K1325" t="s">
        <v>364</v>
      </c>
      <c r="L1325">
        <f>_xlfn.XLOOKUP(K1325, CCF!B:B, CCF!C:C)</f>
        <v>59999</v>
      </c>
      <c r="M1325" t="s">
        <v>9</v>
      </c>
    </row>
    <row r="1326" spans="1:13" x14ac:dyDescent="0.3">
      <c r="A1326">
        <v>1325</v>
      </c>
      <c r="B1326" t="s">
        <v>1987</v>
      </c>
      <c r="C1326" s="3">
        <v>48318</v>
      </c>
      <c r="D1326" t="s">
        <v>666</v>
      </c>
      <c r="E1326">
        <v>26</v>
      </c>
      <c r="F1326" s="1">
        <v>45482</v>
      </c>
      <c r="G1326" s="1" t="str">
        <f>TEXT(Table1[[#This Row],[Enrollment date]], "mmm")</f>
        <v>Jul</v>
      </c>
      <c r="H1326" t="s">
        <v>360</v>
      </c>
      <c r="I1326" t="s">
        <v>659</v>
      </c>
      <c r="J1326" t="str">
        <f>_xlfn.XLOOKUP(Table1[[#This Row],[Course ]], CCF!B:B, CCF!A:A)</f>
        <v>DM101</v>
      </c>
      <c r="K1326" t="s">
        <v>365</v>
      </c>
      <c r="L1326">
        <f>_xlfn.XLOOKUP(K1326, CCF!B:B, CCF!C:C)</f>
        <v>85499</v>
      </c>
      <c r="M1326" t="s">
        <v>27</v>
      </c>
    </row>
    <row r="1327" spans="1:13" x14ac:dyDescent="0.3">
      <c r="A1327">
        <v>1326</v>
      </c>
      <c r="B1327" t="s">
        <v>1988</v>
      </c>
      <c r="C1327" s="3">
        <v>66343</v>
      </c>
      <c r="D1327" t="s">
        <v>667</v>
      </c>
      <c r="E1327">
        <v>34</v>
      </c>
      <c r="F1327" s="1">
        <v>45482</v>
      </c>
      <c r="G1327" s="1" t="str">
        <f>TEXT(Table1[[#This Row],[Enrollment date]], "mmm")</f>
        <v>Jul</v>
      </c>
      <c r="H1327" t="s">
        <v>360</v>
      </c>
      <c r="I1327" t="s">
        <v>660</v>
      </c>
      <c r="J1327" t="str">
        <f>_xlfn.XLOOKUP(Table1[[#This Row],[Course ]], CCF!B:B, CCF!A:A)</f>
        <v>BA301</v>
      </c>
      <c r="K1327" t="s">
        <v>364</v>
      </c>
      <c r="L1327">
        <f>_xlfn.XLOOKUP(K1327, CCF!B:B, CCF!C:C)</f>
        <v>59999</v>
      </c>
      <c r="M1327" t="s">
        <v>16</v>
      </c>
    </row>
    <row r="1328" spans="1:13" x14ac:dyDescent="0.3">
      <c r="A1328">
        <v>1327</v>
      </c>
      <c r="B1328" t="s">
        <v>1989</v>
      </c>
      <c r="C1328" s="3">
        <v>39363</v>
      </c>
      <c r="D1328" t="s">
        <v>666</v>
      </c>
      <c r="E1328">
        <v>46</v>
      </c>
      <c r="F1328" s="1">
        <v>45483</v>
      </c>
      <c r="G1328" s="1" t="str">
        <f>TEXT(Table1[[#This Row],[Enrollment date]], "mmm")</f>
        <v>Jul</v>
      </c>
      <c r="H1328" t="s">
        <v>3</v>
      </c>
      <c r="I1328" t="s">
        <v>660</v>
      </c>
      <c r="J1328" t="str">
        <f>_xlfn.XLOOKUP(Table1[[#This Row],[Course ]], CCF!B:B, CCF!A:A)</f>
        <v>DA202</v>
      </c>
      <c r="K1328" t="s">
        <v>363</v>
      </c>
      <c r="L1328">
        <f>_xlfn.XLOOKUP(K1328, CCF!B:B, CCF!C:C)</f>
        <v>79999</v>
      </c>
      <c r="M1328" t="s">
        <v>544</v>
      </c>
    </row>
    <row r="1329" spans="1:13" x14ac:dyDescent="0.3">
      <c r="A1329">
        <v>1328</v>
      </c>
      <c r="B1329" t="s">
        <v>1990</v>
      </c>
      <c r="C1329" s="3">
        <v>88131</v>
      </c>
      <c r="D1329" t="s">
        <v>666</v>
      </c>
      <c r="E1329">
        <v>32</v>
      </c>
      <c r="F1329" s="1">
        <v>45483</v>
      </c>
      <c r="G1329" s="1" t="str">
        <f>TEXT(Table1[[#This Row],[Enrollment date]], "mmm")</f>
        <v>Jul</v>
      </c>
      <c r="H1329" t="s">
        <v>360</v>
      </c>
      <c r="I1329" t="s">
        <v>659</v>
      </c>
      <c r="J1329" t="str">
        <f>_xlfn.XLOOKUP(Table1[[#This Row],[Course ]], CCF!B:B, CCF!A:A)</f>
        <v>DM101</v>
      </c>
      <c r="K1329" t="s">
        <v>365</v>
      </c>
      <c r="L1329">
        <f>_xlfn.XLOOKUP(K1329, CCF!B:B, CCF!C:C)</f>
        <v>85499</v>
      </c>
      <c r="M1329" t="s">
        <v>514</v>
      </c>
    </row>
    <row r="1330" spans="1:13" x14ac:dyDescent="0.3">
      <c r="A1330">
        <v>1329</v>
      </c>
      <c r="B1330" t="s">
        <v>1991</v>
      </c>
      <c r="C1330" s="3">
        <v>37340</v>
      </c>
      <c r="D1330" t="s">
        <v>667</v>
      </c>
      <c r="E1330">
        <v>19</v>
      </c>
      <c r="F1330" s="1">
        <v>45483</v>
      </c>
      <c r="G1330" s="1" t="str">
        <f>TEXT(Table1[[#This Row],[Enrollment date]], "mmm")</f>
        <v>Jul</v>
      </c>
      <c r="H1330" t="s">
        <v>360</v>
      </c>
      <c r="I1330" t="s">
        <v>660</v>
      </c>
      <c r="J1330" t="str">
        <f>_xlfn.XLOOKUP(Table1[[#This Row],[Course ]], CCF!B:B, CCF!A:A)</f>
        <v>DM101</v>
      </c>
      <c r="K1330" t="s">
        <v>365</v>
      </c>
      <c r="L1330">
        <f>_xlfn.XLOOKUP(K1330, CCF!B:B, CCF!C:C)</f>
        <v>85499</v>
      </c>
      <c r="M1330" t="s">
        <v>20</v>
      </c>
    </row>
    <row r="1331" spans="1:13" x14ac:dyDescent="0.3">
      <c r="A1331">
        <v>1330</v>
      </c>
      <c r="B1331" t="s">
        <v>1992</v>
      </c>
      <c r="C1331" s="3">
        <v>32236</v>
      </c>
      <c r="D1331" t="s">
        <v>666</v>
      </c>
      <c r="E1331">
        <v>27</v>
      </c>
      <c r="F1331" s="1">
        <v>45483</v>
      </c>
      <c r="G1331" s="1" t="str">
        <f>TEXT(Table1[[#This Row],[Enrollment date]], "mmm")</f>
        <v>Jul</v>
      </c>
      <c r="H1331" t="s">
        <v>360</v>
      </c>
      <c r="I1331" t="s">
        <v>661</v>
      </c>
      <c r="J1331" t="str">
        <f>_xlfn.XLOOKUP(Table1[[#This Row],[Course ]], CCF!B:B, CCF!A:A)</f>
        <v>DM101</v>
      </c>
      <c r="K1331" t="s">
        <v>365</v>
      </c>
      <c r="L1331">
        <f>_xlfn.XLOOKUP(K1331, CCF!B:B, CCF!C:C)</f>
        <v>85499</v>
      </c>
      <c r="M1331" t="s">
        <v>2</v>
      </c>
    </row>
    <row r="1332" spans="1:13" x14ac:dyDescent="0.3">
      <c r="A1332">
        <v>1331</v>
      </c>
      <c r="B1332" t="s">
        <v>1993</v>
      </c>
      <c r="C1332" s="3">
        <v>55436</v>
      </c>
      <c r="D1332" t="s">
        <v>666</v>
      </c>
      <c r="E1332">
        <v>39</v>
      </c>
      <c r="F1332" s="1">
        <v>45483</v>
      </c>
      <c r="G1332" s="1" t="str">
        <f>TEXT(Table1[[#This Row],[Enrollment date]], "mmm")</f>
        <v>Jul</v>
      </c>
      <c r="H1332" t="s">
        <v>360</v>
      </c>
      <c r="I1332" t="s">
        <v>660</v>
      </c>
      <c r="J1332" t="str">
        <f>_xlfn.XLOOKUP(Table1[[#This Row],[Course ]], CCF!B:B, CCF!A:A)</f>
        <v>BA301</v>
      </c>
      <c r="K1332" t="s">
        <v>364</v>
      </c>
      <c r="L1332">
        <f>_xlfn.XLOOKUP(K1332, CCF!B:B, CCF!C:C)</f>
        <v>59999</v>
      </c>
      <c r="M1332" t="s">
        <v>181</v>
      </c>
    </row>
    <row r="1333" spans="1:13" x14ac:dyDescent="0.3">
      <c r="A1333">
        <v>1332</v>
      </c>
      <c r="B1333" t="s">
        <v>1994</v>
      </c>
      <c r="C1333" s="3">
        <v>13979</v>
      </c>
      <c r="D1333" t="s">
        <v>667</v>
      </c>
      <c r="E1333">
        <v>54</v>
      </c>
      <c r="F1333" s="1">
        <v>45483</v>
      </c>
      <c r="G1333" s="1" t="str">
        <f>TEXT(Table1[[#This Row],[Enrollment date]], "mmm")</f>
        <v>Jul</v>
      </c>
      <c r="H1333" t="s">
        <v>360</v>
      </c>
      <c r="I1333" t="s">
        <v>660</v>
      </c>
      <c r="J1333" t="str">
        <f>_xlfn.XLOOKUP(Table1[[#This Row],[Course ]], CCF!B:B, CCF!A:A)</f>
        <v>BA301</v>
      </c>
      <c r="K1333" t="s">
        <v>364</v>
      </c>
      <c r="L1333">
        <f>_xlfn.XLOOKUP(K1333, CCF!B:B, CCF!C:C)</f>
        <v>59999</v>
      </c>
      <c r="M1333" t="s">
        <v>16</v>
      </c>
    </row>
    <row r="1334" spans="1:13" x14ac:dyDescent="0.3">
      <c r="A1334">
        <v>1333</v>
      </c>
      <c r="B1334" t="s">
        <v>1995</v>
      </c>
      <c r="C1334" s="3">
        <v>17819</v>
      </c>
      <c r="D1334" t="s">
        <v>666</v>
      </c>
      <c r="E1334">
        <v>30</v>
      </c>
      <c r="F1334" s="1">
        <v>45483</v>
      </c>
      <c r="G1334" s="1" t="str">
        <f>TEXT(Table1[[#This Row],[Enrollment date]], "mmm")</f>
        <v>Jul</v>
      </c>
      <c r="H1334" t="s">
        <v>360</v>
      </c>
      <c r="I1334" t="s">
        <v>661</v>
      </c>
      <c r="J1334" t="str">
        <f>_xlfn.XLOOKUP(Table1[[#This Row],[Course ]], CCF!B:B, CCF!A:A)</f>
        <v>AI001</v>
      </c>
      <c r="K1334" t="s">
        <v>368</v>
      </c>
      <c r="L1334">
        <f>_xlfn.XLOOKUP(K1334, CCF!B:B, CCF!C:C)</f>
        <v>119990</v>
      </c>
      <c r="M1334" t="s">
        <v>177</v>
      </c>
    </row>
    <row r="1335" spans="1:13" x14ac:dyDescent="0.3">
      <c r="A1335">
        <v>1334</v>
      </c>
      <c r="B1335" t="s">
        <v>1996</v>
      </c>
      <c r="C1335" s="3">
        <v>33145</v>
      </c>
      <c r="D1335" t="s">
        <v>666</v>
      </c>
      <c r="E1335">
        <v>19</v>
      </c>
      <c r="F1335" s="1">
        <v>45483</v>
      </c>
      <c r="G1335" s="1" t="str">
        <f>TEXT(Table1[[#This Row],[Enrollment date]], "mmm")</f>
        <v>Jul</v>
      </c>
      <c r="H1335" t="s">
        <v>360</v>
      </c>
      <c r="I1335" t="s">
        <v>661</v>
      </c>
      <c r="J1335" t="str">
        <f>_xlfn.XLOOKUP(Table1[[#This Row],[Course ]], CCF!B:B, CCF!A:A)</f>
        <v>DA202</v>
      </c>
      <c r="K1335" t="s">
        <v>363</v>
      </c>
      <c r="L1335">
        <f>_xlfn.XLOOKUP(K1335, CCF!B:B, CCF!C:C)</f>
        <v>79999</v>
      </c>
      <c r="M1335" t="s">
        <v>144</v>
      </c>
    </row>
    <row r="1336" spans="1:13" x14ac:dyDescent="0.3">
      <c r="A1336">
        <v>1335</v>
      </c>
      <c r="B1336" t="s">
        <v>1997</v>
      </c>
      <c r="C1336" s="3">
        <v>20875</v>
      </c>
      <c r="D1336" t="s">
        <v>666</v>
      </c>
      <c r="E1336">
        <v>30</v>
      </c>
      <c r="F1336" s="1">
        <v>45483</v>
      </c>
      <c r="G1336" s="1" t="str">
        <f>TEXT(Table1[[#This Row],[Enrollment date]], "mmm")</f>
        <v>Jul</v>
      </c>
      <c r="H1336" t="s">
        <v>360</v>
      </c>
      <c r="I1336" t="s">
        <v>662</v>
      </c>
      <c r="J1336" t="str">
        <f>_xlfn.XLOOKUP(Table1[[#This Row],[Course ]], CCF!B:B, CCF!A:A)</f>
        <v>BA301</v>
      </c>
      <c r="K1336" t="s">
        <v>364</v>
      </c>
      <c r="L1336">
        <f>_xlfn.XLOOKUP(K1336, CCF!B:B, CCF!C:C)</f>
        <v>59999</v>
      </c>
      <c r="M1336" t="s">
        <v>336</v>
      </c>
    </row>
    <row r="1337" spans="1:13" x14ac:dyDescent="0.3">
      <c r="A1337">
        <v>1336</v>
      </c>
      <c r="B1337" t="s">
        <v>1998</v>
      </c>
      <c r="C1337" s="3">
        <v>50376</v>
      </c>
      <c r="D1337" t="s">
        <v>666</v>
      </c>
      <c r="E1337">
        <v>68</v>
      </c>
      <c r="F1337" s="1">
        <v>45484</v>
      </c>
      <c r="G1337" s="1" t="str">
        <f>TEXT(Table1[[#This Row],[Enrollment date]], "mmm")</f>
        <v>Jul</v>
      </c>
      <c r="H1337" t="s">
        <v>360</v>
      </c>
      <c r="I1337" t="s">
        <v>659</v>
      </c>
      <c r="J1337" t="str">
        <f>_xlfn.XLOOKUP(Table1[[#This Row],[Course ]], CCF!B:B, CCF!A:A)</f>
        <v>DM101</v>
      </c>
      <c r="K1337" t="s">
        <v>365</v>
      </c>
      <c r="L1337">
        <f>_xlfn.XLOOKUP(K1337, CCF!B:B, CCF!C:C)</f>
        <v>85499</v>
      </c>
      <c r="M1337" t="s">
        <v>262</v>
      </c>
    </row>
    <row r="1338" spans="1:13" x14ac:dyDescent="0.3">
      <c r="A1338">
        <v>1337</v>
      </c>
      <c r="B1338" t="s">
        <v>1999</v>
      </c>
      <c r="C1338" s="3">
        <v>32892</v>
      </c>
      <c r="D1338" t="s">
        <v>667</v>
      </c>
      <c r="E1338">
        <v>39</v>
      </c>
      <c r="F1338" s="1">
        <v>45484</v>
      </c>
      <c r="G1338" s="1" t="str">
        <f>TEXT(Table1[[#This Row],[Enrollment date]], "mmm")</f>
        <v>Jul</v>
      </c>
      <c r="H1338" t="s">
        <v>360</v>
      </c>
      <c r="I1338" t="s">
        <v>661</v>
      </c>
      <c r="J1338" t="str">
        <f>_xlfn.XLOOKUP(Table1[[#This Row],[Course ]], CCF!B:B, CCF!A:A)</f>
        <v>BA301</v>
      </c>
      <c r="K1338" t="s">
        <v>364</v>
      </c>
      <c r="L1338">
        <f>_xlfn.XLOOKUP(K1338, CCF!B:B, CCF!C:C)</f>
        <v>59999</v>
      </c>
      <c r="M1338" t="s">
        <v>172</v>
      </c>
    </row>
    <row r="1339" spans="1:13" x14ac:dyDescent="0.3">
      <c r="A1339">
        <v>1338</v>
      </c>
      <c r="B1339" t="s">
        <v>2000</v>
      </c>
      <c r="C1339" s="3">
        <v>20012</v>
      </c>
      <c r="D1339" t="s">
        <v>667</v>
      </c>
      <c r="E1339">
        <v>46</v>
      </c>
      <c r="F1339" s="1">
        <v>45484</v>
      </c>
      <c r="G1339" s="1" t="str">
        <f>TEXT(Table1[[#This Row],[Enrollment date]], "mmm")</f>
        <v>Jul</v>
      </c>
      <c r="H1339" t="s">
        <v>360</v>
      </c>
      <c r="I1339" t="s">
        <v>659</v>
      </c>
      <c r="J1339" t="str">
        <f>_xlfn.XLOOKUP(Table1[[#This Row],[Course ]], CCF!B:B, CCF!A:A)</f>
        <v>BA301</v>
      </c>
      <c r="K1339" t="s">
        <v>364</v>
      </c>
      <c r="L1339">
        <f>_xlfn.XLOOKUP(K1339, CCF!B:B, CCF!C:C)</f>
        <v>59999</v>
      </c>
      <c r="M1339" t="s">
        <v>545</v>
      </c>
    </row>
    <row r="1340" spans="1:13" x14ac:dyDescent="0.3">
      <c r="A1340">
        <v>1339</v>
      </c>
      <c r="B1340" t="s">
        <v>2001</v>
      </c>
      <c r="C1340" s="3">
        <v>96167</v>
      </c>
      <c r="D1340" t="s">
        <v>666</v>
      </c>
      <c r="E1340">
        <v>45</v>
      </c>
      <c r="F1340" s="1">
        <v>45484</v>
      </c>
      <c r="G1340" s="1" t="str">
        <f>TEXT(Table1[[#This Row],[Enrollment date]], "mmm")</f>
        <v>Jul</v>
      </c>
      <c r="H1340" t="s">
        <v>360</v>
      </c>
      <c r="I1340" t="s">
        <v>662</v>
      </c>
      <c r="J1340" t="str">
        <f>_xlfn.XLOOKUP(Table1[[#This Row],[Course ]], CCF!B:B, CCF!A:A)</f>
        <v>DM101</v>
      </c>
      <c r="K1340" t="s">
        <v>365</v>
      </c>
      <c r="L1340">
        <f>_xlfn.XLOOKUP(K1340, CCF!B:B, CCF!C:C)</f>
        <v>85499</v>
      </c>
      <c r="M1340" t="s">
        <v>277</v>
      </c>
    </row>
    <row r="1341" spans="1:13" x14ac:dyDescent="0.3">
      <c r="A1341">
        <v>1340</v>
      </c>
      <c r="B1341" t="s">
        <v>2002</v>
      </c>
      <c r="C1341" s="3">
        <v>54022</v>
      </c>
      <c r="D1341" t="s">
        <v>666</v>
      </c>
      <c r="E1341">
        <v>56</v>
      </c>
      <c r="F1341" s="1">
        <v>45484</v>
      </c>
      <c r="G1341" s="1" t="str">
        <f>TEXT(Table1[[#This Row],[Enrollment date]], "mmm")</f>
        <v>Jul</v>
      </c>
      <c r="H1341" t="s">
        <v>360</v>
      </c>
      <c r="I1341" t="s">
        <v>659</v>
      </c>
      <c r="J1341" t="str">
        <f>_xlfn.XLOOKUP(Table1[[#This Row],[Course ]], CCF!B:B, CCF!A:A)</f>
        <v>DA202</v>
      </c>
      <c r="K1341" t="s">
        <v>363</v>
      </c>
      <c r="L1341">
        <f>_xlfn.XLOOKUP(K1341, CCF!B:B, CCF!C:C)</f>
        <v>79999</v>
      </c>
      <c r="M1341" t="s">
        <v>168</v>
      </c>
    </row>
    <row r="1342" spans="1:13" x14ac:dyDescent="0.3">
      <c r="A1342">
        <v>1341</v>
      </c>
      <c r="B1342" t="s">
        <v>2003</v>
      </c>
      <c r="C1342" s="3">
        <v>67881</v>
      </c>
      <c r="D1342" t="s">
        <v>666</v>
      </c>
      <c r="E1342">
        <v>21</v>
      </c>
      <c r="F1342" s="1">
        <v>45484</v>
      </c>
      <c r="G1342" s="1" t="str">
        <f>TEXT(Table1[[#This Row],[Enrollment date]], "mmm")</f>
        <v>Jul</v>
      </c>
      <c r="H1342" t="s">
        <v>360</v>
      </c>
      <c r="I1342" t="s">
        <v>661</v>
      </c>
      <c r="J1342" t="str">
        <f>_xlfn.XLOOKUP(Table1[[#This Row],[Course ]], CCF!B:B, CCF!A:A)</f>
        <v>DA202</v>
      </c>
      <c r="K1342" t="s">
        <v>363</v>
      </c>
      <c r="L1342">
        <f>_xlfn.XLOOKUP(K1342, CCF!B:B, CCF!C:C)</f>
        <v>79999</v>
      </c>
      <c r="M1342" t="s">
        <v>12</v>
      </c>
    </row>
    <row r="1343" spans="1:13" x14ac:dyDescent="0.3">
      <c r="A1343">
        <v>1342</v>
      </c>
      <c r="B1343" t="s">
        <v>2004</v>
      </c>
      <c r="C1343" s="3">
        <v>29539</v>
      </c>
      <c r="D1343" t="s">
        <v>666</v>
      </c>
      <c r="E1343">
        <v>39</v>
      </c>
      <c r="F1343" s="1">
        <v>45484</v>
      </c>
      <c r="G1343" s="1" t="str">
        <f>TEXT(Table1[[#This Row],[Enrollment date]], "mmm")</f>
        <v>Jul</v>
      </c>
      <c r="H1343" t="s">
        <v>360</v>
      </c>
      <c r="I1343" t="s">
        <v>664</v>
      </c>
      <c r="J1343" t="str">
        <f>_xlfn.XLOOKUP(Table1[[#This Row],[Course ]], CCF!B:B, CCF!A:A)</f>
        <v>DA202</v>
      </c>
      <c r="K1343" t="s">
        <v>363</v>
      </c>
      <c r="L1343">
        <f>_xlfn.XLOOKUP(K1343, CCF!B:B, CCF!C:C)</f>
        <v>79999</v>
      </c>
      <c r="M1343" t="s">
        <v>9</v>
      </c>
    </row>
    <row r="1344" spans="1:13" x14ac:dyDescent="0.3">
      <c r="A1344">
        <v>1343</v>
      </c>
      <c r="B1344" t="s">
        <v>2005</v>
      </c>
      <c r="C1344" s="3">
        <v>67801</v>
      </c>
      <c r="D1344" t="s">
        <v>667</v>
      </c>
      <c r="E1344">
        <v>48</v>
      </c>
      <c r="F1344" s="1">
        <v>45484</v>
      </c>
      <c r="G1344" s="1" t="str">
        <f>TEXT(Table1[[#This Row],[Enrollment date]], "mmm")</f>
        <v>Jul</v>
      </c>
      <c r="H1344" t="s">
        <v>360</v>
      </c>
      <c r="I1344" t="s">
        <v>659</v>
      </c>
      <c r="J1344" t="str">
        <f>_xlfn.XLOOKUP(Table1[[#This Row],[Course ]], CCF!B:B, CCF!A:A)</f>
        <v>BA301</v>
      </c>
      <c r="K1344" t="s">
        <v>364</v>
      </c>
      <c r="L1344">
        <f>_xlfn.XLOOKUP(K1344, CCF!B:B, CCF!C:C)</f>
        <v>59999</v>
      </c>
      <c r="M1344" t="s">
        <v>546</v>
      </c>
    </row>
    <row r="1345" spans="1:13" x14ac:dyDescent="0.3">
      <c r="A1345">
        <v>1344</v>
      </c>
      <c r="B1345" t="s">
        <v>2006</v>
      </c>
      <c r="C1345" s="3">
        <v>81279</v>
      </c>
      <c r="D1345" t="s">
        <v>666</v>
      </c>
      <c r="E1345">
        <v>42</v>
      </c>
      <c r="F1345" s="1">
        <v>45484</v>
      </c>
      <c r="G1345" s="1" t="str">
        <f>TEXT(Table1[[#This Row],[Enrollment date]], "mmm")</f>
        <v>Jul</v>
      </c>
      <c r="H1345" t="s">
        <v>360</v>
      </c>
      <c r="I1345" t="s">
        <v>660</v>
      </c>
      <c r="J1345" t="str">
        <f>_xlfn.XLOOKUP(Table1[[#This Row],[Course ]], CCF!B:B, CCF!A:A)</f>
        <v>DA202</v>
      </c>
      <c r="K1345" t="s">
        <v>363</v>
      </c>
      <c r="L1345">
        <f>_xlfn.XLOOKUP(K1345, CCF!B:B, CCF!C:C)</f>
        <v>79999</v>
      </c>
      <c r="M1345" t="s">
        <v>48</v>
      </c>
    </row>
    <row r="1346" spans="1:13" x14ac:dyDescent="0.3">
      <c r="A1346">
        <v>1345</v>
      </c>
      <c r="B1346" t="s">
        <v>2007</v>
      </c>
      <c r="C1346" s="3">
        <v>93548</v>
      </c>
      <c r="D1346" t="s">
        <v>666</v>
      </c>
      <c r="E1346">
        <v>19</v>
      </c>
      <c r="F1346" s="1">
        <v>45485</v>
      </c>
      <c r="G1346" s="1" t="str">
        <f>TEXT(Table1[[#This Row],[Enrollment date]], "mmm")</f>
        <v>Jul</v>
      </c>
      <c r="H1346" t="s">
        <v>360</v>
      </c>
      <c r="I1346" t="s">
        <v>660</v>
      </c>
      <c r="J1346" t="str">
        <f>_xlfn.XLOOKUP(Table1[[#This Row],[Course ]], CCF!B:B, CCF!A:A)</f>
        <v>DA202</v>
      </c>
      <c r="K1346" t="s">
        <v>363</v>
      </c>
      <c r="L1346">
        <f>_xlfn.XLOOKUP(K1346, CCF!B:B, CCF!C:C)</f>
        <v>79999</v>
      </c>
      <c r="M1346" t="s">
        <v>9</v>
      </c>
    </row>
    <row r="1347" spans="1:13" x14ac:dyDescent="0.3">
      <c r="A1347">
        <v>1346</v>
      </c>
      <c r="B1347" t="s">
        <v>2008</v>
      </c>
      <c r="C1347" s="3">
        <v>25538</v>
      </c>
      <c r="D1347" t="s">
        <v>666</v>
      </c>
      <c r="E1347">
        <v>30</v>
      </c>
      <c r="F1347" s="1">
        <v>45485</v>
      </c>
      <c r="G1347" s="1" t="str">
        <f>TEXT(Table1[[#This Row],[Enrollment date]], "mmm")</f>
        <v>Jul</v>
      </c>
      <c r="H1347" t="s">
        <v>360</v>
      </c>
      <c r="I1347" t="s">
        <v>663</v>
      </c>
      <c r="J1347" t="str">
        <f>_xlfn.XLOOKUP(Table1[[#This Row],[Course ]], CCF!B:B, CCF!A:A)</f>
        <v>DM101</v>
      </c>
      <c r="K1347" t="s">
        <v>365</v>
      </c>
      <c r="L1347">
        <f>_xlfn.XLOOKUP(K1347, CCF!B:B, CCF!C:C)</f>
        <v>85499</v>
      </c>
      <c r="M1347" t="s">
        <v>184</v>
      </c>
    </row>
    <row r="1348" spans="1:13" x14ac:dyDescent="0.3">
      <c r="A1348">
        <v>1347</v>
      </c>
      <c r="B1348" t="s">
        <v>2009</v>
      </c>
      <c r="C1348" s="3">
        <v>67550</v>
      </c>
      <c r="D1348" t="s">
        <v>666</v>
      </c>
      <c r="E1348">
        <v>20</v>
      </c>
      <c r="F1348" s="1">
        <v>45485</v>
      </c>
      <c r="G1348" s="1" t="str">
        <f>TEXT(Table1[[#This Row],[Enrollment date]], "mmm")</f>
        <v>Jul</v>
      </c>
      <c r="H1348" t="s">
        <v>360</v>
      </c>
      <c r="I1348" t="s">
        <v>659</v>
      </c>
      <c r="J1348" t="str">
        <f>_xlfn.XLOOKUP(Table1[[#This Row],[Course ]], CCF!B:B, CCF!A:A)</f>
        <v>DM101</v>
      </c>
      <c r="K1348" t="s">
        <v>365</v>
      </c>
      <c r="L1348">
        <f>_xlfn.XLOOKUP(K1348, CCF!B:B, CCF!C:C)</f>
        <v>85499</v>
      </c>
      <c r="M1348" t="s">
        <v>27</v>
      </c>
    </row>
    <row r="1349" spans="1:13" x14ac:dyDescent="0.3">
      <c r="A1349">
        <v>1348</v>
      </c>
      <c r="B1349" t="s">
        <v>2010</v>
      </c>
      <c r="C1349" s="3">
        <v>64282</v>
      </c>
      <c r="D1349" t="s">
        <v>667</v>
      </c>
      <c r="E1349">
        <v>44</v>
      </c>
      <c r="F1349" s="1">
        <v>45485</v>
      </c>
      <c r="G1349" s="1" t="str">
        <f>TEXT(Table1[[#This Row],[Enrollment date]], "mmm")</f>
        <v>Jul</v>
      </c>
      <c r="H1349" t="s">
        <v>360</v>
      </c>
      <c r="I1349" t="s">
        <v>659</v>
      </c>
      <c r="J1349" t="str">
        <f>_xlfn.XLOOKUP(Table1[[#This Row],[Course ]], CCF!B:B, CCF!A:A)</f>
        <v>DM101</v>
      </c>
      <c r="K1349" t="s">
        <v>365</v>
      </c>
      <c r="L1349">
        <f>_xlfn.XLOOKUP(K1349, CCF!B:B, CCF!C:C)</f>
        <v>85499</v>
      </c>
      <c r="M1349" t="s">
        <v>547</v>
      </c>
    </row>
    <row r="1350" spans="1:13" x14ac:dyDescent="0.3">
      <c r="A1350">
        <v>1349</v>
      </c>
      <c r="B1350" t="s">
        <v>2011</v>
      </c>
      <c r="C1350" s="3">
        <v>17014</v>
      </c>
      <c r="D1350" t="s">
        <v>666</v>
      </c>
      <c r="E1350">
        <v>26</v>
      </c>
      <c r="F1350" s="1">
        <v>45485</v>
      </c>
      <c r="G1350" s="1" t="str">
        <f>TEXT(Table1[[#This Row],[Enrollment date]], "mmm")</f>
        <v>Jul</v>
      </c>
      <c r="H1350" t="s">
        <v>360</v>
      </c>
      <c r="I1350" t="s">
        <v>662</v>
      </c>
      <c r="J1350" t="str">
        <f>_xlfn.XLOOKUP(Table1[[#This Row],[Course ]], CCF!B:B, CCF!A:A)</f>
        <v>DM101</v>
      </c>
      <c r="K1350" t="s">
        <v>365</v>
      </c>
      <c r="L1350">
        <f>_xlfn.XLOOKUP(K1350, CCF!B:B, CCF!C:C)</f>
        <v>85499</v>
      </c>
      <c r="M1350" t="s">
        <v>38</v>
      </c>
    </row>
    <row r="1351" spans="1:13" x14ac:dyDescent="0.3">
      <c r="A1351">
        <v>1350</v>
      </c>
      <c r="B1351" t="s">
        <v>2012</v>
      </c>
      <c r="C1351" s="3">
        <v>59414</v>
      </c>
      <c r="D1351" t="s">
        <v>666</v>
      </c>
      <c r="E1351">
        <v>25</v>
      </c>
      <c r="F1351" s="1">
        <v>45485</v>
      </c>
      <c r="G1351" s="1" t="str">
        <f>TEXT(Table1[[#This Row],[Enrollment date]], "mmm")</f>
        <v>Jul</v>
      </c>
      <c r="H1351" t="s">
        <v>360</v>
      </c>
      <c r="I1351" t="s">
        <v>665</v>
      </c>
      <c r="J1351" t="str">
        <f>_xlfn.XLOOKUP(Table1[[#This Row],[Course ]], CCF!B:B, CCF!A:A)</f>
        <v>BA301</v>
      </c>
      <c r="K1351" t="s">
        <v>364</v>
      </c>
      <c r="L1351">
        <f>_xlfn.XLOOKUP(K1351, CCF!B:B, CCF!C:C)</f>
        <v>59999</v>
      </c>
      <c r="M1351" t="s">
        <v>548</v>
      </c>
    </row>
    <row r="1352" spans="1:13" x14ac:dyDescent="0.3">
      <c r="A1352">
        <v>1351</v>
      </c>
      <c r="B1352" t="s">
        <v>2013</v>
      </c>
      <c r="C1352" s="3">
        <v>74307</v>
      </c>
      <c r="D1352" t="s">
        <v>666</v>
      </c>
      <c r="E1352">
        <v>37</v>
      </c>
      <c r="F1352" s="1">
        <v>45485</v>
      </c>
      <c r="G1352" s="1" t="str">
        <f>TEXT(Table1[[#This Row],[Enrollment date]], "mmm")</f>
        <v>Jul</v>
      </c>
      <c r="H1352" t="s">
        <v>360</v>
      </c>
      <c r="I1352" t="s">
        <v>662</v>
      </c>
      <c r="J1352" t="str">
        <f>_xlfn.XLOOKUP(Table1[[#This Row],[Course ]], CCF!B:B, CCF!A:A)</f>
        <v>DM101</v>
      </c>
      <c r="K1352" t="s">
        <v>365</v>
      </c>
      <c r="L1352">
        <f>_xlfn.XLOOKUP(K1352, CCF!B:B, CCF!C:C)</f>
        <v>85499</v>
      </c>
      <c r="M1352" t="s">
        <v>17</v>
      </c>
    </row>
    <row r="1353" spans="1:13" x14ac:dyDescent="0.3">
      <c r="A1353">
        <v>1352</v>
      </c>
      <c r="B1353" t="s">
        <v>2014</v>
      </c>
      <c r="C1353" s="3">
        <v>89858</v>
      </c>
      <c r="D1353" t="s">
        <v>667</v>
      </c>
      <c r="E1353">
        <v>29</v>
      </c>
      <c r="F1353" s="1">
        <v>45486</v>
      </c>
      <c r="G1353" s="1" t="str">
        <f>TEXT(Table1[[#This Row],[Enrollment date]], "mmm")</f>
        <v>Jul</v>
      </c>
      <c r="H1353" t="s">
        <v>360</v>
      </c>
      <c r="I1353" t="s">
        <v>660</v>
      </c>
      <c r="J1353" t="str">
        <f>_xlfn.XLOOKUP(Table1[[#This Row],[Course ]], CCF!B:B, CCF!A:A)</f>
        <v>HR201</v>
      </c>
      <c r="K1353" t="s">
        <v>3152</v>
      </c>
      <c r="L1353">
        <f>_xlfn.XLOOKUP(K1353, CCF!B:B, CCF!C:C)</f>
        <v>41999</v>
      </c>
      <c r="M1353" t="s">
        <v>20</v>
      </c>
    </row>
    <row r="1354" spans="1:13" x14ac:dyDescent="0.3">
      <c r="A1354">
        <v>1353</v>
      </c>
      <c r="B1354" t="s">
        <v>2015</v>
      </c>
      <c r="C1354" s="3">
        <v>63689</v>
      </c>
      <c r="D1354" t="s">
        <v>666</v>
      </c>
      <c r="E1354">
        <v>48</v>
      </c>
      <c r="F1354" s="1">
        <v>45486</v>
      </c>
      <c r="G1354" s="1" t="str">
        <f>TEXT(Table1[[#This Row],[Enrollment date]], "mmm")</f>
        <v>Jul</v>
      </c>
      <c r="H1354" t="s">
        <v>360</v>
      </c>
      <c r="I1354" t="s">
        <v>661</v>
      </c>
      <c r="J1354" t="str">
        <f>_xlfn.XLOOKUP(Table1[[#This Row],[Course ]], CCF!B:B, CCF!A:A)</f>
        <v>DA202</v>
      </c>
      <c r="K1354" t="s">
        <v>363</v>
      </c>
      <c r="L1354">
        <f>_xlfn.XLOOKUP(K1354, CCF!B:B, CCF!C:C)</f>
        <v>79999</v>
      </c>
      <c r="M1354" t="s">
        <v>141</v>
      </c>
    </row>
    <row r="1355" spans="1:13" x14ac:dyDescent="0.3">
      <c r="A1355">
        <v>1354</v>
      </c>
      <c r="B1355" t="s">
        <v>2016</v>
      </c>
      <c r="C1355" s="3">
        <v>94160</v>
      </c>
      <c r="D1355" t="s">
        <v>666</v>
      </c>
      <c r="E1355">
        <v>24</v>
      </c>
      <c r="F1355" s="1">
        <v>45486</v>
      </c>
      <c r="G1355" s="1" t="str">
        <f>TEXT(Table1[[#This Row],[Enrollment date]], "mmm")</f>
        <v>Jul</v>
      </c>
      <c r="H1355" t="s">
        <v>360</v>
      </c>
      <c r="I1355" t="s">
        <v>660</v>
      </c>
      <c r="J1355" t="str">
        <f>_xlfn.XLOOKUP(Table1[[#This Row],[Course ]], CCF!B:B, CCF!A:A)</f>
        <v>DA202</v>
      </c>
      <c r="K1355" t="s">
        <v>363</v>
      </c>
      <c r="L1355">
        <f>_xlfn.XLOOKUP(K1355, CCF!B:B, CCF!C:C)</f>
        <v>79999</v>
      </c>
      <c r="M1355" t="s">
        <v>16</v>
      </c>
    </row>
    <row r="1356" spans="1:13" x14ac:dyDescent="0.3">
      <c r="A1356">
        <v>1355</v>
      </c>
      <c r="B1356" t="s">
        <v>2017</v>
      </c>
      <c r="C1356" s="3">
        <v>15458</v>
      </c>
      <c r="D1356" t="s">
        <v>666</v>
      </c>
      <c r="E1356">
        <v>31</v>
      </c>
      <c r="F1356" s="1">
        <v>45487</v>
      </c>
      <c r="G1356" s="1" t="str">
        <f>TEXT(Table1[[#This Row],[Enrollment date]], "mmm")</f>
        <v>Jul</v>
      </c>
      <c r="H1356" t="s">
        <v>360</v>
      </c>
      <c r="I1356" t="s">
        <v>659</v>
      </c>
      <c r="J1356" t="str">
        <f>_xlfn.XLOOKUP(Table1[[#This Row],[Course ]], CCF!B:B, CCF!A:A)</f>
        <v>FSD103</v>
      </c>
      <c r="K1356" t="s">
        <v>366</v>
      </c>
      <c r="L1356">
        <f>_xlfn.XLOOKUP(K1356, CCF!B:B, CCF!C:C)</f>
        <v>109990</v>
      </c>
      <c r="M1356" t="s">
        <v>40</v>
      </c>
    </row>
    <row r="1357" spans="1:13" x14ac:dyDescent="0.3">
      <c r="A1357">
        <v>1356</v>
      </c>
      <c r="B1357" t="s">
        <v>2018</v>
      </c>
      <c r="C1357" s="3">
        <v>54581</v>
      </c>
      <c r="D1357" t="s">
        <v>667</v>
      </c>
      <c r="E1357">
        <v>34</v>
      </c>
      <c r="F1357" s="1">
        <v>45487</v>
      </c>
      <c r="G1357" s="1" t="str">
        <f>TEXT(Table1[[#This Row],[Enrollment date]], "mmm")</f>
        <v>Jul</v>
      </c>
      <c r="H1357" t="s">
        <v>360</v>
      </c>
      <c r="I1357" t="s">
        <v>665</v>
      </c>
      <c r="J1357" t="str">
        <f>_xlfn.XLOOKUP(Table1[[#This Row],[Course ]], CCF!B:B, CCF!A:A)</f>
        <v>FSD103</v>
      </c>
      <c r="K1357" t="s">
        <v>366</v>
      </c>
      <c r="L1357">
        <f>_xlfn.XLOOKUP(K1357, CCF!B:B, CCF!C:C)</f>
        <v>109990</v>
      </c>
      <c r="M1357" t="s">
        <v>9</v>
      </c>
    </row>
    <row r="1358" spans="1:13" x14ac:dyDescent="0.3">
      <c r="A1358">
        <v>1357</v>
      </c>
      <c r="B1358" t="s">
        <v>2019</v>
      </c>
      <c r="C1358" s="3">
        <v>68014</v>
      </c>
      <c r="D1358" t="s">
        <v>667</v>
      </c>
      <c r="E1358">
        <v>35</v>
      </c>
      <c r="F1358" s="1">
        <v>45487</v>
      </c>
      <c r="G1358" s="1" t="str">
        <f>TEXT(Table1[[#This Row],[Enrollment date]], "mmm")</f>
        <v>Jul</v>
      </c>
      <c r="H1358" t="s">
        <v>360</v>
      </c>
      <c r="I1358" t="s">
        <v>663</v>
      </c>
      <c r="J1358" t="str">
        <f>_xlfn.XLOOKUP(Table1[[#This Row],[Course ]], CCF!B:B, CCF!A:A)</f>
        <v>DA202</v>
      </c>
      <c r="K1358" t="s">
        <v>363</v>
      </c>
      <c r="L1358">
        <f>_xlfn.XLOOKUP(K1358, CCF!B:B, CCF!C:C)</f>
        <v>79999</v>
      </c>
      <c r="M1358" t="s">
        <v>20</v>
      </c>
    </row>
    <row r="1359" spans="1:13" x14ac:dyDescent="0.3">
      <c r="A1359">
        <v>1358</v>
      </c>
      <c r="B1359" t="s">
        <v>2020</v>
      </c>
      <c r="C1359" s="3">
        <v>34049</v>
      </c>
      <c r="D1359" t="s">
        <v>666</v>
      </c>
      <c r="E1359">
        <v>42</v>
      </c>
      <c r="F1359" s="1">
        <v>45487</v>
      </c>
      <c r="G1359" s="1" t="str">
        <f>TEXT(Table1[[#This Row],[Enrollment date]], "mmm")</f>
        <v>Jul</v>
      </c>
      <c r="H1359" t="s">
        <v>3</v>
      </c>
      <c r="I1359" t="s">
        <v>659</v>
      </c>
      <c r="J1359" t="str">
        <f>_xlfn.XLOOKUP(Table1[[#This Row],[Course ]], CCF!B:B, CCF!A:A)</f>
        <v>DM101</v>
      </c>
      <c r="K1359" t="s">
        <v>365</v>
      </c>
      <c r="L1359">
        <f>_xlfn.XLOOKUP(K1359, CCF!B:B, CCF!C:C)</f>
        <v>85499</v>
      </c>
      <c r="M1359" t="s">
        <v>99</v>
      </c>
    </row>
    <row r="1360" spans="1:13" x14ac:dyDescent="0.3">
      <c r="A1360">
        <v>1359</v>
      </c>
      <c r="B1360" t="s">
        <v>2021</v>
      </c>
      <c r="C1360" s="3">
        <v>61888</v>
      </c>
      <c r="D1360" t="s">
        <v>666</v>
      </c>
      <c r="E1360">
        <v>25</v>
      </c>
      <c r="F1360" s="1">
        <v>45487</v>
      </c>
      <c r="G1360" s="1" t="str">
        <f>TEXT(Table1[[#This Row],[Enrollment date]], "mmm")</f>
        <v>Jul</v>
      </c>
      <c r="H1360" t="s">
        <v>360</v>
      </c>
      <c r="I1360" t="s">
        <v>660</v>
      </c>
      <c r="J1360" t="str">
        <f>_xlfn.XLOOKUP(Table1[[#This Row],[Course ]], CCF!B:B, CCF!A:A)</f>
        <v>DA202</v>
      </c>
      <c r="K1360" t="s">
        <v>363</v>
      </c>
      <c r="L1360">
        <f>_xlfn.XLOOKUP(K1360, CCF!B:B, CCF!C:C)</f>
        <v>79999</v>
      </c>
      <c r="M1360" t="s">
        <v>247</v>
      </c>
    </row>
    <row r="1361" spans="1:13" x14ac:dyDescent="0.3">
      <c r="A1361">
        <v>1360</v>
      </c>
      <c r="B1361" t="s">
        <v>2022</v>
      </c>
      <c r="C1361" s="3">
        <v>77590</v>
      </c>
      <c r="D1361" t="s">
        <v>666</v>
      </c>
      <c r="E1361">
        <v>55</v>
      </c>
      <c r="F1361" s="1">
        <v>45487</v>
      </c>
      <c r="G1361" s="1" t="str">
        <f>TEXT(Table1[[#This Row],[Enrollment date]], "mmm")</f>
        <v>Jul</v>
      </c>
      <c r="H1361" t="s">
        <v>360</v>
      </c>
      <c r="I1361" t="s">
        <v>661</v>
      </c>
      <c r="J1361" t="str">
        <f>_xlfn.XLOOKUP(Table1[[#This Row],[Course ]], CCF!B:B, CCF!A:A)</f>
        <v>DA202</v>
      </c>
      <c r="K1361" t="s">
        <v>363</v>
      </c>
      <c r="L1361">
        <f>_xlfn.XLOOKUP(K1361, CCF!B:B, CCF!C:C)</f>
        <v>79999</v>
      </c>
      <c r="M1361" t="s">
        <v>9</v>
      </c>
    </row>
    <row r="1362" spans="1:13" x14ac:dyDescent="0.3">
      <c r="A1362">
        <v>1361</v>
      </c>
      <c r="B1362" t="s">
        <v>2023</v>
      </c>
      <c r="C1362" s="3">
        <v>62516</v>
      </c>
      <c r="D1362" t="s">
        <v>666</v>
      </c>
      <c r="E1362">
        <v>18</v>
      </c>
      <c r="F1362" s="1">
        <v>45487</v>
      </c>
      <c r="G1362" s="1" t="str">
        <f>TEXT(Table1[[#This Row],[Enrollment date]], "mmm")</f>
        <v>Jul</v>
      </c>
      <c r="H1362" t="s">
        <v>360</v>
      </c>
      <c r="I1362" t="s">
        <v>660</v>
      </c>
      <c r="J1362" t="str">
        <f>_xlfn.XLOOKUP(Table1[[#This Row],[Course ]], CCF!B:B, CCF!A:A)</f>
        <v>DM101</v>
      </c>
      <c r="K1362" t="s">
        <v>365</v>
      </c>
      <c r="L1362">
        <f>_xlfn.XLOOKUP(K1362, CCF!B:B, CCF!C:C)</f>
        <v>85499</v>
      </c>
      <c r="M1362" t="s">
        <v>175</v>
      </c>
    </row>
    <row r="1363" spans="1:13" x14ac:dyDescent="0.3">
      <c r="A1363">
        <v>1362</v>
      </c>
      <c r="B1363" t="s">
        <v>2024</v>
      </c>
      <c r="C1363" s="3">
        <v>85359</v>
      </c>
      <c r="D1363" t="s">
        <v>666</v>
      </c>
      <c r="E1363">
        <v>77</v>
      </c>
      <c r="F1363" s="1">
        <v>45487</v>
      </c>
      <c r="G1363" s="1" t="str">
        <f>TEXT(Table1[[#This Row],[Enrollment date]], "mmm")</f>
        <v>Jul</v>
      </c>
      <c r="H1363" t="s">
        <v>360</v>
      </c>
      <c r="I1363" t="s">
        <v>661</v>
      </c>
      <c r="J1363" t="str">
        <f>_xlfn.XLOOKUP(Table1[[#This Row],[Course ]], CCF!B:B, CCF!A:A)</f>
        <v>DA202</v>
      </c>
      <c r="K1363" t="s">
        <v>363</v>
      </c>
      <c r="L1363">
        <f>_xlfn.XLOOKUP(K1363, CCF!B:B, CCF!C:C)</f>
        <v>79999</v>
      </c>
      <c r="M1363" t="s">
        <v>9</v>
      </c>
    </row>
    <row r="1364" spans="1:13" x14ac:dyDescent="0.3">
      <c r="A1364">
        <v>1363</v>
      </c>
      <c r="B1364" t="s">
        <v>2025</v>
      </c>
      <c r="C1364" s="3">
        <v>49907</v>
      </c>
      <c r="D1364" t="s">
        <v>666</v>
      </c>
      <c r="E1364">
        <v>50</v>
      </c>
      <c r="F1364" s="1">
        <v>45488</v>
      </c>
      <c r="G1364" s="1" t="str">
        <f>TEXT(Table1[[#This Row],[Enrollment date]], "mmm")</f>
        <v>Jul</v>
      </c>
      <c r="H1364" t="s">
        <v>360</v>
      </c>
      <c r="I1364" t="s">
        <v>661</v>
      </c>
      <c r="J1364" t="str">
        <f>_xlfn.XLOOKUP(Table1[[#This Row],[Course ]], CCF!B:B, CCF!A:A)</f>
        <v>DM101</v>
      </c>
      <c r="K1364" t="s">
        <v>365</v>
      </c>
      <c r="L1364">
        <f>_xlfn.XLOOKUP(K1364, CCF!B:B, CCF!C:C)</f>
        <v>85499</v>
      </c>
      <c r="M1364" t="s">
        <v>27</v>
      </c>
    </row>
    <row r="1365" spans="1:13" x14ac:dyDescent="0.3">
      <c r="A1365">
        <v>1364</v>
      </c>
      <c r="B1365" t="s">
        <v>2026</v>
      </c>
      <c r="C1365" s="3">
        <v>63093</v>
      </c>
      <c r="D1365" t="s">
        <v>666</v>
      </c>
      <c r="E1365">
        <v>30</v>
      </c>
      <c r="F1365" s="1">
        <v>45488</v>
      </c>
      <c r="G1365" s="1" t="str">
        <f>TEXT(Table1[[#This Row],[Enrollment date]], "mmm")</f>
        <v>Jul</v>
      </c>
      <c r="H1365" t="s">
        <v>360</v>
      </c>
      <c r="I1365" t="s">
        <v>659</v>
      </c>
      <c r="J1365" t="str">
        <f>_xlfn.XLOOKUP(Table1[[#This Row],[Course ]], CCF!B:B, CCF!A:A)</f>
        <v>DM101</v>
      </c>
      <c r="K1365" t="s">
        <v>365</v>
      </c>
      <c r="L1365">
        <f>_xlfn.XLOOKUP(K1365, CCF!B:B, CCF!C:C)</f>
        <v>85499</v>
      </c>
      <c r="M1365" t="s">
        <v>283</v>
      </c>
    </row>
    <row r="1366" spans="1:13" x14ac:dyDescent="0.3">
      <c r="A1366">
        <v>1365</v>
      </c>
      <c r="B1366" t="s">
        <v>2027</v>
      </c>
      <c r="C1366" s="3">
        <v>24218</v>
      </c>
      <c r="D1366" t="s">
        <v>667</v>
      </c>
      <c r="E1366">
        <v>34</v>
      </c>
      <c r="F1366" s="1">
        <v>45488</v>
      </c>
      <c r="G1366" s="1" t="str">
        <f>TEXT(Table1[[#This Row],[Enrollment date]], "mmm")</f>
        <v>Jul</v>
      </c>
      <c r="H1366" t="s">
        <v>360</v>
      </c>
      <c r="I1366" t="s">
        <v>660</v>
      </c>
      <c r="J1366" t="str">
        <f>_xlfn.XLOOKUP(Table1[[#This Row],[Course ]], CCF!B:B, CCF!A:A)</f>
        <v>DM101</v>
      </c>
      <c r="K1366" t="s">
        <v>365</v>
      </c>
      <c r="L1366">
        <f>_xlfn.XLOOKUP(K1366, CCF!B:B, CCF!C:C)</f>
        <v>85499</v>
      </c>
      <c r="M1366" t="s">
        <v>104</v>
      </c>
    </row>
    <row r="1367" spans="1:13" x14ac:dyDescent="0.3">
      <c r="A1367">
        <v>1366</v>
      </c>
      <c r="B1367" t="s">
        <v>2028</v>
      </c>
      <c r="C1367" s="3">
        <v>93345</v>
      </c>
      <c r="D1367" t="s">
        <v>666</v>
      </c>
      <c r="E1367">
        <v>25</v>
      </c>
      <c r="F1367" s="1">
        <v>45488</v>
      </c>
      <c r="G1367" s="1" t="str">
        <f>TEXT(Table1[[#This Row],[Enrollment date]], "mmm")</f>
        <v>Jul</v>
      </c>
      <c r="H1367" t="s">
        <v>360</v>
      </c>
      <c r="I1367" t="s">
        <v>659</v>
      </c>
      <c r="J1367" t="str">
        <f>_xlfn.XLOOKUP(Table1[[#This Row],[Course ]], CCF!B:B, CCF!A:A)</f>
        <v>DM101</v>
      </c>
      <c r="K1367" t="s">
        <v>365</v>
      </c>
      <c r="L1367">
        <f>_xlfn.XLOOKUP(K1367, CCF!B:B, CCF!C:C)</f>
        <v>85499</v>
      </c>
      <c r="M1367" t="s">
        <v>549</v>
      </c>
    </row>
    <row r="1368" spans="1:13" x14ac:dyDescent="0.3">
      <c r="A1368">
        <v>1367</v>
      </c>
      <c r="B1368" t="s">
        <v>2029</v>
      </c>
      <c r="C1368" s="3">
        <v>37091</v>
      </c>
      <c r="D1368" t="s">
        <v>666</v>
      </c>
      <c r="E1368">
        <v>35</v>
      </c>
      <c r="F1368" s="1">
        <v>45488</v>
      </c>
      <c r="G1368" s="1" t="str">
        <f>TEXT(Table1[[#This Row],[Enrollment date]], "mmm")</f>
        <v>Jul</v>
      </c>
      <c r="H1368" t="s">
        <v>360</v>
      </c>
      <c r="I1368" t="s">
        <v>659</v>
      </c>
      <c r="J1368" t="str">
        <f>_xlfn.XLOOKUP(Table1[[#This Row],[Course ]], CCF!B:B, CCF!A:A)</f>
        <v>DM101</v>
      </c>
      <c r="K1368" t="s">
        <v>365</v>
      </c>
      <c r="L1368">
        <f>_xlfn.XLOOKUP(K1368, CCF!B:B, CCF!C:C)</f>
        <v>85499</v>
      </c>
      <c r="M1368" t="s">
        <v>43</v>
      </c>
    </row>
    <row r="1369" spans="1:13" x14ac:dyDescent="0.3">
      <c r="A1369">
        <v>1368</v>
      </c>
      <c r="B1369" t="s">
        <v>2030</v>
      </c>
      <c r="C1369" s="3">
        <v>59930</v>
      </c>
      <c r="D1369" t="s">
        <v>667</v>
      </c>
      <c r="E1369">
        <v>25</v>
      </c>
      <c r="F1369" s="1">
        <v>45488</v>
      </c>
      <c r="G1369" s="1" t="str">
        <f>TEXT(Table1[[#This Row],[Enrollment date]], "mmm")</f>
        <v>Jul</v>
      </c>
      <c r="H1369" t="s">
        <v>360</v>
      </c>
      <c r="I1369" t="s">
        <v>660</v>
      </c>
      <c r="J1369" t="str">
        <f>_xlfn.XLOOKUP(Table1[[#This Row],[Course ]], CCF!B:B, CCF!A:A)</f>
        <v>DM101</v>
      </c>
      <c r="K1369" t="s">
        <v>365</v>
      </c>
      <c r="L1369">
        <f>_xlfn.XLOOKUP(K1369, CCF!B:B, CCF!C:C)</f>
        <v>85499</v>
      </c>
      <c r="M1369" t="s">
        <v>111</v>
      </c>
    </row>
    <row r="1370" spans="1:13" x14ac:dyDescent="0.3">
      <c r="A1370">
        <v>1369</v>
      </c>
      <c r="B1370" t="s">
        <v>2031</v>
      </c>
      <c r="C1370" s="3">
        <v>45285</v>
      </c>
      <c r="D1370" t="s">
        <v>667</v>
      </c>
      <c r="E1370">
        <v>37</v>
      </c>
      <c r="F1370" s="1">
        <v>45489</v>
      </c>
      <c r="G1370" s="1" t="str">
        <f>TEXT(Table1[[#This Row],[Enrollment date]], "mmm")</f>
        <v>Jul</v>
      </c>
      <c r="H1370" t="s">
        <v>360</v>
      </c>
      <c r="I1370" t="s">
        <v>663</v>
      </c>
      <c r="J1370" t="str">
        <f>_xlfn.XLOOKUP(Table1[[#This Row],[Course ]], CCF!B:B, CCF!A:A)</f>
        <v>DM101</v>
      </c>
      <c r="K1370" t="s">
        <v>365</v>
      </c>
      <c r="L1370">
        <f>_xlfn.XLOOKUP(K1370, CCF!B:B, CCF!C:C)</f>
        <v>85499</v>
      </c>
      <c r="M1370" t="s">
        <v>316</v>
      </c>
    </row>
    <row r="1371" spans="1:13" x14ac:dyDescent="0.3">
      <c r="A1371">
        <v>1370</v>
      </c>
      <c r="B1371" t="s">
        <v>2032</v>
      </c>
      <c r="C1371" s="3">
        <v>89900</v>
      </c>
      <c r="D1371" t="s">
        <v>667</v>
      </c>
      <c r="E1371">
        <v>47</v>
      </c>
      <c r="F1371" s="1">
        <v>45489</v>
      </c>
      <c r="G1371" s="1" t="str">
        <f>TEXT(Table1[[#This Row],[Enrollment date]], "mmm")</f>
        <v>Jul</v>
      </c>
      <c r="H1371" t="s">
        <v>360</v>
      </c>
      <c r="I1371" t="s">
        <v>659</v>
      </c>
      <c r="J1371" t="str">
        <f>_xlfn.XLOOKUP(Table1[[#This Row],[Course ]], CCF!B:B, CCF!A:A)</f>
        <v>DM101</v>
      </c>
      <c r="K1371" t="s">
        <v>365</v>
      </c>
      <c r="L1371">
        <f>_xlfn.XLOOKUP(K1371, CCF!B:B, CCF!C:C)</f>
        <v>85499</v>
      </c>
      <c r="M1371" t="s">
        <v>347</v>
      </c>
    </row>
    <row r="1372" spans="1:13" x14ac:dyDescent="0.3">
      <c r="A1372">
        <v>1371</v>
      </c>
      <c r="B1372" t="s">
        <v>2033</v>
      </c>
      <c r="C1372" s="3">
        <v>38640</v>
      </c>
      <c r="D1372" t="s">
        <v>667</v>
      </c>
      <c r="E1372">
        <v>57</v>
      </c>
      <c r="F1372" s="1">
        <v>45489</v>
      </c>
      <c r="G1372" s="1" t="str">
        <f>TEXT(Table1[[#This Row],[Enrollment date]], "mmm")</f>
        <v>Jul</v>
      </c>
      <c r="H1372" t="s">
        <v>360</v>
      </c>
      <c r="I1372" t="s">
        <v>661</v>
      </c>
      <c r="J1372" t="str">
        <f>_xlfn.XLOOKUP(Table1[[#This Row],[Course ]], CCF!B:B, CCF!A:A)</f>
        <v>DM101</v>
      </c>
      <c r="K1372" t="s">
        <v>365</v>
      </c>
      <c r="L1372">
        <f>_xlfn.XLOOKUP(K1372, CCF!B:B, CCF!C:C)</f>
        <v>85499</v>
      </c>
      <c r="M1372" t="s">
        <v>16</v>
      </c>
    </row>
    <row r="1373" spans="1:13" x14ac:dyDescent="0.3">
      <c r="A1373">
        <v>1372</v>
      </c>
      <c r="B1373" t="s">
        <v>2034</v>
      </c>
      <c r="C1373" s="3">
        <v>34675</v>
      </c>
      <c r="D1373" t="s">
        <v>667</v>
      </c>
      <c r="E1373">
        <v>77</v>
      </c>
      <c r="F1373" s="1">
        <v>45489</v>
      </c>
      <c r="G1373" s="1" t="str">
        <f>TEXT(Table1[[#This Row],[Enrollment date]], "mmm")</f>
        <v>Jul</v>
      </c>
      <c r="H1373" t="s">
        <v>3</v>
      </c>
      <c r="I1373" t="s">
        <v>659</v>
      </c>
      <c r="J1373" t="str">
        <f>_xlfn.XLOOKUP(Table1[[#This Row],[Course ]], CCF!B:B, CCF!A:A)</f>
        <v>DA202</v>
      </c>
      <c r="K1373" t="s">
        <v>363</v>
      </c>
      <c r="L1373">
        <f>_xlfn.XLOOKUP(K1373, CCF!B:B, CCF!C:C)</f>
        <v>79999</v>
      </c>
      <c r="M1373" t="s">
        <v>124</v>
      </c>
    </row>
    <row r="1374" spans="1:13" x14ac:dyDescent="0.3">
      <c r="A1374">
        <v>1373</v>
      </c>
      <c r="B1374" t="s">
        <v>2035</v>
      </c>
      <c r="C1374" s="3">
        <v>33497</v>
      </c>
      <c r="D1374" t="s">
        <v>666</v>
      </c>
      <c r="E1374">
        <v>18</v>
      </c>
      <c r="F1374" s="1">
        <v>45490</v>
      </c>
      <c r="G1374" s="1" t="str">
        <f>TEXT(Table1[[#This Row],[Enrollment date]], "mmm")</f>
        <v>Jul</v>
      </c>
      <c r="H1374" t="s">
        <v>360</v>
      </c>
      <c r="I1374" t="s">
        <v>662</v>
      </c>
      <c r="J1374" t="str">
        <f>_xlfn.XLOOKUP(Table1[[#This Row],[Course ]], CCF!B:B, CCF!A:A)</f>
        <v>DM101</v>
      </c>
      <c r="K1374" t="s">
        <v>365</v>
      </c>
      <c r="L1374">
        <f>_xlfn.XLOOKUP(K1374, CCF!B:B, CCF!C:C)</f>
        <v>85499</v>
      </c>
      <c r="M1374" t="s">
        <v>136</v>
      </c>
    </row>
    <row r="1375" spans="1:13" x14ac:dyDescent="0.3">
      <c r="A1375">
        <v>1374</v>
      </c>
      <c r="B1375" t="s">
        <v>2036</v>
      </c>
      <c r="C1375" s="3">
        <v>91045</v>
      </c>
      <c r="D1375" t="s">
        <v>666</v>
      </c>
      <c r="E1375">
        <v>49</v>
      </c>
      <c r="F1375" s="1">
        <v>45490</v>
      </c>
      <c r="G1375" s="1" t="str">
        <f>TEXT(Table1[[#This Row],[Enrollment date]], "mmm")</f>
        <v>Jul</v>
      </c>
      <c r="H1375" t="s">
        <v>360</v>
      </c>
      <c r="I1375" t="s">
        <v>660</v>
      </c>
      <c r="J1375" t="str">
        <f>_xlfn.XLOOKUP(Table1[[#This Row],[Course ]], CCF!B:B, CCF!A:A)</f>
        <v>DM101</v>
      </c>
      <c r="K1375" t="s">
        <v>365</v>
      </c>
      <c r="L1375">
        <f>_xlfn.XLOOKUP(K1375, CCF!B:B, CCF!C:C)</f>
        <v>85499</v>
      </c>
      <c r="M1375" t="s">
        <v>9</v>
      </c>
    </row>
    <row r="1376" spans="1:13" x14ac:dyDescent="0.3">
      <c r="A1376">
        <v>1375</v>
      </c>
      <c r="B1376" t="s">
        <v>2037</v>
      </c>
      <c r="C1376" s="3">
        <v>54096</v>
      </c>
      <c r="D1376" t="s">
        <v>666</v>
      </c>
      <c r="E1376">
        <v>49</v>
      </c>
      <c r="F1376" s="1">
        <v>45490</v>
      </c>
      <c r="G1376" s="1" t="str">
        <f>TEXT(Table1[[#This Row],[Enrollment date]], "mmm")</f>
        <v>Jul</v>
      </c>
      <c r="H1376" t="s">
        <v>360</v>
      </c>
      <c r="I1376" t="s">
        <v>665</v>
      </c>
      <c r="J1376" t="str">
        <f>_xlfn.XLOOKUP(Table1[[#This Row],[Course ]], CCF!B:B, CCF!A:A)</f>
        <v>DM101</v>
      </c>
      <c r="K1376" t="s">
        <v>365</v>
      </c>
      <c r="L1376">
        <f>_xlfn.XLOOKUP(K1376, CCF!B:B, CCF!C:C)</f>
        <v>85499</v>
      </c>
      <c r="M1376" t="s">
        <v>43</v>
      </c>
    </row>
    <row r="1377" spans="1:13" x14ac:dyDescent="0.3">
      <c r="A1377">
        <v>1376</v>
      </c>
      <c r="B1377" t="s">
        <v>2038</v>
      </c>
      <c r="C1377" s="3">
        <v>19548</v>
      </c>
      <c r="D1377" t="s">
        <v>667</v>
      </c>
      <c r="E1377">
        <v>38</v>
      </c>
      <c r="F1377" s="1">
        <v>45490</v>
      </c>
      <c r="G1377" s="1" t="str">
        <f>TEXT(Table1[[#This Row],[Enrollment date]], "mmm")</f>
        <v>Jul</v>
      </c>
      <c r="H1377" t="s">
        <v>360</v>
      </c>
      <c r="I1377" t="s">
        <v>661</v>
      </c>
      <c r="J1377" t="str">
        <f>_xlfn.XLOOKUP(Table1[[#This Row],[Course ]], CCF!B:B, CCF!A:A)</f>
        <v>UX401</v>
      </c>
      <c r="K1377" t="s">
        <v>367</v>
      </c>
      <c r="L1377">
        <f>_xlfn.XLOOKUP(K1377, CCF!B:B, CCF!C:C)</f>
        <v>67990</v>
      </c>
      <c r="M1377" t="s">
        <v>204</v>
      </c>
    </row>
    <row r="1378" spans="1:13" x14ac:dyDescent="0.3">
      <c r="A1378">
        <v>1377</v>
      </c>
      <c r="B1378" t="s">
        <v>2039</v>
      </c>
      <c r="C1378" s="3">
        <v>25572</v>
      </c>
      <c r="D1378" t="s">
        <v>667</v>
      </c>
      <c r="E1378">
        <v>42</v>
      </c>
      <c r="F1378" s="1">
        <v>45490</v>
      </c>
      <c r="G1378" s="1" t="str">
        <f>TEXT(Table1[[#This Row],[Enrollment date]], "mmm")</f>
        <v>Jul</v>
      </c>
      <c r="H1378" t="s">
        <v>360</v>
      </c>
      <c r="I1378" t="s">
        <v>661</v>
      </c>
      <c r="J1378" t="str">
        <f>_xlfn.XLOOKUP(Table1[[#This Row],[Course ]], CCF!B:B, CCF!A:A)</f>
        <v>UX401</v>
      </c>
      <c r="K1378" t="s">
        <v>367</v>
      </c>
      <c r="L1378">
        <f>_xlfn.XLOOKUP(K1378, CCF!B:B, CCF!C:C)</f>
        <v>67990</v>
      </c>
      <c r="M1378" t="s">
        <v>129</v>
      </c>
    </row>
    <row r="1379" spans="1:13" x14ac:dyDescent="0.3">
      <c r="A1379">
        <v>1378</v>
      </c>
      <c r="B1379" t="s">
        <v>2040</v>
      </c>
      <c r="C1379" s="3">
        <v>13447</v>
      </c>
      <c r="D1379" t="s">
        <v>666</v>
      </c>
      <c r="E1379">
        <v>24</v>
      </c>
      <c r="F1379" s="1">
        <v>45490</v>
      </c>
      <c r="G1379" s="1" t="str">
        <f>TEXT(Table1[[#This Row],[Enrollment date]], "mmm")</f>
        <v>Jul</v>
      </c>
      <c r="H1379" t="s">
        <v>360</v>
      </c>
      <c r="I1379" t="s">
        <v>659</v>
      </c>
      <c r="J1379" t="str">
        <f>_xlfn.XLOOKUP(Table1[[#This Row],[Course ]], CCF!B:B, CCF!A:A)</f>
        <v>DM101</v>
      </c>
      <c r="K1379" t="s">
        <v>365</v>
      </c>
      <c r="L1379">
        <f>_xlfn.XLOOKUP(K1379, CCF!B:B, CCF!C:C)</f>
        <v>85499</v>
      </c>
      <c r="M1379" t="s">
        <v>18</v>
      </c>
    </row>
    <row r="1380" spans="1:13" x14ac:dyDescent="0.3">
      <c r="A1380">
        <v>1379</v>
      </c>
      <c r="B1380" t="s">
        <v>2041</v>
      </c>
      <c r="C1380" s="3">
        <v>36447</v>
      </c>
      <c r="D1380" t="s">
        <v>667</v>
      </c>
      <c r="E1380">
        <v>20</v>
      </c>
      <c r="F1380" s="1">
        <v>45490</v>
      </c>
      <c r="G1380" s="1" t="str">
        <f>TEXT(Table1[[#This Row],[Enrollment date]], "mmm")</f>
        <v>Jul</v>
      </c>
      <c r="H1380" t="s">
        <v>360</v>
      </c>
      <c r="I1380" t="s">
        <v>664</v>
      </c>
      <c r="J1380" t="str">
        <f>_xlfn.XLOOKUP(Table1[[#This Row],[Course ]], CCF!B:B, CCF!A:A)</f>
        <v>DM101</v>
      </c>
      <c r="K1380" t="s">
        <v>365</v>
      </c>
      <c r="L1380">
        <f>_xlfn.XLOOKUP(K1380, CCF!B:B, CCF!C:C)</f>
        <v>85499</v>
      </c>
      <c r="M1380" t="s">
        <v>9</v>
      </c>
    </row>
    <row r="1381" spans="1:13" x14ac:dyDescent="0.3">
      <c r="A1381">
        <v>1380</v>
      </c>
      <c r="B1381" t="s">
        <v>2042</v>
      </c>
      <c r="C1381" s="3">
        <v>60437</v>
      </c>
      <c r="D1381" t="s">
        <v>666</v>
      </c>
      <c r="E1381">
        <v>47</v>
      </c>
      <c r="F1381" s="1">
        <v>45490</v>
      </c>
      <c r="G1381" s="1" t="str">
        <f>TEXT(Table1[[#This Row],[Enrollment date]], "mmm")</f>
        <v>Jul</v>
      </c>
      <c r="H1381" t="s">
        <v>361</v>
      </c>
      <c r="I1381" t="s">
        <v>660</v>
      </c>
      <c r="J1381" t="str">
        <f>_xlfn.XLOOKUP(Table1[[#This Row],[Course ]], CCF!B:B, CCF!A:A)</f>
        <v>DA202</v>
      </c>
      <c r="K1381" t="s">
        <v>363</v>
      </c>
      <c r="L1381">
        <f>_xlfn.XLOOKUP(K1381, CCF!B:B, CCF!C:C)</f>
        <v>79999</v>
      </c>
      <c r="M1381" t="s">
        <v>43</v>
      </c>
    </row>
    <row r="1382" spans="1:13" x14ac:dyDescent="0.3">
      <c r="A1382">
        <v>1381</v>
      </c>
      <c r="B1382" t="s">
        <v>2043</v>
      </c>
      <c r="C1382" s="3">
        <v>10510</v>
      </c>
      <c r="D1382" t="s">
        <v>666</v>
      </c>
      <c r="E1382">
        <v>44</v>
      </c>
      <c r="F1382" s="1">
        <v>45490</v>
      </c>
      <c r="G1382" s="1" t="str">
        <f>TEXT(Table1[[#This Row],[Enrollment date]], "mmm")</f>
        <v>Jul</v>
      </c>
      <c r="H1382" t="s">
        <v>360</v>
      </c>
      <c r="I1382" t="s">
        <v>664</v>
      </c>
      <c r="J1382" t="str">
        <f>_xlfn.XLOOKUP(Table1[[#This Row],[Course ]], CCF!B:B, CCF!A:A)</f>
        <v>DM101</v>
      </c>
      <c r="K1382" t="s">
        <v>365</v>
      </c>
      <c r="L1382">
        <f>_xlfn.XLOOKUP(K1382, CCF!B:B, CCF!C:C)</f>
        <v>85499</v>
      </c>
      <c r="M1382" t="s">
        <v>30</v>
      </c>
    </row>
    <row r="1383" spans="1:13" x14ac:dyDescent="0.3">
      <c r="A1383">
        <v>1382</v>
      </c>
      <c r="B1383" t="s">
        <v>2044</v>
      </c>
      <c r="C1383" s="3">
        <v>24919</v>
      </c>
      <c r="D1383" t="s">
        <v>667</v>
      </c>
      <c r="E1383">
        <v>30</v>
      </c>
      <c r="F1383" s="1">
        <v>45491</v>
      </c>
      <c r="G1383" s="1" t="str">
        <f>TEXT(Table1[[#This Row],[Enrollment date]], "mmm")</f>
        <v>Jul</v>
      </c>
      <c r="H1383" t="s">
        <v>360</v>
      </c>
      <c r="I1383" t="s">
        <v>661</v>
      </c>
      <c r="J1383" t="str">
        <f>_xlfn.XLOOKUP(Table1[[#This Row],[Course ]], CCF!B:B, CCF!A:A)</f>
        <v>FSD103</v>
      </c>
      <c r="K1383" t="s">
        <v>366</v>
      </c>
      <c r="L1383">
        <f>_xlfn.XLOOKUP(K1383, CCF!B:B, CCF!C:C)</f>
        <v>109990</v>
      </c>
      <c r="M1383" t="s">
        <v>27</v>
      </c>
    </row>
    <row r="1384" spans="1:13" x14ac:dyDescent="0.3">
      <c r="A1384">
        <v>1383</v>
      </c>
      <c r="B1384" t="s">
        <v>2045</v>
      </c>
      <c r="C1384" s="3">
        <v>65902</v>
      </c>
      <c r="D1384" t="s">
        <v>667</v>
      </c>
      <c r="E1384">
        <v>22</v>
      </c>
      <c r="F1384" s="1">
        <v>45491</v>
      </c>
      <c r="G1384" s="1" t="str">
        <f>TEXT(Table1[[#This Row],[Enrollment date]], "mmm")</f>
        <v>Jul</v>
      </c>
      <c r="H1384" t="s">
        <v>360</v>
      </c>
      <c r="I1384" t="s">
        <v>661</v>
      </c>
      <c r="J1384" t="str">
        <f>_xlfn.XLOOKUP(Table1[[#This Row],[Course ]], CCF!B:B, CCF!A:A)</f>
        <v>BA301</v>
      </c>
      <c r="K1384" t="s">
        <v>364</v>
      </c>
      <c r="L1384">
        <f>_xlfn.XLOOKUP(K1384, CCF!B:B, CCF!C:C)</f>
        <v>59999</v>
      </c>
      <c r="M1384" t="s">
        <v>164</v>
      </c>
    </row>
    <row r="1385" spans="1:13" x14ac:dyDescent="0.3">
      <c r="A1385">
        <v>1384</v>
      </c>
      <c r="B1385" t="s">
        <v>2046</v>
      </c>
      <c r="C1385" s="3">
        <v>23512</v>
      </c>
      <c r="D1385" t="s">
        <v>666</v>
      </c>
      <c r="E1385">
        <v>35</v>
      </c>
      <c r="F1385" s="1">
        <v>45491</v>
      </c>
      <c r="G1385" s="1" t="str">
        <f>TEXT(Table1[[#This Row],[Enrollment date]], "mmm")</f>
        <v>Jul</v>
      </c>
      <c r="H1385" t="s">
        <v>360</v>
      </c>
      <c r="I1385" t="s">
        <v>660</v>
      </c>
      <c r="J1385" t="str">
        <f>_xlfn.XLOOKUP(Table1[[#This Row],[Course ]], CCF!B:B, CCF!A:A)</f>
        <v>BA301</v>
      </c>
      <c r="K1385" t="s">
        <v>364</v>
      </c>
      <c r="L1385">
        <f>_xlfn.XLOOKUP(K1385, CCF!B:B, CCF!C:C)</f>
        <v>59999</v>
      </c>
      <c r="M1385" t="s">
        <v>550</v>
      </c>
    </row>
    <row r="1386" spans="1:13" x14ac:dyDescent="0.3">
      <c r="A1386">
        <v>1385</v>
      </c>
      <c r="B1386" t="s">
        <v>2047</v>
      </c>
      <c r="C1386" s="3">
        <v>44080</v>
      </c>
      <c r="D1386" t="s">
        <v>666</v>
      </c>
      <c r="E1386">
        <v>30</v>
      </c>
      <c r="F1386" s="1">
        <v>45491</v>
      </c>
      <c r="G1386" s="1" t="str">
        <f>TEXT(Table1[[#This Row],[Enrollment date]], "mmm")</f>
        <v>Jul</v>
      </c>
      <c r="H1386" t="s">
        <v>360</v>
      </c>
      <c r="I1386" t="s">
        <v>664</v>
      </c>
      <c r="J1386" t="str">
        <f>_xlfn.XLOOKUP(Table1[[#This Row],[Course ]], CCF!B:B, CCF!A:A)</f>
        <v>DM101</v>
      </c>
      <c r="K1386" t="s">
        <v>365</v>
      </c>
      <c r="L1386">
        <f>_xlfn.XLOOKUP(K1386, CCF!B:B, CCF!C:C)</f>
        <v>85499</v>
      </c>
      <c r="M1386" t="s">
        <v>176</v>
      </c>
    </row>
    <row r="1387" spans="1:13" x14ac:dyDescent="0.3">
      <c r="A1387">
        <v>1386</v>
      </c>
      <c r="B1387" t="s">
        <v>2048</v>
      </c>
      <c r="C1387" s="3">
        <v>77884</v>
      </c>
      <c r="D1387" t="s">
        <v>667</v>
      </c>
      <c r="E1387">
        <v>20</v>
      </c>
      <c r="F1387" s="1">
        <v>45491</v>
      </c>
      <c r="G1387" s="1" t="str">
        <f>TEXT(Table1[[#This Row],[Enrollment date]], "mmm")</f>
        <v>Jul</v>
      </c>
      <c r="H1387" t="s">
        <v>360</v>
      </c>
      <c r="I1387" t="s">
        <v>660</v>
      </c>
      <c r="J1387" t="str">
        <f>_xlfn.XLOOKUP(Table1[[#This Row],[Course ]], CCF!B:B, CCF!A:A)</f>
        <v>DA202</v>
      </c>
      <c r="K1387" t="s">
        <v>363</v>
      </c>
      <c r="L1387">
        <f>_xlfn.XLOOKUP(K1387, CCF!B:B, CCF!C:C)</f>
        <v>79999</v>
      </c>
      <c r="M1387" t="s">
        <v>16</v>
      </c>
    </row>
    <row r="1388" spans="1:13" x14ac:dyDescent="0.3">
      <c r="A1388">
        <v>1387</v>
      </c>
      <c r="B1388" t="s">
        <v>2049</v>
      </c>
      <c r="C1388" s="3">
        <v>92178</v>
      </c>
      <c r="D1388" t="s">
        <v>667</v>
      </c>
      <c r="E1388">
        <v>59</v>
      </c>
      <c r="F1388" s="1">
        <v>45491</v>
      </c>
      <c r="G1388" s="1" t="str">
        <f>TEXT(Table1[[#This Row],[Enrollment date]], "mmm")</f>
        <v>Jul</v>
      </c>
      <c r="H1388" t="s">
        <v>360</v>
      </c>
      <c r="I1388" t="s">
        <v>661</v>
      </c>
      <c r="J1388" t="str">
        <f>_xlfn.XLOOKUP(Table1[[#This Row],[Course ]], CCF!B:B, CCF!A:A)</f>
        <v>DA202</v>
      </c>
      <c r="K1388" t="s">
        <v>363</v>
      </c>
      <c r="L1388">
        <f>_xlfn.XLOOKUP(K1388, CCF!B:B, CCF!C:C)</f>
        <v>79999</v>
      </c>
      <c r="M1388" t="s">
        <v>17</v>
      </c>
    </row>
    <row r="1389" spans="1:13" x14ac:dyDescent="0.3">
      <c r="A1389">
        <v>1388</v>
      </c>
      <c r="B1389" t="s">
        <v>2050</v>
      </c>
      <c r="C1389" s="3">
        <v>32313</v>
      </c>
      <c r="D1389" t="s">
        <v>666</v>
      </c>
      <c r="E1389">
        <v>38</v>
      </c>
      <c r="F1389" s="1">
        <v>45491</v>
      </c>
      <c r="G1389" s="1" t="str">
        <f>TEXT(Table1[[#This Row],[Enrollment date]], "mmm")</f>
        <v>Jul</v>
      </c>
      <c r="H1389" t="s">
        <v>360</v>
      </c>
      <c r="I1389" t="s">
        <v>659</v>
      </c>
      <c r="J1389" t="str">
        <f>_xlfn.XLOOKUP(Table1[[#This Row],[Course ]], CCF!B:B, CCF!A:A)</f>
        <v>BA301</v>
      </c>
      <c r="K1389" t="s">
        <v>364</v>
      </c>
      <c r="L1389">
        <f>_xlfn.XLOOKUP(K1389, CCF!B:B, CCF!C:C)</f>
        <v>59999</v>
      </c>
      <c r="M1389" t="s">
        <v>551</v>
      </c>
    </row>
    <row r="1390" spans="1:13" x14ac:dyDescent="0.3">
      <c r="A1390">
        <v>1389</v>
      </c>
      <c r="B1390" t="s">
        <v>2051</v>
      </c>
      <c r="C1390" s="3">
        <v>35995</v>
      </c>
      <c r="D1390" t="s">
        <v>666</v>
      </c>
      <c r="E1390">
        <v>33</v>
      </c>
      <c r="F1390" s="1">
        <v>45492</v>
      </c>
      <c r="G1390" s="1" t="str">
        <f>TEXT(Table1[[#This Row],[Enrollment date]], "mmm")</f>
        <v>Jul</v>
      </c>
      <c r="H1390" t="s">
        <v>360</v>
      </c>
      <c r="I1390" t="s">
        <v>660</v>
      </c>
      <c r="J1390" t="str">
        <f>_xlfn.XLOOKUP(Table1[[#This Row],[Course ]], CCF!B:B, CCF!A:A)</f>
        <v>DM101</v>
      </c>
      <c r="K1390" t="s">
        <v>365</v>
      </c>
      <c r="L1390">
        <f>_xlfn.XLOOKUP(K1390, CCF!B:B, CCF!C:C)</f>
        <v>85499</v>
      </c>
      <c r="M1390" t="s">
        <v>65</v>
      </c>
    </row>
    <row r="1391" spans="1:13" x14ac:dyDescent="0.3">
      <c r="A1391">
        <v>1390</v>
      </c>
      <c r="B1391" t="s">
        <v>2052</v>
      </c>
      <c r="C1391" s="3">
        <v>66514</v>
      </c>
      <c r="D1391" t="s">
        <v>666</v>
      </c>
      <c r="E1391">
        <v>31</v>
      </c>
      <c r="F1391" s="1">
        <v>45492</v>
      </c>
      <c r="G1391" s="1" t="str">
        <f>TEXT(Table1[[#This Row],[Enrollment date]], "mmm")</f>
        <v>Jul</v>
      </c>
      <c r="H1391" t="s">
        <v>360</v>
      </c>
      <c r="I1391" t="s">
        <v>662</v>
      </c>
      <c r="J1391" t="str">
        <f>_xlfn.XLOOKUP(Table1[[#This Row],[Course ]], CCF!B:B, CCF!A:A)</f>
        <v>DA202</v>
      </c>
      <c r="K1391" t="s">
        <v>363</v>
      </c>
      <c r="L1391">
        <f>_xlfn.XLOOKUP(K1391, CCF!B:B, CCF!C:C)</f>
        <v>79999</v>
      </c>
      <c r="M1391" t="s">
        <v>18</v>
      </c>
    </row>
    <row r="1392" spans="1:13" x14ac:dyDescent="0.3">
      <c r="A1392">
        <v>1391</v>
      </c>
      <c r="B1392" t="s">
        <v>2053</v>
      </c>
      <c r="C1392" s="3">
        <v>23412</v>
      </c>
      <c r="D1392" t="s">
        <v>666</v>
      </c>
      <c r="E1392">
        <v>26</v>
      </c>
      <c r="F1392" s="1">
        <v>45492</v>
      </c>
      <c r="G1392" s="1" t="str">
        <f>TEXT(Table1[[#This Row],[Enrollment date]], "mmm")</f>
        <v>Jul</v>
      </c>
      <c r="H1392" t="s">
        <v>360</v>
      </c>
      <c r="I1392" t="s">
        <v>659</v>
      </c>
      <c r="J1392" t="str">
        <f>_xlfn.XLOOKUP(Table1[[#This Row],[Course ]], CCF!B:B, CCF!A:A)</f>
        <v>DM101</v>
      </c>
      <c r="K1392" t="s">
        <v>365</v>
      </c>
      <c r="L1392">
        <f>_xlfn.XLOOKUP(K1392, CCF!B:B, CCF!C:C)</f>
        <v>85499</v>
      </c>
      <c r="M1392" t="s">
        <v>96</v>
      </c>
    </row>
    <row r="1393" spans="1:13" x14ac:dyDescent="0.3">
      <c r="A1393">
        <v>1392</v>
      </c>
      <c r="B1393" t="s">
        <v>2054</v>
      </c>
      <c r="C1393" s="3">
        <v>35697</v>
      </c>
      <c r="D1393" t="s">
        <v>666</v>
      </c>
      <c r="E1393">
        <v>27</v>
      </c>
      <c r="F1393" s="1">
        <v>45492</v>
      </c>
      <c r="G1393" s="1" t="str">
        <f>TEXT(Table1[[#This Row],[Enrollment date]], "mmm")</f>
        <v>Jul</v>
      </c>
      <c r="H1393" t="s">
        <v>360</v>
      </c>
      <c r="I1393" t="s">
        <v>661</v>
      </c>
      <c r="J1393" t="str">
        <f>_xlfn.XLOOKUP(Table1[[#This Row],[Course ]], CCF!B:B, CCF!A:A)</f>
        <v>DM101</v>
      </c>
      <c r="K1393" t="s">
        <v>365</v>
      </c>
      <c r="L1393">
        <f>_xlfn.XLOOKUP(K1393, CCF!B:B, CCF!C:C)</f>
        <v>85499</v>
      </c>
      <c r="M1393" t="s">
        <v>112</v>
      </c>
    </row>
    <row r="1394" spans="1:13" x14ac:dyDescent="0.3">
      <c r="A1394">
        <v>1393</v>
      </c>
      <c r="B1394" t="s">
        <v>2055</v>
      </c>
      <c r="C1394" s="3">
        <v>15403</v>
      </c>
      <c r="D1394" t="s">
        <v>667</v>
      </c>
      <c r="E1394">
        <v>71</v>
      </c>
      <c r="F1394" s="1">
        <v>45492</v>
      </c>
      <c r="G1394" s="1" t="str">
        <f>TEXT(Table1[[#This Row],[Enrollment date]], "mmm")</f>
        <v>Jul</v>
      </c>
      <c r="H1394" t="s">
        <v>360</v>
      </c>
      <c r="I1394" t="s">
        <v>662</v>
      </c>
      <c r="J1394" t="str">
        <f>_xlfn.XLOOKUP(Table1[[#This Row],[Course ]], CCF!B:B, CCF!A:A)</f>
        <v>DM101</v>
      </c>
      <c r="K1394" t="s">
        <v>365</v>
      </c>
      <c r="L1394">
        <f>_xlfn.XLOOKUP(K1394, CCF!B:B, CCF!C:C)</f>
        <v>85499</v>
      </c>
      <c r="M1394" t="s">
        <v>552</v>
      </c>
    </row>
    <row r="1395" spans="1:13" x14ac:dyDescent="0.3">
      <c r="A1395">
        <v>1394</v>
      </c>
      <c r="B1395" t="s">
        <v>2056</v>
      </c>
      <c r="C1395" s="3">
        <v>25157</v>
      </c>
      <c r="D1395" t="s">
        <v>666</v>
      </c>
      <c r="E1395">
        <v>29</v>
      </c>
      <c r="F1395" s="1">
        <v>45493</v>
      </c>
      <c r="G1395" s="1" t="str">
        <f>TEXT(Table1[[#This Row],[Enrollment date]], "mmm")</f>
        <v>Jul</v>
      </c>
      <c r="H1395" t="s">
        <v>3</v>
      </c>
      <c r="I1395" t="s">
        <v>660</v>
      </c>
      <c r="J1395" t="str">
        <f>_xlfn.XLOOKUP(Table1[[#This Row],[Course ]], CCF!B:B, CCF!A:A)</f>
        <v>DA202</v>
      </c>
      <c r="K1395" t="s">
        <v>363</v>
      </c>
      <c r="L1395">
        <f>_xlfn.XLOOKUP(K1395, CCF!B:B, CCF!C:C)</f>
        <v>79999</v>
      </c>
      <c r="M1395" t="s">
        <v>228</v>
      </c>
    </row>
    <row r="1396" spans="1:13" x14ac:dyDescent="0.3">
      <c r="A1396">
        <v>1395</v>
      </c>
      <c r="B1396" t="s">
        <v>2057</v>
      </c>
      <c r="C1396" s="3">
        <v>54822</v>
      </c>
      <c r="D1396" t="s">
        <v>667</v>
      </c>
      <c r="E1396">
        <v>61</v>
      </c>
      <c r="F1396" s="1">
        <v>45493</v>
      </c>
      <c r="G1396" s="1" t="str">
        <f>TEXT(Table1[[#This Row],[Enrollment date]], "mmm")</f>
        <v>Jul</v>
      </c>
      <c r="H1396" t="s">
        <v>360</v>
      </c>
      <c r="I1396" t="s">
        <v>660</v>
      </c>
      <c r="J1396" t="str">
        <f>_xlfn.XLOOKUP(Table1[[#This Row],[Course ]], CCF!B:B, CCF!A:A)</f>
        <v>DM101</v>
      </c>
      <c r="K1396" t="s">
        <v>365</v>
      </c>
      <c r="L1396">
        <f>_xlfn.XLOOKUP(K1396, CCF!B:B, CCF!C:C)</f>
        <v>85499</v>
      </c>
      <c r="M1396" t="s">
        <v>27</v>
      </c>
    </row>
    <row r="1397" spans="1:13" x14ac:dyDescent="0.3">
      <c r="A1397">
        <v>1396</v>
      </c>
      <c r="B1397" t="s">
        <v>2058</v>
      </c>
      <c r="C1397" s="3">
        <v>98876</v>
      </c>
      <c r="D1397" t="s">
        <v>666</v>
      </c>
      <c r="E1397">
        <v>28</v>
      </c>
      <c r="F1397" s="1">
        <v>45493</v>
      </c>
      <c r="G1397" s="1" t="str">
        <f>TEXT(Table1[[#This Row],[Enrollment date]], "mmm")</f>
        <v>Jul</v>
      </c>
      <c r="H1397" t="s">
        <v>360</v>
      </c>
      <c r="I1397" t="s">
        <v>660</v>
      </c>
      <c r="J1397" t="str">
        <f>_xlfn.XLOOKUP(Table1[[#This Row],[Course ]], CCF!B:B, CCF!A:A)</f>
        <v>DM101</v>
      </c>
      <c r="K1397" t="s">
        <v>365</v>
      </c>
      <c r="L1397">
        <f>_xlfn.XLOOKUP(K1397, CCF!B:B, CCF!C:C)</f>
        <v>85499</v>
      </c>
      <c r="M1397" t="s">
        <v>553</v>
      </c>
    </row>
    <row r="1398" spans="1:13" x14ac:dyDescent="0.3">
      <c r="A1398">
        <v>1397</v>
      </c>
      <c r="B1398" t="s">
        <v>2059</v>
      </c>
      <c r="C1398" s="3">
        <v>52315</v>
      </c>
      <c r="D1398" t="s">
        <v>666</v>
      </c>
      <c r="E1398">
        <v>73</v>
      </c>
      <c r="F1398" s="1">
        <v>45493</v>
      </c>
      <c r="G1398" s="1" t="str">
        <f>TEXT(Table1[[#This Row],[Enrollment date]], "mmm")</f>
        <v>Jul</v>
      </c>
      <c r="H1398" t="s">
        <v>360</v>
      </c>
      <c r="I1398" t="s">
        <v>663</v>
      </c>
      <c r="J1398" t="str">
        <f>_xlfn.XLOOKUP(Table1[[#This Row],[Course ]], CCF!B:B, CCF!A:A)</f>
        <v>DA202</v>
      </c>
      <c r="K1398" t="s">
        <v>363</v>
      </c>
      <c r="L1398">
        <f>_xlfn.XLOOKUP(K1398, CCF!B:B, CCF!C:C)</f>
        <v>79999</v>
      </c>
      <c r="M1398" t="s">
        <v>18</v>
      </c>
    </row>
    <row r="1399" spans="1:13" x14ac:dyDescent="0.3">
      <c r="A1399">
        <v>1398</v>
      </c>
      <c r="B1399" t="s">
        <v>2060</v>
      </c>
      <c r="C1399" s="3">
        <v>50720</v>
      </c>
      <c r="D1399" t="s">
        <v>667</v>
      </c>
      <c r="E1399">
        <v>49</v>
      </c>
      <c r="F1399" s="1">
        <v>45493</v>
      </c>
      <c r="G1399" s="1" t="str">
        <f>TEXT(Table1[[#This Row],[Enrollment date]], "mmm")</f>
        <v>Jul</v>
      </c>
      <c r="H1399" t="s">
        <v>3</v>
      </c>
      <c r="I1399" t="s">
        <v>663</v>
      </c>
      <c r="J1399" t="str">
        <f>_xlfn.XLOOKUP(Table1[[#This Row],[Course ]], CCF!B:B, CCF!A:A)</f>
        <v>DA202</v>
      </c>
      <c r="K1399" t="s">
        <v>363</v>
      </c>
      <c r="L1399">
        <f>_xlfn.XLOOKUP(K1399, CCF!B:B, CCF!C:C)</f>
        <v>79999</v>
      </c>
      <c r="M1399" t="s">
        <v>140</v>
      </c>
    </row>
    <row r="1400" spans="1:13" x14ac:dyDescent="0.3">
      <c r="A1400">
        <v>1399</v>
      </c>
      <c r="B1400" t="s">
        <v>2061</v>
      </c>
      <c r="C1400" s="3">
        <v>66488</v>
      </c>
      <c r="D1400" t="s">
        <v>667</v>
      </c>
      <c r="E1400">
        <v>21</v>
      </c>
      <c r="F1400" s="1">
        <v>45493</v>
      </c>
      <c r="G1400" s="1" t="str">
        <f>TEXT(Table1[[#This Row],[Enrollment date]], "mmm")</f>
        <v>Jul</v>
      </c>
      <c r="H1400" t="s">
        <v>360</v>
      </c>
      <c r="I1400" t="s">
        <v>660</v>
      </c>
      <c r="J1400" t="str">
        <f>_xlfn.XLOOKUP(Table1[[#This Row],[Course ]], CCF!B:B, CCF!A:A)</f>
        <v>DA202</v>
      </c>
      <c r="K1400" t="s">
        <v>363</v>
      </c>
      <c r="L1400">
        <f>_xlfn.XLOOKUP(K1400, CCF!B:B, CCF!C:C)</f>
        <v>79999</v>
      </c>
      <c r="M1400" t="s">
        <v>159</v>
      </c>
    </row>
    <row r="1401" spans="1:13" x14ac:dyDescent="0.3">
      <c r="A1401">
        <v>1400</v>
      </c>
      <c r="B1401" t="s">
        <v>2062</v>
      </c>
      <c r="C1401" s="3">
        <v>11270</v>
      </c>
      <c r="D1401" t="s">
        <v>666</v>
      </c>
      <c r="E1401">
        <v>42</v>
      </c>
      <c r="F1401" s="1">
        <v>45493</v>
      </c>
      <c r="G1401" s="1" t="str">
        <f>TEXT(Table1[[#This Row],[Enrollment date]], "mmm")</f>
        <v>Jul</v>
      </c>
      <c r="H1401" t="s">
        <v>3</v>
      </c>
      <c r="I1401" t="s">
        <v>662</v>
      </c>
      <c r="J1401" t="str">
        <f>_xlfn.XLOOKUP(Table1[[#This Row],[Course ]], CCF!B:B, CCF!A:A)</f>
        <v>DA202</v>
      </c>
      <c r="K1401" t="s">
        <v>363</v>
      </c>
      <c r="L1401">
        <f>_xlfn.XLOOKUP(K1401, CCF!B:B, CCF!C:C)</f>
        <v>79999</v>
      </c>
      <c r="M1401" t="s">
        <v>12</v>
      </c>
    </row>
    <row r="1402" spans="1:13" x14ac:dyDescent="0.3">
      <c r="A1402">
        <v>1401</v>
      </c>
      <c r="B1402" t="s">
        <v>2063</v>
      </c>
      <c r="C1402" s="3">
        <v>87039</v>
      </c>
      <c r="D1402" t="s">
        <v>666</v>
      </c>
      <c r="E1402">
        <v>40</v>
      </c>
      <c r="F1402" s="1">
        <v>45493</v>
      </c>
      <c r="G1402" s="1" t="str">
        <f>TEXT(Table1[[#This Row],[Enrollment date]], "mmm")</f>
        <v>Jul</v>
      </c>
      <c r="H1402" t="s">
        <v>360</v>
      </c>
      <c r="I1402" t="s">
        <v>661</v>
      </c>
      <c r="J1402" t="str">
        <f>_xlfn.XLOOKUP(Table1[[#This Row],[Course ]], CCF!B:B, CCF!A:A)</f>
        <v>BA301</v>
      </c>
      <c r="K1402" t="s">
        <v>364</v>
      </c>
      <c r="L1402">
        <f>_xlfn.XLOOKUP(K1402, CCF!B:B, CCF!C:C)</f>
        <v>59999</v>
      </c>
      <c r="M1402" t="s">
        <v>94</v>
      </c>
    </row>
    <row r="1403" spans="1:13" x14ac:dyDescent="0.3">
      <c r="A1403">
        <v>1402</v>
      </c>
      <c r="B1403" t="s">
        <v>2064</v>
      </c>
      <c r="C1403" s="3">
        <v>70858</v>
      </c>
      <c r="D1403" t="s">
        <v>666</v>
      </c>
      <c r="E1403">
        <v>36</v>
      </c>
      <c r="F1403" s="1">
        <v>45493</v>
      </c>
      <c r="G1403" s="1" t="str">
        <f>TEXT(Table1[[#This Row],[Enrollment date]], "mmm")</f>
        <v>Jul</v>
      </c>
      <c r="H1403" t="s">
        <v>360</v>
      </c>
      <c r="I1403" t="s">
        <v>662</v>
      </c>
      <c r="J1403" t="str">
        <f>_xlfn.XLOOKUP(Table1[[#This Row],[Course ]], CCF!B:B, CCF!A:A)</f>
        <v>DM101</v>
      </c>
      <c r="K1403" t="s">
        <v>365</v>
      </c>
      <c r="L1403">
        <f>_xlfn.XLOOKUP(K1403, CCF!B:B, CCF!C:C)</f>
        <v>85499</v>
      </c>
      <c r="M1403" t="s">
        <v>38</v>
      </c>
    </row>
    <row r="1404" spans="1:13" x14ac:dyDescent="0.3">
      <c r="A1404">
        <v>1403</v>
      </c>
      <c r="B1404" t="s">
        <v>2065</v>
      </c>
      <c r="C1404" s="3">
        <v>95125</v>
      </c>
      <c r="D1404" t="s">
        <v>666</v>
      </c>
      <c r="E1404">
        <v>30</v>
      </c>
      <c r="F1404" s="1">
        <v>45493</v>
      </c>
      <c r="G1404" s="1" t="str">
        <f>TEXT(Table1[[#This Row],[Enrollment date]], "mmm")</f>
        <v>Jul</v>
      </c>
      <c r="H1404" t="s">
        <v>360</v>
      </c>
      <c r="I1404" t="s">
        <v>663</v>
      </c>
      <c r="J1404" t="str">
        <f>_xlfn.XLOOKUP(Table1[[#This Row],[Course ]], CCF!B:B, CCF!A:A)</f>
        <v>DA202</v>
      </c>
      <c r="K1404" t="s">
        <v>363</v>
      </c>
      <c r="L1404">
        <f>_xlfn.XLOOKUP(K1404, CCF!B:B, CCF!C:C)</f>
        <v>79999</v>
      </c>
      <c r="M1404" t="s">
        <v>16</v>
      </c>
    </row>
    <row r="1405" spans="1:13" x14ac:dyDescent="0.3">
      <c r="A1405">
        <v>1404</v>
      </c>
      <c r="B1405" t="s">
        <v>2066</v>
      </c>
      <c r="C1405" s="3">
        <v>34345</v>
      </c>
      <c r="D1405" t="s">
        <v>666</v>
      </c>
      <c r="E1405">
        <v>50</v>
      </c>
      <c r="F1405" s="1">
        <v>45493</v>
      </c>
      <c r="G1405" s="1" t="str">
        <f>TEXT(Table1[[#This Row],[Enrollment date]], "mmm")</f>
        <v>Jul</v>
      </c>
      <c r="H1405" t="s">
        <v>360</v>
      </c>
      <c r="I1405" t="s">
        <v>659</v>
      </c>
      <c r="J1405" t="str">
        <f>_xlfn.XLOOKUP(Table1[[#This Row],[Course ]], CCF!B:B, CCF!A:A)</f>
        <v>DA202</v>
      </c>
      <c r="K1405" t="s">
        <v>363</v>
      </c>
      <c r="L1405">
        <f>_xlfn.XLOOKUP(K1405, CCF!B:B, CCF!C:C)</f>
        <v>79999</v>
      </c>
      <c r="M1405" t="s">
        <v>48</v>
      </c>
    </row>
    <row r="1406" spans="1:13" x14ac:dyDescent="0.3">
      <c r="A1406">
        <v>1405</v>
      </c>
      <c r="B1406" t="s">
        <v>2067</v>
      </c>
      <c r="C1406" s="3">
        <v>14752</v>
      </c>
      <c r="D1406" t="s">
        <v>666</v>
      </c>
      <c r="E1406">
        <v>47</v>
      </c>
      <c r="F1406" s="1">
        <v>45494</v>
      </c>
      <c r="G1406" s="1" t="str">
        <f>TEXT(Table1[[#This Row],[Enrollment date]], "mmm")</f>
        <v>Jul</v>
      </c>
      <c r="H1406" t="s">
        <v>360</v>
      </c>
      <c r="I1406" t="s">
        <v>661</v>
      </c>
      <c r="J1406" t="str">
        <f>_xlfn.XLOOKUP(Table1[[#This Row],[Course ]], CCF!B:B, CCF!A:A)</f>
        <v>UX401</v>
      </c>
      <c r="K1406" t="s">
        <v>367</v>
      </c>
      <c r="L1406">
        <f>_xlfn.XLOOKUP(K1406, CCF!B:B, CCF!C:C)</f>
        <v>67990</v>
      </c>
      <c r="M1406" t="s">
        <v>30</v>
      </c>
    </row>
    <row r="1407" spans="1:13" x14ac:dyDescent="0.3">
      <c r="A1407">
        <v>1406</v>
      </c>
      <c r="B1407" t="s">
        <v>2068</v>
      </c>
      <c r="C1407" s="3">
        <v>89494</v>
      </c>
      <c r="D1407" t="s">
        <v>666</v>
      </c>
      <c r="E1407">
        <v>39</v>
      </c>
      <c r="F1407" s="1">
        <v>45494</v>
      </c>
      <c r="G1407" s="1" t="str">
        <f>TEXT(Table1[[#This Row],[Enrollment date]], "mmm")</f>
        <v>Jul</v>
      </c>
      <c r="H1407" t="s">
        <v>360</v>
      </c>
      <c r="I1407" t="s">
        <v>662</v>
      </c>
      <c r="J1407" t="str">
        <f>_xlfn.XLOOKUP(Table1[[#This Row],[Course ]], CCF!B:B, CCF!A:A)</f>
        <v>DA202</v>
      </c>
      <c r="K1407" t="s">
        <v>363</v>
      </c>
      <c r="L1407">
        <f>_xlfn.XLOOKUP(K1407, CCF!B:B, CCF!C:C)</f>
        <v>79999</v>
      </c>
      <c r="M1407" t="s">
        <v>74</v>
      </c>
    </row>
    <row r="1408" spans="1:13" x14ac:dyDescent="0.3">
      <c r="A1408">
        <v>1407</v>
      </c>
      <c r="B1408" t="s">
        <v>2069</v>
      </c>
      <c r="C1408" s="3">
        <v>13782</v>
      </c>
      <c r="D1408" t="s">
        <v>666</v>
      </c>
      <c r="E1408">
        <v>29</v>
      </c>
      <c r="F1408" s="1">
        <v>45494</v>
      </c>
      <c r="G1408" s="1" t="str">
        <f>TEXT(Table1[[#This Row],[Enrollment date]], "mmm")</f>
        <v>Jul</v>
      </c>
      <c r="H1408" t="s">
        <v>360</v>
      </c>
      <c r="I1408" t="s">
        <v>659</v>
      </c>
      <c r="J1408" t="str">
        <f>_xlfn.XLOOKUP(Table1[[#This Row],[Course ]], CCF!B:B, CCF!A:A)</f>
        <v>DM101</v>
      </c>
      <c r="K1408" t="s">
        <v>365</v>
      </c>
      <c r="L1408">
        <f>_xlfn.XLOOKUP(K1408, CCF!B:B, CCF!C:C)</f>
        <v>85499</v>
      </c>
      <c r="M1408" t="s">
        <v>80</v>
      </c>
    </row>
    <row r="1409" spans="1:13" x14ac:dyDescent="0.3">
      <c r="A1409">
        <v>1408</v>
      </c>
      <c r="B1409" t="s">
        <v>2070</v>
      </c>
      <c r="C1409" s="3">
        <v>87212</v>
      </c>
      <c r="D1409" t="s">
        <v>666</v>
      </c>
      <c r="E1409">
        <v>43</v>
      </c>
      <c r="F1409" s="1">
        <v>45494</v>
      </c>
      <c r="G1409" s="1" t="str">
        <f>TEXT(Table1[[#This Row],[Enrollment date]], "mmm")</f>
        <v>Jul</v>
      </c>
      <c r="H1409" t="s">
        <v>360</v>
      </c>
      <c r="I1409" t="s">
        <v>663</v>
      </c>
      <c r="J1409" t="str">
        <f>_xlfn.XLOOKUP(Table1[[#This Row],[Course ]], CCF!B:B, CCF!A:A)</f>
        <v>DM101</v>
      </c>
      <c r="K1409" t="s">
        <v>365</v>
      </c>
      <c r="L1409">
        <f>_xlfn.XLOOKUP(K1409, CCF!B:B, CCF!C:C)</f>
        <v>85499</v>
      </c>
      <c r="M1409" t="s">
        <v>83</v>
      </c>
    </row>
    <row r="1410" spans="1:13" x14ac:dyDescent="0.3">
      <c r="A1410">
        <v>1409</v>
      </c>
      <c r="B1410" t="s">
        <v>2071</v>
      </c>
      <c r="C1410" s="3">
        <v>46114</v>
      </c>
      <c r="D1410" t="s">
        <v>666</v>
      </c>
      <c r="E1410">
        <v>27</v>
      </c>
      <c r="F1410" s="1">
        <v>45495</v>
      </c>
      <c r="G1410" s="1" t="str">
        <f>TEXT(Table1[[#This Row],[Enrollment date]], "mmm")</f>
        <v>Jul</v>
      </c>
      <c r="H1410" t="s">
        <v>360</v>
      </c>
      <c r="I1410" t="s">
        <v>663</v>
      </c>
      <c r="J1410" t="str">
        <f>_xlfn.XLOOKUP(Table1[[#This Row],[Course ]], CCF!B:B, CCF!A:A)</f>
        <v>FSD103</v>
      </c>
      <c r="K1410" t="s">
        <v>366</v>
      </c>
      <c r="L1410">
        <f>_xlfn.XLOOKUP(K1410, CCF!B:B, CCF!C:C)</f>
        <v>109990</v>
      </c>
      <c r="M1410" t="s">
        <v>91</v>
      </c>
    </row>
    <row r="1411" spans="1:13" x14ac:dyDescent="0.3">
      <c r="A1411">
        <v>1410</v>
      </c>
      <c r="B1411" t="s">
        <v>2072</v>
      </c>
      <c r="C1411" s="3">
        <v>47247</v>
      </c>
      <c r="D1411" t="s">
        <v>667</v>
      </c>
      <c r="E1411">
        <v>31</v>
      </c>
      <c r="F1411" s="1">
        <v>45495</v>
      </c>
      <c r="G1411" s="1" t="str">
        <f>TEXT(Table1[[#This Row],[Enrollment date]], "mmm")</f>
        <v>Jul</v>
      </c>
      <c r="H1411" t="s">
        <v>360</v>
      </c>
      <c r="I1411" t="s">
        <v>660</v>
      </c>
      <c r="J1411" t="str">
        <f>_xlfn.XLOOKUP(Table1[[#This Row],[Course ]], CCF!B:B, CCF!A:A)</f>
        <v>DA202</v>
      </c>
      <c r="K1411" t="s">
        <v>363</v>
      </c>
      <c r="L1411">
        <f>_xlfn.XLOOKUP(K1411, CCF!B:B, CCF!C:C)</f>
        <v>79999</v>
      </c>
      <c r="M1411" t="s">
        <v>7</v>
      </c>
    </row>
    <row r="1412" spans="1:13" x14ac:dyDescent="0.3">
      <c r="A1412">
        <v>1411</v>
      </c>
      <c r="B1412" t="s">
        <v>2073</v>
      </c>
      <c r="C1412" s="3">
        <v>53465</v>
      </c>
      <c r="D1412" t="s">
        <v>667</v>
      </c>
      <c r="E1412">
        <v>28</v>
      </c>
      <c r="F1412" s="1">
        <v>45495</v>
      </c>
      <c r="G1412" s="1" t="str">
        <f>TEXT(Table1[[#This Row],[Enrollment date]], "mmm")</f>
        <v>Jul</v>
      </c>
      <c r="H1412" t="s">
        <v>360</v>
      </c>
      <c r="I1412" t="s">
        <v>659</v>
      </c>
      <c r="J1412" t="str">
        <f>_xlfn.XLOOKUP(Table1[[#This Row],[Course ]], CCF!B:B, CCF!A:A)</f>
        <v>BA301</v>
      </c>
      <c r="K1412" t="s">
        <v>364</v>
      </c>
      <c r="L1412">
        <f>_xlfn.XLOOKUP(K1412, CCF!B:B, CCF!C:C)</f>
        <v>59999</v>
      </c>
      <c r="M1412" t="s">
        <v>9</v>
      </c>
    </row>
    <row r="1413" spans="1:13" x14ac:dyDescent="0.3">
      <c r="A1413">
        <v>1412</v>
      </c>
      <c r="B1413" t="s">
        <v>2074</v>
      </c>
      <c r="C1413" s="3">
        <v>95115</v>
      </c>
      <c r="D1413" t="s">
        <v>667</v>
      </c>
      <c r="E1413">
        <v>27</v>
      </c>
      <c r="F1413" s="1">
        <v>45495</v>
      </c>
      <c r="G1413" s="1" t="str">
        <f>TEXT(Table1[[#This Row],[Enrollment date]], "mmm")</f>
        <v>Jul</v>
      </c>
      <c r="H1413" t="s">
        <v>360</v>
      </c>
      <c r="I1413" t="s">
        <v>663</v>
      </c>
      <c r="J1413" t="str">
        <f>_xlfn.XLOOKUP(Table1[[#This Row],[Course ]], CCF!B:B, CCF!A:A)</f>
        <v>DM101</v>
      </c>
      <c r="K1413" t="s">
        <v>365</v>
      </c>
      <c r="L1413">
        <f>_xlfn.XLOOKUP(K1413, CCF!B:B, CCF!C:C)</f>
        <v>85499</v>
      </c>
      <c r="M1413" t="s">
        <v>2</v>
      </c>
    </row>
    <row r="1414" spans="1:13" x14ac:dyDescent="0.3">
      <c r="A1414">
        <v>1413</v>
      </c>
      <c r="B1414" t="s">
        <v>2075</v>
      </c>
      <c r="C1414" s="3">
        <v>27288</v>
      </c>
      <c r="D1414" t="s">
        <v>666</v>
      </c>
      <c r="E1414">
        <v>48</v>
      </c>
      <c r="F1414" s="1">
        <v>45495</v>
      </c>
      <c r="G1414" s="1" t="str">
        <f>TEXT(Table1[[#This Row],[Enrollment date]], "mmm")</f>
        <v>Jul</v>
      </c>
      <c r="H1414" t="s">
        <v>360</v>
      </c>
      <c r="I1414" t="s">
        <v>660</v>
      </c>
      <c r="J1414" t="str">
        <f>_xlfn.XLOOKUP(Table1[[#This Row],[Course ]], CCF!B:B, CCF!A:A)</f>
        <v>DA202</v>
      </c>
      <c r="K1414" t="s">
        <v>363</v>
      </c>
      <c r="L1414">
        <f>_xlfn.XLOOKUP(K1414, CCF!B:B, CCF!C:C)</f>
        <v>79999</v>
      </c>
      <c r="M1414" t="s">
        <v>259</v>
      </c>
    </row>
    <row r="1415" spans="1:13" x14ac:dyDescent="0.3">
      <c r="A1415">
        <v>1414</v>
      </c>
      <c r="B1415" t="s">
        <v>2076</v>
      </c>
      <c r="C1415" s="3">
        <v>21743</v>
      </c>
      <c r="D1415" t="s">
        <v>666</v>
      </c>
      <c r="E1415">
        <v>45</v>
      </c>
      <c r="F1415" s="1">
        <v>45495</v>
      </c>
      <c r="G1415" s="1" t="str">
        <f>TEXT(Table1[[#This Row],[Enrollment date]], "mmm")</f>
        <v>Jul</v>
      </c>
      <c r="H1415" t="s">
        <v>360</v>
      </c>
      <c r="I1415" t="s">
        <v>660</v>
      </c>
      <c r="J1415" t="str">
        <f>_xlfn.XLOOKUP(Table1[[#This Row],[Course ]], CCF!B:B, CCF!A:A)</f>
        <v>DA202</v>
      </c>
      <c r="K1415" t="s">
        <v>363</v>
      </c>
      <c r="L1415">
        <f>_xlfn.XLOOKUP(K1415, CCF!B:B, CCF!C:C)</f>
        <v>79999</v>
      </c>
      <c r="M1415" t="s">
        <v>113</v>
      </c>
    </row>
    <row r="1416" spans="1:13" x14ac:dyDescent="0.3">
      <c r="A1416">
        <v>1415</v>
      </c>
      <c r="B1416" t="s">
        <v>2077</v>
      </c>
      <c r="C1416" s="3">
        <v>68346</v>
      </c>
      <c r="D1416" t="s">
        <v>666</v>
      </c>
      <c r="E1416">
        <v>32</v>
      </c>
      <c r="F1416" s="1">
        <v>45495</v>
      </c>
      <c r="G1416" s="1" t="str">
        <f>TEXT(Table1[[#This Row],[Enrollment date]], "mmm")</f>
        <v>Jul</v>
      </c>
      <c r="H1416" t="s">
        <v>360</v>
      </c>
      <c r="I1416" t="s">
        <v>660</v>
      </c>
      <c r="J1416" t="str">
        <f>_xlfn.XLOOKUP(Table1[[#This Row],[Course ]], CCF!B:B, CCF!A:A)</f>
        <v>DA202</v>
      </c>
      <c r="K1416" t="s">
        <v>363</v>
      </c>
      <c r="L1416">
        <f>_xlfn.XLOOKUP(K1416, CCF!B:B, CCF!C:C)</f>
        <v>79999</v>
      </c>
      <c r="M1416" t="s">
        <v>405</v>
      </c>
    </row>
    <row r="1417" spans="1:13" x14ac:dyDescent="0.3">
      <c r="A1417">
        <v>1416</v>
      </c>
      <c r="B1417" t="s">
        <v>2078</v>
      </c>
      <c r="C1417" s="3">
        <v>12636</v>
      </c>
      <c r="D1417" t="s">
        <v>667</v>
      </c>
      <c r="E1417">
        <v>20</v>
      </c>
      <c r="F1417" s="1">
        <v>45496</v>
      </c>
      <c r="G1417" s="1" t="str">
        <f>TEXT(Table1[[#This Row],[Enrollment date]], "mmm")</f>
        <v>Jul</v>
      </c>
      <c r="H1417" t="s">
        <v>360</v>
      </c>
      <c r="I1417" t="s">
        <v>660</v>
      </c>
      <c r="J1417" t="str">
        <f>_xlfn.XLOOKUP(Table1[[#This Row],[Course ]], CCF!B:B, CCF!A:A)</f>
        <v>DA202</v>
      </c>
      <c r="K1417" t="s">
        <v>363</v>
      </c>
      <c r="L1417">
        <f>_xlfn.XLOOKUP(K1417, CCF!B:B, CCF!C:C)</f>
        <v>79999</v>
      </c>
      <c r="M1417" t="s">
        <v>9</v>
      </c>
    </row>
    <row r="1418" spans="1:13" x14ac:dyDescent="0.3">
      <c r="A1418">
        <v>1417</v>
      </c>
      <c r="B1418" t="s">
        <v>2079</v>
      </c>
      <c r="C1418" s="3">
        <v>62608</v>
      </c>
      <c r="D1418" t="s">
        <v>666</v>
      </c>
      <c r="E1418">
        <v>36</v>
      </c>
      <c r="F1418" s="1">
        <v>45496</v>
      </c>
      <c r="G1418" s="1" t="str">
        <f>TEXT(Table1[[#This Row],[Enrollment date]], "mmm")</f>
        <v>Jul</v>
      </c>
      <c r="H1418" t="s">
        <v>360</v>
      </c>
      <c r="I1418" t="s">
        <v>663</v>
      </c>
      <c r="J1418" t="str">
        <f>_xlfn.XLOOKUP(Table1[[#This Row],[Course ]], CCF!B:B, CCF!A:A)</f>
        <v>BA301</v>
      </c>
      <c r="K1418" t="s">
        <v>364</v>
      </c>
      <c r="L1418">
        <f>_xlfn.XLOOKUP(K1418, CCF!B:B, CCF!C:C)</f>
        <v>59999</v>
      </c>
      <c r="M1418" t="s">
        <v>554</v>
      </c>
    </row>
    <row r="1419" spans="1:13" x14ac:dyDescent="0.3">
      <c r="A1419">
        <v>1418</v>
      </c>
      <c r="B1419" t="s">
        <v>2080</v>
      </c>
      <c r="C1419" s="3">
        <v>21760</v>
      </c>
      <c r="D1419" t="s">
        <v>666</v>
      </c>
      <c r="E1419">
        <v>70</v>
      </c>
      <c r="F1419" s="1">
        <v>45496</v>
      </c>
      <c r="G1419" s="1" t="str">
        <f>TEXT(Table1[[#This Row],[Enrollment date]], "mmm")</f>
        <v>Jul</v>
      </c>
      <c r="H1419" t="s">
        <v>360</v>
      </c>
      <c r="I1419" t="s">
        <v>661</v>
      </c>
      <c r="J1419" t="str">
        <f>_xlfn.XLOOKUP(Table1[[#This Row],[Course ]], CCF!B:B, CCF!A:A)</f>
        <v>BA301</v>
      </c>
      <c r="K1419" t="s">
        <v>364</v>
      </c>
      <c r="L1419">
        <f>_xlfn.XLOOKUP(K1419, CCF!B:B, CCF!C:C)</f>
        <v>59999</v>
      </c>
      <c r="M1419" t="s">
        <v>80</v>
      </c>
    </row>
    <row r="1420" spans="1:13" x14ac:dyDescent="0.3">
      <c r="A1420">
        <v>1419</v>
      </c>
      <c r="B1420" t="s">
        <v>2081</v>
      </c>
      <c r="C1420" s="3">
        <v>65535</v>
      </c>
      <c r="D1420" t="s">
        <v>667</v>
      </c>
      <c r="E1420">
        <v>47</v>
      </c>
      <c r="F1420" s="1">
        <v>45496</v>
      </c>
      <c r="G1420" s="1" t="str">
        <f>TEXT(Table1[[#This Row],[Enrollment date]], "mmm")</f>
        <v>Jul</v>
      </c>
      <c r="H1420" t="s">
        <v>360</v>
      </c>
      <c r="I1420" t="s">
        <v>659</v>
      </c>
      <c r="J1420" t="str">
        <f>_xlfn.XLOOKUP(Table1[[#This Row],[Course ]], CCF!B:B, CCF!A:A)</f>
        <v>BA301</v>
      </c>
      <c r="K1420" t="s">
        <v>364</v>
      </c>
      <c r="L1420">
        <f>_xlfn.XLOOKUP(K1420, CCF!B:B, CCF!C:C)</f>
        <v>59999</v>
      </c>
      <c r="M1420" t="s">
        <v>254</v>
      </c>
    </row>
    <row r="1421" spans="1:13" x14ac:dyDescent="0.3">
      <c r="A1421">
        <v>1420</v>
      </c>
      <c r="B1421" t="s">
        <v>2082</v>
      </c>
      <c r="C1421" s="3">
        <v>10583</v>
      </c>
      <c r="D1421" t="s">
        <v>666</v>
      </c>
      <c r="E1421">
        <v>28</v>
      </c>
      <c r="F1421" s="1">
        <v>45496</v>
      </c>
      <c r="G1421" s="1" t="str">
        <f>TEXT(Table1[[#This Row],[Enrollment date]], "mmm")</f>
        <v>Jul</v>
      </c>
      <c r="H1421" t="s">
        <v>360</v>
      </c>
      <c r="I1421" t="s">
        <v>661</v>
      </c>
      <c r="J1421" t="str">
        <f>_xlfn.XLOOKUP(Table1[[#This Row],[Course ]], CCF!B:B, CCF!A:A)</f>
        <v>DM101</v>
      </c>
      <c r="K1421" t="s">
        <v>365</v>
      </c>
      <c r="L1421">
        <f>_xlfn.XLOOKUP(K1421, CCF!B:B, CCF!C:C)</f>
        <v>85499</v>
      </c>
      <c r="M1421" t="s">
        <v>30</v>
      </c>
    </row>
    <row r="1422" spans="1:13" x14ac:dyDescent="0.3">
      <c r="A1422">
        <v>1421</v>
      </c>
      <c r="B1422" t="s">
        <v>2083</v>
      </c>
      <c r="C1422" s="3">
        <v>32380</v>
      </c>
      <c r="D1422" t="s">
        <v>666</v>
      </c>
      <c r="E1422">
        <v>29</v>
      </c>
      <c r="F1422" s="1">
        <v>45496</v>
      </c>
      <c r="G1422" s="1" t="str">
        <f>TEXT(Table1[[#This Row],[Enrollment date]], "mmm")</f>
        <v>Jul</v>
      </c>
      <c r="H1422" t="s">
        <v>360</v>
      </c>
      <c r="I1422" t="s">
        <v>659</v>
      </c>
      <c r="J1422" t="str">
        <f>_xlfn.XLOOKUP(Table1[[#This Row],[Course ]], CCF!B:B, CCF!A:A)</f>
        <v>AI001</v>
      </c>
      <c r="K1422" t="s">
        <v>368</v>
      </c>
      <c r="L1422">
        <f>_xlfn.XLOOKUP(K1422, CCF!B:B, CCF!C:C)</f>
        <v>119990</v>
      </c>
      <c r="M1422" t="s">
        <v>181</v>
      </c>
    </row>
    <row r="1423" spans="1:13" x14ac:dyDescent="0.3">
      <c r="A1423">
        <v>1422</v>
      </c>
      <c r="B1423" t="s">
        <v>2084</v>
      </c>
      <c r="C1423" s="3">
        <v>88238</v>
      </c>
      <c r="D1423" t="s">
        <v>666</v>
      </c>
      <c r="E1423">
        <v>37</v>
      </c>
      <c r="F1423" s="1">
        <v>45496</v>
      </c>
      <c r="G1423" s="1" t="str">
        <f>TEXT(Table1[[#This Row],[Enrollment date]], "mmm")</f>
        <v>Jul</v>
      </c>
      <c r="H1423" t="s">
        <v>3</v>
      </c>
      <c r="I1423" t="s">
        <v>661</v>
      </c>
      <c r="J1423" t="str">
        <f>_xlfn.XLOOKUP(Table1[[#This Row],[Course ]], CCF!B:B, CCF!A:A)</f>
        <v>DM101</v>
      </c>
      <c r="K1423" t="s">
        <v>365</v>
      </c>
      <c r="L1423">
        <f>_xlfn.XLOOKUP(K1423, CCF!B:B, CCF!C:C)</f>
        <v>85499</v>
      </c>
      <c r="M1423" t="s">
        <v>148</v>
      </c>
    </row>
    <row r="1424" spans="1:13" x14ac:dyDescent="0.3">
      <c r="A1424">
        <v>1423</v>
      </c>
      <c r="B1424" t="s">
        <v>2085</v>
      </c>
      <c r="C1424" s="3">
        <v>47853</v>
      </c>
      <c r="D1424" t="s">
        <v>666</v>
      </c>
      <c r="E1424">
        <v>21</v>
      </c>
      <c r="F1424" s="1">
        <v>45496</v>
      </c>
      <c r="G1424" s="1" t="str">
        <f>TEXT(Table1[[#This Row],[Enrollment date]], "mmm")</f>
        <v>Jul</v>
      </c>
      <c r="H1424" t="s">
        <v>360</v>
      </c>
      <c r="I1424" t="s">
        <v>661</v>
      </c>
      <c r="J1424" t="str">
        <f>_xlfn.XLOOKUP(Table1[[#This Row],[Course ]], CCF!B:B, CCF!A:A)</f>
        <v>BA301</v>
      </c>
      <c r="K1424" t="s">
        <v>364</v>
      </c>
      <c r="L1424">
        <f>_xlfn.XLOOKUP(K1424, CCF!B:B, CCF!C:C)</f>
        <v>59999</v>
      </c>
      <c r="M1424" t="s">
        <v>555</v>
      </c>
    </row>
    <row r="1425" spans="1:13" x14ac:dyDescent="0.3">
      <c r="A1425">
        <v>1424</v>
      </c>
      <c r="B1425" t="s">
        <v>2086</v>
      </c>
      <c r="C1425" s="3">
        <v>44094</v>
      </c>
      <c r="D1425" t="s">
        <v>666</v>
      </c>
      <c r="E1425">
        <v>21</v>
      </c>
      <c r="F1425" s="1">
        <v>45496</v>
      </c>
      <c r="G1425" s="1" t="str">
        <f>TEXT(Table1[[#This Row],[Enrollment date]], "mmm")</f>
        <v>Jul</v>
      </c>
      <c r="H1425" t="s">
        <v>360</v>
      </c>
      <c r="I1425" t="s">
        <v>660</v>
      </c>
      <c r="J1425" t="str">
        <f>_xlfn.XLOOKUP(Table1[[#This Row],[Course ]], CCF!B:B, CCF!A:A)</f>
        <v>BA301</v>
      </c>
      <c r="K1425" t="s">
        <v>364</v>
      </c>
      <c r="L1425">
        <f>_xlfn.XLOOKUP(K1425, CCF!B:B, CCF!C:C)</f>
        <v>59999</v>
      </c>
      <c r="M1425" t="s">
        <v>292</v>
      </c>
    </row>
    <row r="1426" spans="1:13" x14ac:dyDescent="0.3">
      <c r="A1426">
        <v>1425</v>
      </c>
      <c r="B1426" t="s">
        <v>2087</v>
      </c>
      <c r="C1426" s="3">
        <v>33848</v>
      </c>
      <c r="D1426" t="s">
        <v>667</v>
      </c>
      <c r="E1426">
        <v>37</v>
      </c>
      <c r="F1426" s="1">
        <v>45496</v>
      </c>
      <c r="G1426" s="1" t="str">
        <f>TEXT(Table1[[#This Row],[Enrollment date]], "mmm")</f>
        <v>Jul</v>
      </c>
      <c r="H1426" t="s">
        <v>360</v>
      </c>
      <c r="I1426" t="s">
        <v>659</v>
      </c>
      <c r="J1426" t="str">
        <f>_xlfn.XLOOKUP(Table1[[#This Row],[Course ]], CCF!B:B, CCF!A:A)</f>
        <v>DA202</v>
      </c>
      <c r="K1426" t="s">
        <v>363</v>
      </c>
      <c r="L1426">
        <f>_xlfn.XLOOKUP(K1426, CCF!B:B, CCF!C:C)</f>
        <v>79999</v>
      </c>
      <c r="M1426" t="s">
        <v>118</v>
      </c>
    </row>
    <row r="1427" spans="1:13" x14ac:dyDescent="0.3">
      <c r="A1427">
        <v>1426</v>
      </c>
      <c r="B1427" t="s">
        <v>2088</v>
      </c>
      <c r="C1427" s="3">
        <v>82591</v>
      </c>
      <c r="D1427" t="s">
        <v>666</v>
      </c>
      <c r="E1427">
        <v>34</v>
      </c>
      <c r="F1427" s="1">
        <v>45497</v>
      </c>
      <c r="G1427" s="1" t="str">
        <f>TEXT(Table1[[#This Row],[Enrollment date]], "mmm")</f>
        <v>Jul</v>
      </c>
      <c r="H1427" t="s">
        <v>360</v>
      </c>
      <c r="I1427" t="s">
        <v>659</v>
      </c>
      <c r="J1427" t="str">
        <f>_xlfn.XLOOKUP(Table1[[#This Row],[Course ]], CCF!B:B, CCF!A:A)</f>
        <v>DA202</v>
      </c>
      <c r="K1427" t="s">
        <v>363</v>
      </c>
      <c r="L1427">
        <f>_xlfn.XLOOKUP(K1427, CCF!B:B, CCF!C:C)</f>
        <v>79999</v>
      </c>
      <c r="M1427" t="s">
        <v>33</v>
      </c>
    </row>
    <row r="1428" spans="1:13" x14ac:dyDescent="0.3">
      <c r="A1428">
        <v>1427</v>
      </c>
      <c r="B1428" t="s">
        <v>2089</v>
      </c>
      <c r="C1428" s="3">
        <v>26944</v>
      </c>
      <c r="D1428" t="s">
        <v>667</v>
      </c>
      <c r="E1428">
        <v>29</v>
      </c>
      <c r="F1428" s="1">
        <v>45497</v>
      </c>
      <c r="G1428" s="1" t="str">
        <f>TEXT(Table1[[#This Row],[Enrollment date]], "mmm")</f>
        <v>Jul</v>
      </c>
      <c r="H1428" t="s">
        <v>360</v>
      </c>
      <c r="I1428" t="s">
        <v>660</v>
      </c>
      <c r="J1428" t="str">
        <f>_xlfn.XLOOKUP(Table1[[#This Row],[Course ]], CCF!B:B, CCF!A:A)</f>
        <v>DM101</v>
      </c>
      <c r="K1428" t="s">
        <v>365</v>
      </c>
      <c r="L1428">
        <f>_xlfn.XLOOKUP(K1428, CCF!B:B, CCF!C:C)</f>
        <v>85499</v>
      </c>
      <c r="M1428" t="s">
        <v>389</v>
      </c>
    </row>
    <row r="1429" spans="1:13" x14ac:dyDescent="0.3">
      <c r="A1429">
        <v>1428</v>
      </c>
      <c r="B1429" t="s">
        <v>2090</v>
      </c>
      <c r="C1429" s="3">
        <v>91289</v>
      </c>
      <c r="D1429" t="s">
        <v>667</v>
      </c>
      <c r="E1429">
        <v>18</v>
      </c>
      <c r="F1429" s="1">
        <v>45497</v>
      </c>
      <c r="G1429" s="1" t="str">
        <f>TEXT(Table1[[#This Row],[Enrollment date]], "mmm")</f>
        <v>Jul</v>
      </c>
      <c r="H1429" t="s">
        <v>360</v>
      </c>
      <c r="I1429" t="s">
        <v>663</v>
      </c>
      <c r="J1429" t="str">
        <f>_xlfn.XLOOKUP(Table1[[#This Row],[Course ]], CCF!B:B, CCF!A:A)</f>
        <v>DM101</v>
      </c>
      <c r="K1429" t="s">
        <v>365</v>
      </c>
      <c r="L1429">
        <f>_xlfn.XLOOKUP(K1429, CCF!B:B, CCF!C:C)</f>
        <v>85499</v>
      </c>
      <c r="M1429" t="s">
        <v>7</v>
      </c>
    </row>
    <row r="1430" spans="1:13" x14ac:dyDescent="0.3">
      <c r="A1430">
        <v>1429</v>
      </c>
      <c r="B1430" t="s">
        <v>2091</v>
      </c>
      <c r="C1430" s="3">
        <v>10086</v>
      </c>
      <c r="D1430" t="s">
        <v>666</v>
      </c>
      <c r="E1430">
        <v>19</v>
      </c>
      <c r="F1430" s="1">
        <v>45497</v>
      </c>
      <c r="G1430" s="1" t="str">
        <f>TEXT(Table1[[#This Row],[Enrollment date]], "mmm")</f>
        <v>Jul</v>
      </c>
      <c r="H1430" t="s">
        <v>360</v>
      </c>
      <c r="I1430" t="s">
        <v>659</v>
      </c>
      <c r="J1430" t="str">
        <f>_xlfn.XLOOKUP(Table1[[#This Row],[Course ]], CCF!B:B, CCF!A:A)</f>
        <v>DA202</v>
      </c>
      <c r="K1430" t="s">
        <v>363</v>
      </c>
      <c r="L1430">
        <f>_xlfn.XLOOKUP(K1430, CCF!B:B, CCF!C:C)</f>
        <v>79999</v>
      </c>
      <c r="M1430" t="s">
        <v>314</v>
      </c>
    </row>
    <row r="1431" spans="1:13" x14ac:dyDescent="0.3">
      <c r="A1431">
        <v>1430</v>
      </c>
      <c r="B1431" t="s">
        <v>2092</v>
      </c>
      <c r="C1431" s="3">
        <v>73616</v>
      </c>
      <c r="D1431" t="s">
        <v>666</v>
      </c>
      <c r="E1431">
        <v>33</v>
      </c>
      <c r="F1431" s="1">
        <v>45497</v>
      </c>
      <c r="G1431" s="1" t="str">
        <f>TEXT(Table1[[#This Row],[Enrollment date]], "mmm")</f>
        <v>Jul</v>
      </c>
      <c r="H1431" t="s">
        <v>360</v>
      </c>
      <c r="I1431" t="s">
        <v>660</v>
      </c>
      <c r="J1431" t="str">
        <f>_xlfn.XLOOKUP(Table1[[#This Row],[Course ]], CCF!B:B, CCF!A:A)</f>
        <v>DA202</v>
      </c>
      <c r="K1431" t="s">
        <v>363</v>
      </c>
      <c r="L1431">
        <f>_xlfn.XLOOKUP(K1431, CCF!B:B, CCF!C:C)</f>
        <v>79999</v>
      </c>
      <c r="M1431" t="s">
        <v>88</v>
      </c>
    </row>
    <row r="1432" spans="1:13" x14ac:dyDescent="0.3">
      <c r="A1432">
        <v>1431</v>
      </c>
      <c r="B1432" t="s">
        <v>2093</v>
      </c>
      <c r="C1432" s="3">
        <v>88673</v>
      </c>
      <c r="D1432" t="s">
        <v>666</v>
      </c>
      <c r="E1432">
        <v>70</v>
      </c>
      <c r="F1432" s="1">
        <v>45498</v>
      </c>
      <c r="G1432" s="1" t="str">
        <f>TEXT(Table1[[#This Row],[Enrollment date]], "mmm")</f>
        <v>Jul</v>
      </c>
      <c r="H1432" t="s">
        <v>360</v>
      </c>
      <c r="I1432" t="s">
        <v>661</v>
      </c>
      <c r="J1432" t="str">
        <f>_xlfn.XLOOKUP(Table1[[#This Row],[Course ]], CCF!B:B, CCF!A:A)</f>
        <v>DA202</v>
      </c>
      <c r="K1432" t="s">
        <v>363</v>
      </c>
      <c r="L1432">
        <f>_xlfn.XLOOKUP(K1432, CCF!B:B, CCF!C:C)</f>
        <v>79999</v>
      </c>
      <c r="M1432" t="s">
        <v>172</v>
      </c>
    </row>
    <row r="1433" spans="1:13" x14ac:dyDescent="0.3">
      <c r="A1433">
        <v>1432</v>
      </c>
      <c r="B1433" t="s">
        <v>2094</v>
      </c>
      <c r="C1433" s="3">
        <v>33162</v>
      </c>
      <c r="D1433" t="s">
        <v>666</v>
      </c>
      <c r="E1433">
        <v>49</v>
      </c>
      <c r="F1433" s="1">
        <v>45498</v>
      </c>
      <c r="G1433" s="1" t="str">
        <f>TEXT(Table1[[#This Row],[Enrollment date]], "mmm")</f>
        <v>Jul</v>
      </c>
      <c r="H1433" t="s">
        <v>361</v>
      </c>
      <c r="I1433" t="s">
        <v>661</v>
      </c>
      <c r="J1433" t="str">
        <f>_xlfn.XLOOKUP(Table1[[#This Row],[Course ]], CCF!B:B, CCF!A:A)</f>
        <v>UX401</v>
      </c>
      <c r="K1433" t="s">
        <v>367</v>
      </c>
      <c r="L1433">
        <f>_xlfn.XLOOKUP(K1433, CCF!B:B, CCF!C:C)</f>
        <v>67990</v>
      </c>
      <c r="M1433" t="s">
        <v>16</v>
      </c>
    </row>
    <row r="1434" spans="1:13" x14ac:dyDescent="0.3">
      <c r="A1434">
        <v>1433</v>
      </c>
      <c r="B1434" t="s">
        <v>2095</v>
      </c>
      <c r="C1434" s="3">
        <v>52224</v>
      </c>
      <c r="D1434" t="s">
        <v>666</v>
      </c>
      <c r="E1434">
        <v>34</v>
      </c>
      <c r="F1434" s="1">
        <v>45498</v>
      </c>
      <c r="G1434" s="1" t="str">
        <f>TEXT(Table1[[#This Row],[Enrollment date]], "mmm")</f>
        <v>Jul</v>
      </c>
      <c r="H1434" t="s">
        <v>360</v>
      </c>
      <c r="I1434" t="s">
        <v>660</v>
      </c>
      <c r="J1434" t="str">
        <f>_xlfn.XLOOKUP(Table1[[#This Row],[Course ]], CCF!B:B, CCF!A:A)</f>
        <v>DA202</v>
      </c>
      <c r="K1434" t="s">
        <v>363</v>
      </c>
      <c r="L1434">
        <f>_xlfn.XLOOKUP(K1434, CCF!B:B, CCF!C:C)</f>
        <v>79999</v>
      </c>
      <c r="M1434" t="s">
        <v>134</v>
      </c>
    </row>
    <row r="1435" spans="1:13" x14ac:dyDescent="0.3">
      <c r="A1435">
        <v>1434</v>
      </c>
      <c r="B1435" t="s">
        <v>2096</v>
      </c>
      <c r="C1435" s="3">
        <v>65955</v>
      </c>
      <c r="D1435" t="s">
        <v>666</v>
      </c>
      <c r="E1435">
        <v>19</v>
      </c>
      <c r="F1435" s="1">
        <v>45498</v>
      </c>
      <c r="G1435" s="1" t="str">
        <f>TEXT(Table1[[#This Row],[Enrollment date]], "mmm")</f>
        <v>Jul</v>
      </c>
      <c r="H1435" t="s">
        <v>360</v>
      </c>
      <c r="I1435" t="s">
        <v>662</v>
      </c>
      <c r="J1435" t="str">
        <f>_xlfn.XLOOKUP(Table1[[#This Row],[Course ]], CCF!B:B, CCF!A:A)</f>
        <v>UX401</v>
      </c>
      <c r="K1435" t="s">
        <v>367</v>
      </c>
      <c r="L1435">
        <f>_xlfn.XLOOKUP(K1435, CCF!B:B, CCF!C:C)</f>
        <v>67990</v>
      </c>
      <c r="M1435" t="s">
        <v>160</v>
      </c>
    </row>
    <row r="1436" spans="1:13" x14ac:dyDescent="0.3">
      <c r="A1436">
        <v>1435</v>
      </c>
      <c r="B1436" t="s">
        <v>2097</v>
      </c>
      <c r="C1436" s="3">
        <v>11512</v>
      </c>
      <c r="D1436" t="s">
        <v>666</v>
      </c>
      <c r="E1436">
        <v>29</v>
      </c>
      <c r="F1436" s="1">
        <v>45498</v>
      </c>
      <c r="G1436" s="1" t="str">
        <f>TEXT(Table1[[#This Row],[Enrollment date]], "mmm")</f>
        <v>Jul</v>
      </c>
      <c r="H1436" t="s">
        <v>360</v>
      </c>
      <c r="I1436" t="s">
        <v>661</v>
      </c>
      <c r="J1436" t="str">
        <f>_xlfn.XLOOKUP(Table1[[#This Row],[Course ]], CCF!B:B, CCF!A:A)</f>
        <v>DA202</v>
      </c>
      <c r="K1436" t="s">
        <v>363</v>
      </c>
      <c r="L1436">
        <f>_xlfn.XLOOKUP(K1436, CCF!B:B, CCF!C:C)</f>
        <v>79999</v>
      </c>
      <c r="M1436" t="s">
        <v>294</v>
      </c>
    </row>
    <row r="1437" spans="1:13" x14ac:dyDescent="0.3">
      <c r="A1437">
        <v>1436</v>
      </c>
      <c r="B1437" t="s">
        <v>2098</v>
      </c>
      <c r="C1437" s="3">
        <v>83059</v>
      </c>
      <c r="D1437" t="s">
        <v>666</v>
      </c>
      <c r="E1437">
        <v>38</v>
      </c>
      <c r="F1437" s="1">
        <v>45498</v>
      </c>
      <c r="G1437" s="1" t="str">
        <f>TEXT(Table1[[#This Row],[Enrollment date]], "mmm")</f>
        <v>Jul</v>
      </c>
      <c r="H1437" t="s">
        <v>360</v>
      </c>
      <c r="I1437" t="s">
        <v>659</v>
      </c>
      <c r="J1437" t="str">
        <f>_xlfn.XLOOKUP(Table1[[#This Row],[Course ]], CCF!B:B, CCF!A:A)</f>
        <v>FSD103</v>
      </c>
      <c r="K1437" t="s">
        <v>366</v>
      </c>
      <c r="L1437">
        <f>_xlfn.XLOOKUP(K1437, CCF!B:B, CCF!C:C)</f>
        <v>109990</v>
      </c>
      <c r="M1437" t="s">
        <v>20</v>
      </c>
    </row>
    <row r="1438" spans="1:13" x14ac:dyDescent="0.3">
      <c r="A1438">
        <v>1437</v>
      </c>
      <c r="B1438" t="s">
        <v>2099</v>
      </c>
      <c r="C1438" s="3">
        <v>30624</v>
      </c>
      <c r="D1438" t="s">
        <v>667</v>
      </c>
      <c r="E1438">
        <v>20</v>
      </c>
      <c r="F1438" s="1">
        <v>45498</v>
      </c>
      <c r="G1438" s="1" t="str">
        <f>TEXT(Table1[[#This Row],[Enrollment date]], "mmm")</f>
        <v>Jul</v>
      </c>
      <c r="H1438" t="s">
        <v>360</v>
      </c>
      <c r="I1438" t="s">
        <v>660</v>
      </c>
      <c r="J1438" t="str">
        <f>_xlfn.XLOOKUP(Table1[[#This Row],[Course ]], CCF!B:B, CCF!A:A)</f>
        <v>DM101</v>
      </c>
      <c r="K1438" t="s">
        <v>365</v>
      </c>
      <c r="L1438">
        <f>_xlfn.XLOOKUP(K1438, CCF!B:B, CCF!C:C)</f>
        <v>85499</v>
      </c>
      <c r="M1438" t="s">
        <v>30</v>
      </c>
    </row>
    <row r="1439" spans="1:13" x14ac:dyDescent="0.3">
      <c r="A1439">
        <v>1438</v>
      </c>
      <c r="B1439" t="s">
        <v>2100</v>
      </c>
      <c r="C1439" s="3">
        <v>91008</v>
      </c>
      <c r="D1439" t="s">
        <v>667</v>
      </c>
      <c r="E1439">
        <v>44</v>
      </c>
      <c r="F1439" s="1">
        <v>45498</v>
      </c>
      <c r="G1439" s="1" t="str">
        <f>TEXT(Table1[[#This Row],[Enrollment date]], "mmm")</f>
        <v>Jul</v>
      </c>
      <c r="H1439" t="s">
        <v>360</v>
      </c>
      <c r="I1439" t="s">
        <v>659</v>
      </c>
      <c r="J1439" t="str">
        <f>_xlfn.XLOOKUP(Table1[[#This Row],[Course ]], CCF!B:B, CCF!A:A)</f>
        <v>FSD103</v>
      </c>
      <c r="K1439" t="s">
        <v>366</v>
      </c>
      <c r="L1439">
        <f>_xlfn.XLOOKUP(K1439, CCF!B:B, CCF!C:C)</f>
        <v>109990</v>
      </c>
      <c r="M1439" t="s">
        <v>20</v>
      </c>
    </row>
    <row r="1440" spans="1:13" x14ac:dyDescent="0.3">
      <c r="A1440">
        <v>1439</v>
      </c>
      <c r="B1440" t="s">
        <v>2101</v>
      </c>
      <c r="C1440" s="3">
        <v>32788</v>
      </c>
      <c r="D1440" t="s">
        <v>667</v>
      </c>
      <c r="E1440">
        <v>77</v>
      </c>
      <c r="F1440" s="1">
        <v>45499</v>
      </c>
      <c r="G1440" s="1" t="str">
        <f>TEXT(Table1[[#This Row],[Enrollment date]], "mmm")</f>
        <v>Jul</v>
      </c>
      <c r="H1440" t="s">
        <v>360</v>
      </c>
      <c r="I1440" t="s">
        <v>664</v>
      </c>
      <c r="J1440" t="str">
        <f>_xlfn.XLOOKUP(Table1[[#This Row],[Course ]], CCF!B:B, CCF!A:A)</f>
        <v>DA202</v>
      </c>
      <c r="K1440" t="s">
        <v>363</v>
      </c>
      <c r="L1440">
        <f>_xlfn.XLOOKUP(K1440, CCF!B:B, CCF!C:C)</f>
        <v>79999</v>
      </c>
      <c r="M1440" t="s">
        <v>556</v>
      </c>
    </row>
    <row r="1441" spans="1:13" x14ac:dyDescent="0.3">
      <c r="A1441">
        <v>1440</v>
      </c>
      <c r="B1441" t="s">
        <v>2102</v>
      </c>
      <c r="C1441" s="3">
        <v>65749</v>
      </c>
      <c r="D1441" t="s">
        <v>666</v>
      </c>
      <c r="E1441">
        <v>37</v>
      </c>
      <c r="F1441" s="1">
        <v>45499</v>
      </c>
      <c r="G1441" s="1" t="str">
        <f>TEXT(Table1[[#This Row],[Enrollment date]], "mmm")</f>
        <v>Jul</v>
      </c>
      <c r="H1441" t="s">
        <v>360</v>
      </c>
      <c r="I1441" t="s">
        <v>660</v>
      </c>
      <c r="J1441" t="str">
        <f>_xlfn.XLOOKUP(Table1[[#This Row],[Course ]], CCF!B:B, CCF!A:A)</f>
        <v>DA202</v>
      </c>
      <c r="K1441" t="s">
        <v>363</v>
      </c>
      <c r="L1441">
        <f>_xlfn.XLOOKUP(K1441, CCF!B:B, CCF!C:C)</f>
        <v>79999</v>
      </c>
      <c r="M1441" t="s">
        <v>164</v>
      </c>
    </row>
    <row r="1442" spans="1:13" x14ac:dyDescent="0.3">
      <c r="A1442">
        <v>1441</v>
      </c>
      <c r="B1442" t="s">
        <v>2103</v>
      </c>
      <c r="C1442" s="3">
        <v>90153</v>
      </c>
      <c r="D1442" t="s">
        <v>666</v>
      </c>
      <c r="E1442">
        <v>19</v>
      </c>
      <c r="F1442" s="1">
        <v>45499</v>
      </c>
      <c r="G1442" s="1" t="str">
        <f>TEXT(Table1[[#This Row],[Enrollment date]], "mmm")</f>
        <v>Jul</v>
      </c>
      <c r="H1442" t="s">
        <v>360</v>
      </c>
      <c r="I1442" t="s">
        <v>660</v>
      </c>
      <c r="J1442" t="str">
        <f>_xlfn.XLOOKUP(Table1[[#This Row],[Course ]], CCF!B:B, CCF!A:A)</f>
        <v>DM101</v>
      </c>
      <c r="K1442" t="s">
        <v>365</v>
      </c>
      <c r="L1442">
        <f>_xlfn.XLOOKUP(K1442, CCF!B:B, CCF!C:C)</f>
        <v>85499</v>
      </c>
      <c r="M1442" t="s">
        <v>216</v>
      </c>
    </row>
    <row r="1443" spans="1:13" x14ac:dyDescent="0.3">
      <c r="A1443">
        <v>1442</v>
      </c>
      <c r="B1443" t="s">
        <v>2104</v>
      </c>
      <c r="C1443" s="3">
        <v>45545</v>
      </c>
      <c r="D1443" t="s">
        <v>667</v>
      </c>
      <c r="E1443">
        <v>22</v>
      </c>
      <c r="F1443" s="1">
        <v>45499</v>
      </c>
      <c r="G1443" s="1" t="str">
        <f>TEXT(Table1[[#This Row],[Enrollment date]], "mmm")</f>
        <v>Jul</v>
      </c>
      <c r="H1443" t="s">
        <v>360</v>
      </c>
      <c r="I1443" t="s">
        <v>660</v>
      </c>
      <c r="J1443" t="str">
        <f>_xlfn.XLOOKUP(Table1[[#This Row],[Course ]], CCF!B:B, CCF!A:A)</f>
        <v>DM101</v>
      </c>
      <c r="K1443" t="s">
        <v>365</v>
      </c>
      <c r="L1443">
        <f>_xlfn.XLOOKUP(K1443, CCF!B:B, CCF!C:C)</f>
        <v>85499</v>
      </c>
      <c r="M1443" t="s">
        <v>30</v>
      </c>
    </row>
    <row r="1444" spans="1:13" x14ac:dyDescent="0.3">
      <c r="A1444">
        <v>1443</v>
      </c>
      <c r="B1444" t="s">
        <v>2105</v>
      </c>
      <c r="C1444" s="3">
        <v>87334</v>
      </c>
      <c r="D1444" t="s">
        <v>666</v>
      </c>
      <c r="E1444">
        <v>23</v>
      </c>
      <c r="F1444" s="1">
        <v>45499</v>
      </c>
      <c r="G1444" s="1" t="str">
        <f>TEXT(Table1[[#This Row],[Enrollment date]], "mmm")</f>
        <v>Jul</v>
      </c>
      <c r="H1444" t="s">
        <v>360</v>
      </c>
      <c r="I1444" t="s">
        <v>663</v>
      </c>
      <c r="J1444" t="str">
        <f>_xlfn.XLOOKUP(Table1[[#This Row],[Course ]], CCF!B:B, CCF!A:A)</f>
        <v>BA301</v>
      </c>
      <c r="K1444" t="s">
        <v>364</v>
      </c>
      <c r="L1444">
        <f>_xlfn.XLOOKUP(K1444, CCF!B:B, CCF!C:C)</f>
        <v>59999</v>
      </c>
      <c r="M1444" t="s">
        <v>20</v>
      </c>
    </row>
    <row r="1445" spans="1:13" x14ac:dyDescent="0.3">
      <c r="A1445">
        <v>1444</v>
      </c>
      <c r="B1445" t="s">
        <v>2106</v>
      </c>
      <c r="C1445" s="3">
        <v>45276</v>
      </c>
      <c r="D1445" t="s">
        <v>666</v>
      </c>
      <c r="E1445">
        <v>39</v>
      </c>
      <c r="F1445" s="1">
        <v>45499</v>
      </c>
      <c r="G1445" s="1" t="str">
        <f>TEXT(Table1[[#This Row],[Enrollment date]], "mmm")</f>
        <v>Jul</v>
      </c>
      <c r="H1445" t="s">
        <v>360</v>
      </c>
      <c r="I1445" t="s">
        <v>659</v>
      </c>
      <c r="J1445" t="str">
        <f>_xlfn.XLOOKUP(Table1[[#This Row],[Course ]], CCF!B:B, CCF!A:A)</f>
        <v>DM101</v>
      </c>
      <c r="K1445" t="s">
        <v>365</v>
      </c>
      <c r="L1445">
        <f>_xlfn.XLOOKUP(K1445, CCF!B:B, CCF!C:C)</f>
        <v>85499</v>
      </c>
      <c r="M1445" t="s">
        <v>241</v>
      </c>
    </row>
    <row r="1446" spans="1:13" x14ac:dyDescent="0.3">
      <c r="A1446">
        <v>1445</v>
      </c>
      <c r="B1446" t="s">
        <v>2107</v>
      </c>
      <c r="C1446" s="3">
        <v>95585</v>
      </c>
      <c r="D1446" t="s">
        <v>666</v>
      </c>
      <c r="E1446">
        <v>45</v>
      </c>
      <c r="F1446" s="1">
        <v>45499</v>
      </c>
      <c r="G1446" s="1" t="str">
        <f>TEXT(Table1[[#This Row],[Enrollment date]], "mmm")</f>
        <v>Jul</v>
      </c>
      <c r="H1446" t="s">
        <v>360</v>
      </c>
      <c r="I1446" t="s">
        <v>660</v>
      </c>
      <c r="J1446" t="str">
        <f>_xlfn.XLOOKUP(Table1[[#This Row],[Course ]], CCF!B:B, CCF!A:A)</f>
        <v>DM101</v>
      </c>
      <c r="K1446" t="s">
        <v>365</v>
      </c>
      <c r="L1446">
        <f>_xlfn.XLOOKUP(K1446, CCF!B:B, CCF!C:C)</f>
        <v>85499</v>
      </c>
      <c r="M1446" t="s">
        <v>12</v>
      </c>
    </row>
    <row r="1447" spans="1:13" x14ac:dyDescent="0.3">
      <c r="A1447">
        <v>1446</v>
      </c>
      <c r="B1447" t="s">
        <v>2108</v>
      </c>
      <c r="C1447" s="3">
        <v>52924</v>
      </c>
      <c r="D1447" t="s">
        <v>666</v>
      </c>
      <c r="E1447">
        <v>52</v>
      </c>
      <c r="F1447" s="1">
        <v>45499</v>
      </c>
      <c r="G1447" s="1" t="str">
        <f>TEXT(Table1[[#This Row],[Enrollment date]], "mmm")</f>
        <v>Jul</v>
      </c>
      <c r="H1447" t="s">
        <v>3</v>
      </c>
      <c r="I1447" t="s">
        <v>660</v>
      </c>
      <c r="J1447" t="str">
        <f>_xlfn.XLOOKUP(Table1[[#This Row],[Course ]], CCF!B:B, CCF!A:A)</f>
        <v>DA202</v>
      </c>
      <c r="K1447" t="s">
        <v>363</v>
      </c>
      <c r="L1447">
        <f>_xlfn.XLOOKUP(K1447, CCF!B:B, CCF!C:C)</f>
        <v>79999</v>
      </c>
      <c r="M1447" t="s">
        <v>296</v>
      </c>
    </row>
    <row r="1448" spans="1:13" x14ac:dyDescent="0.3">
      <c r="A1448">
        <v>1447</v>
      </c>
      <c r="B1448" t="s">
        <v>2109</v>
      </c>
      <c r="C1448" s="3">
        <v>73633</v>
      </c>
      <c r="D1448" t="s">
        <v>666</v>
      </c>
      <c r="E1448">
        <v>22</v>
      </c>
      <c r="F1448" s="1">
        <v>45499</v>
      </c>
      <c r="G1448" s="1" t="str">
        <f>TEXT(Table1[[#This Row],[Enrollment date]], "mmm")</f>
        <v>Jul</v>
      </c>
      <c r="H1448" t="s">
        <v>360</v>
      </c>
      <c r="I1448" t="s">
        <v>661</v>
      </c>
      <c r="J1448" t="str">
        <f>_xlfn.XLOOKUP(Table1[[#This Row],[Course ]], CCF!B:B, CCF!A:A)</f>
        <v>DA202</v>
      </c>
      <c r="K1448" t="s">
        <v>363</v>
      </c>
      <c r="L1448">
        <f>_xlfn.XLOOKUP(K1448, CCF!B:B, CCF!C:C)</f>
        <v>79999</v>
      </c>
      <c r="M1448" t="s">
        <v>329</v>
      </c>
    </row>
    <row r="1449" spans="1:13" x14ac:dyDescent="0.3">
      <c r="A1449">
        <v>1448</v>
      </c>
      <c r="B1449" t="s">
        <v>2110</v>
      </c>
      <c r="C1449" s="3">
        <v>77407</v>
      </c>
      <c r="D1449" t="s">
        <v>667</v>
      </c>
      <c r="E1449">
        <v>46</v>
      </c>
      <c r="F1449" s="1">
        <v>45499</v>
      </c>
      <c r="G1449" s="1" t="str">
        <f>TEXT(Table1[[#This Row],[Enrollment date]], "mmm")</f>
        <v>Jul</v>
      </c>
      <c r="H1449" t="s">
        <v>360</v>
      </c>
      <c r="I1449" t="s">
        <v>659</v>
      </c>
      <c r="J1449" t="str">
        <f>_xlfn.XLOOKUP(Table1[[#This Row],[Course ]], CCF!B:B, CCF!A:A)</f>
        <v>DA202</v>
      </c>
      <c r="K1449" t="s">
        <v>363</v>
      </c>
      <c r="L1449">
        <f>_xlfn.XLOOKUP(K1449, CCF!B:B, CCF!C:C)</f>
        <v>79999</v>
      </c>
      <c r="M1449" t="s">
        <v>103</v>
      </c>
    </row>
    <row r="1450" spans="1:13" x14ac:dyDescent="0.3">
      <c r="A1450">
        <v>1449</v>
      </c>
      <c r="B1450" t="s">
        <v>2111</v>
      </c>
      <c r="C1450" s="3">
        <v>79002</v>
      </c>
      <c r="D1450" t="s">
        <v>667</v>
      </c>
      <c r="E1450">
        <v>25</v>
      </c>
      <c r="F1450" s="1">
        <v>45500</v>
      </c>
      <c r="G1450" s="1" t="str">
        <f>TEXT(Table1[[#This Row],[Enrollment date]], "mmm")</f>
        <v>Jul</v>
      </c>
      <c r="H1450" t="s">
        <v>360</v>
      </c>
      <c r="I1450" t="s">
        <v>662</v>
      </c>
      <c r="J1450" t="str">
        <f>_xlfn.XLOOKUP(Table1[[#This Row],[Course ]], CCF!B:B, CCF!A:A)</f>
        <v>BA301</v>
      </c>
      <c r="K1450" t="s">
        <v>364</v>
      </c>
      <c r="L1450">
        <f>_xlfn.XLOOKUP(K1450, CCF!B:B, CCF!C:C)</f>
        <v>59999</v>
      </c>
      <c r="M1450" t="s">
        <v>18</v>
      </c>
    </row>
    <row r="1451" spans="1:13" x14ac:dyDescent="0.3">
      <c r="A1451">
        <v>1450</v>
      </c>
      <c r="B1451" t="s">
        <v>2112</v>
      </c>
      <c r="C1451" s="3">
        <v>32750</v>
      </c>
      <c r="D1451" t="s">
        <v>666</v>
      </c>
      <c r="E1451">
        <v>49</v>
      </c>
      <c r="F1451" s="1">
        <v>45500</v>
      </c>
      <c r="G1451" s="1" t="str">
        <f>TEXT(Table1[[#This Row],[Enrollment date]], "mmm")</f>
        <v>Jul</v>
      </c>
      <c r="H1451" t="s">
        <v>360</v>
      </c>
      <c r="I1451" t="s">
        <v>659</v>
      </c>
      <c r="J1451" t="str">
        <f>_xlfn.XLOOKUP(Table1[[#This Row],[Course ]], CCF!B:B, CCF!A:A)</f>
        <v>DA202</v>
      </c>
      <c r="K1451" t="s">
        <v>363</v>
      </c>
      <c r="L1451">
        <f>_xlfn.XLOOKUP(K1451, CCF!B:B, CCF!C:C)</f>
        <v>79999</v>
      </c>
      <c r="M1451" t="s">
        <v>43</v>
      </c>
    </row>
    <row r="1452" spans="1:13" x14ac:dyDescent="0.3">
      <c r="A1452">
        <v>1451</v>
      </c>
      <c r="B1452" t="s">
        <v>2113</v>
      </c>
      <c r="C1452" s="3">
        <v>54907</v>
      </c>
      <c r="D1452" t="s">
        <v>666</v>
      </c>
      <c r="E1452">
        <v>29</v>
      </c>
      <c r="F1452" s="1">
        <v>45500</v>
      </c>
      <c r="G1452" s="1" t="str">
        <f>TEXT(Table1[[#This Row],[Enrollment date]], "mmm")</f>
        <v>Jul</v>
      </c>
      <c r="H1452" t="s">
        <v>360</v>
      </c>
      <c r="I1452" t="s">
        <v>663</v>
      </c>
      <c r="J1452" t="str">
        <f>_xlfn.XLOOKUP(Table1[[#This Row],[Course ]], CCF!B:B, CCF!A:A)</f>
        <v>AI001</v>
      </c>
      <c r="K1452" t="s">
        <v>368</v>
      </c>
      <c r="L1452">
        <f>_xlfn.XLOOKUP(K1452, CCF!B:B, CCF!C:C)</f>
        <v>119990</v>
      </c>
      <c r="M1452" t="s">
        <v>310</v>
      </c>
    </row>
    <row r="1453" spans="1:13" x14ac:dyDescent="0.3">
      <c r="A1453">
        <v>1452</v>
      </c>
      <c r="B1453" t="s">
        <v>2114</v>
      </c>
      <c r="C1453" s="3">
        <v>50057</v>
      </c>
      <c r="D1453" t="s">
        <v>667</v>
      </c>
      <c r="E1453">
        <v>31</v>
      </c>
      <c r="F1453" s="1">
        <v>45500</v>
      </c>
      <c r="G1453" s="1" t="str">
        <f>TEXT(Table1[[#This Row],[Enrollment date]], "mmm")</f>
        <v>Jul</v>
      </c>
      <c r="H1453" t="s">
        <v>360</v>
      </c>
      <c r="I1453" t="s">
        <v>659</v>
      </c>
      <c r="J1453" t="str">
        <f>_xlfn.XLOOKUP(Table1[[#This Row],[Course ]], CCF!B:B, CCF!A:A)</f>
        <v>FSD103</v>
      </c>
      <c r="K1453" t="s">
        <v>366</v>
      </c>
      <c r="L1453">
        <f>_xlfn.XLOOKUP(K1453, CCF!B:B, CCF!C:C)</f>
        <v>109990</v>
      </c>
      <c r="M1453" t="s">
        <v>136</v>
      </c>
    </row>
    <row r="1454" spans="1:13" x14ac:dyDescent="0.3">
      <c r="A1454">
        <v>1453</v>
      </c>
      <c r="B1454" t="s">
        <v>2115</v>
      </c>
      <c r="C1454" s="3">
        <v>86352</v>
      </c>
      <c r="D1454" t="s">
        <v>666</v>
      </c>
      <c r="E1454">
        <v>32</v>
      </c>
      <c r="F1454" s="1">
        <v>45500</v>
      </c>
      <c r="G1454" s="1" t="str">
        <f>TEXT(Table1[[#This Row],[Enrollment date]], "mmm")</f>
        <v>Jul</v>
      </c>
      <c r="H1454" t="s">
        <v>360</v>
      </c>
      <c r="I1454" t="s">
        <v>659</v>
      </c>
      <c r="J1454" t="str">
        <f>_xlfn.XLOOKUP(Table1[[#This Row],[Course ]], CCF!B:B, CCF!A:A)</f>
        <v>DM101</v>
      </c>
      <c r="K1454" t="s">
        <v>365</v>
      </c>
      <c r="L1454">
        <f>_xlfn.XLOOKUP(K1454, CCF!B:B, CCF!C:C)</f>
        <v>85499</v>
      </c>
      <c r="M1454" t="s">
        <v>16</v>
      </c>
    </row>
    <row r="1455" spans="1:13" x14ac:dyDescent="0.3">
      <c r="A1455">
        <v>1454</v>
      </c>
      <c r="B1455" t="s">
        <v>2116</v>
      </c>
      <c r="C1455" s="3">
        <v>59162</v>
      </c>
      <c r="D1455" t="s">
        <v>667</v>
      </c>
      <c r="E1455">
        <v>36</v>
      </c>
      <c r="F1455" s="1">
        <v>45500</v>
      </c>
      <c r="G1455" s="1" t="str">
        <f>TEXT(Table1[[#This Row],[Enrollment date]], "mmm")</f>
        <v>Jul</v>
      </c>
      <c r="H1455" t="s">
        <v>360</v>
      </c>
      <c r="I1455" t="s">
        <v>662</v>
      </c>
      <c r="J1455" t="str">
        <f>_xlfn.XLOOKUP(Table1[[#This Row],[Course ]], CCF!B:B, CCF!A:A)</f>
        <v>DA202</v>
      </c>
      <c r="K1455" t="s">
        <v>363</v>
      </c>
      <c r="L1455">
        <f>_xlfn.XLOOKUP(K1455, CCF!B:B, CCF!C:C)</f>
        <v>79999</v>
      </c>
      <c r="M1455" t="s">
        <v>47</v>
      </c>
    </row>
    <row r="1456" spans="1:13" x14ac:dyDescent="0.3">
      <c r="A1456">
        <v>1455</v>
      </c>
      <c r="B1456" t="s">
        <v>2117</v>
      </c>
      <c r="C1456" s="3">
        <v>36014</v>
      </c>
      <c r="D1456" t="s">
        <v>666</v>
      </c>
      <c r="E1456">
        <v>27</v>
      </c>
      <c r="F1456" s="1">
        <v>45501</v>
      </c>
      <c r="G1456" s="1" t="str">
        <f>TEXT(Table1[[#This Row],[Enrollment date]], "mmm")</f>
        <v>Jul</v>
      </c>
      <c r="H1456" t="s">
        <v>360</v>
      </c>
      <c r="I1456" t="s">
        <v>661</v>
      </c>
      <c r="J1456" t="str">
        <f>_xlfn.XLOOKUP(Table1[[#This Row],[Course ]], CCF!B:B, CCF!A:A)</f>
        <v>DA202</v>
      </c>
      <c r="K1456" t="s">
        <v>363</v>
      </c>
      <c r="L1456">
        <f>_xlfn.XLOOKUP(K1456, CCF!B:B, CCF!C:C)</f>
        <v>79999</v>
      </c>
      <c r="M1456" t="s">
        <v>185</v>
      </c>
    </row>
    <row r="1457" spans="1:13" x14ac:dyDescent="0.3">
      <c r="A1457">
        <v>1456</v>
      </c>
      <c r="B1457" t="s">
        <v>2118</v>
      </c>
      <c r="C1457" s="3">
        <v>77620</v>
      </c>
      <c r="D1457" t="s">
        <v>667</v>
      </c>
      <c r="E1457">
        <v>32</v>
      </c>
      <c r="F1457" s="1">
        <v>45501</v>
      </c>
      <c r="G1457" s="1" t="str">
        <f>TEXT(Table1[[#This Row],[Enrollment date]], "mmm")</f>
        <v>Jul</v>
      </c>
      <c r="H1457" t="s">
        <v>360</v>
      </c>
      <c r="I1457" t="s">
        <v>663</v>
      </c>
      <c r="J1457" t="str">
        <f>_xlfn.XLOOKUP(Table1[[#This Row],[Course ]], CCF!B:B, CCF!A:A)</f>
        <v>DA202</v>
      </c>
      <c r="K1457" t="s">
        <v>363</v>
      </c>
      <c r="L1457">
        <f>_xlfn.XLOOKUP(K1457, CCF!B:B, CCF!C:C)</f>
        <v>79999</v>
      </c>
      <c r="M1457" t="s">
        <v>175</v>
      </c>
    </row>
    <row r="1458" spans="1:13" x14ac:dyDescent="0.3">
      <c r="A1458">
        <v>1457</v>
      </c>
      <c r="B1458" t="s">
        <v>2119</v>
      </c>
      <c r="C1458" s="3">
        <v>49553</v>
      </c>
      <c r="D1458" t="s">
        <v>667</v>
      </c>
      <c r="E1458">
        <v>22</v>
      </c>
      <c r="F1458" s="1">
        <v>45501</v>
      </c>
      <c r="G1458" s="1" t="str">
        <f>TEXT(Table1[[#This Row],[Enrollment date]], "mmm")</f>
        <v>Jul</v>
      </c>
      <c r="H1458" t="s">
        <v>360</v>
      </c>
      <c r="I1458" t="s">
        <v>664</v>
      </c>
      <c r="J1458" t="str">
        <f>_xlfn.XLOOKUP(Table1[[#This Row],[Course ]], CCF!B:B, CCF!A:A)</f>
        <v>DM101</v>
      </c>
      <c r="K1458" t="s">
        <v>365</v>
      </c>
      <c r="L1458">
        <f>_xlfn.XLOOKUP(K1458, CCF!B:B, CCF!C:C)</f>
        <v>85499</v>
      </c>
      <c r="M1458" t="s">
        <v>557</v>
      </c>
    </row>
    <row r="1459" spans="1:13" x14ac:dyDescent="0.3">
      <c r="A1459">
        <v>1458</v>
      </c>
      <c r="B1459" t="s">
        <v>2120</v>
      </c>
      <c r="C1459" s="3">
        <v>25684</v>
      </c>
      <c r="D1459" t="s">
        <v>667</v>
      </c>
      <c r="E1459">
        <v>48</v>
      </c>
      <c r="F1459" s="1">
        <v>45501</v>
      </c>
      <c r="G1459" s="1" t="str">
        <f>TEXT(Table1[[#This Row],[Enrollment date]], "mmm")</f>
        <v>Jul</v>
      </c>
      <c r="H1459" t="s">
        <v>360</v>
      </c>
      <c r="I1459" t="s">
        <v>660</v>
      </c>
      <c r="J1459" t="str">
        <f>_xlfn.XLOOKUP(Table1[[#This Row],[Course ]], CCF!B:B, CCF!A:A)</f>
        <v>DM101</v>
      </c>
      <c r="K1459" t="s">
        <v>365</v>
      </c>
      <c r="L1459">
        <f>_xlfn.XLOOKUP(K1459, CCF!B:B, CCF!C:C)</f>
        <v>85499</v>
      </c>
      <c r="M1459" t="s">
        <v>558</v>
      </c>
    </row>
    <row r="1460" spans="1:13" x14ac:dyDescent="0.3">
      <c r="A1460">
        <v>1459</v>
      </c>
      <c r="B1460" t="s">
        <v>2121</v>
      </c>
      <c r="C1460" s="3">
        <v>38115</v>
      </c>
      <c r="D1460" t="s">
        <v>667</v>
      </c>
      <c r="E1460">
        <v>33</v>
      </c>
      <c r="F1460" s="1">
        <v>45501</v>
      </c>
      <c r="G1460" s="1" t="str">
        <f>TEXT(Table1[[#This Row],[Enrollment date]], "mmm")</f>
        <v>Jul</v>
      </c>
      <c r="H1460" t="s">
        <v>360</v>
      </c>
      <c r="I1460" t="s">
        <v>661</v>
      </c>
      <c r="J1460" t="str">
        <f>_xlfn.XLOOKUP(Table1[[#This Row],[Course ]], CCF!B:B, CCF!A:A)</f>
        <v>BA301</v>
      </c>
      <c r="K1460" t="s">
        <v>364</v>
      </c>
      <c r="L1460">
        <f>_xlfn.XLOOKUP(K1460, CCF!B:B, CCF!C:C)</f>
        <v>59999</v>
      </c>
      <c r="M1460" t="s">
        <v>16</v>
      </c>
    </row>
    <row r="1461" spans="1:13" x14ac:dyDescent="0.3">
      <c r="A1461">
        <v>1460</v>
      </c>
      <c r="B1461" t="s">
        <v>2122</v>
      </c>
      <c r="C1461" s="3">
        <v>76685</v>
      </c>
      <c r="D1461" t="s">
        <v>666</v>
      </c>
      <c r="E1461">
        <v>27</v>
      </c>
      <c r="F1461" s="1">
        <v>45501</v>
      </c>
      <c r="G1461" s="1" t="str">
        <f>TEXT(Table1[[#This Row],[Enrollment date]], "mmm")</f>
        <v>Jul</v>
      </c>
      <c r="H1461" t="s">
        <v>360</v>
      </c>
      <c r="I1461" t="s">
        <v>659</v>
      </c>
      <c r="J1461" t="str">
        <f>_xlfn.XLOOKUP(Table1[[#This Row],[Course ]], CCF!B:B, CCF!A:A)</f>
        <v>DM101</v>
      </c>
      <c r="K1461" t="s">
        <v>365</v>
      </c>
      <c r="L1461">
        <f>_xlfn.XLOOKUP(K1461, CCF!B:B, CCF!C:C)</f>
        <v>85499</v>
      </c>
      <c r="M1461" t="s">
        <v>559</v>
      </c>
    </row>
    <row r="1462" spans="1:13" x14ac:dyDescent="0.3">
      <c r="A1462">
        <v>1461</v>
      </c>
      <c r="B1462" t="s">
        <v>2123</v>
      </c>
      <c r="C1462" s="3">
        <v>53841</v>
      </c>
      <c r="D1462" t="s">
        <v>666</v>
      </c>
      <c r="E1462">
        <v>46</v>
      </c>
      <c r="F1462" s="1">
        <v>45501</v>
      </c>
      <c r="G1462" s="1" t="str">
        <f>TEXT(Table1[[#This Row],[Enrollment date]], "mmm")</f>
        <v>Jul</v>
      </c>
      <c r="H1462" t="s">
        <v>3</v>
      </c>
      <c r="I1462" t="s">
        <v>660</v>
      </c>
      <c r="J1462" t="str">
        <f>_xlfn.XLOOKUP(Table1[[#This Row],[Course ]], CCF!B:B, CCF!A:A)</f>
        <v>BA301</v>
      </c>
      <c r="K1462" t="s">
        <v>364</v>
      </c>
      <c r="L1462">
        <f>_xlfn.XLOOKUP(K1462, CCF!B:B, CCF!C:C)</f>
        <v>59999</v>
      </c>
      <c r="M1462" t="s">
        <v>104</v>
      </c>
    </row>
    <row r="1463" spans="1:13" x14ac:dyDescent="0.3">
      <c r="A1463">
        <v>1462</v>
      </c>
      <c r="B1463" t="s">
        <v>2124</v>
      </c>
      <c r="C1463" s="3">
        <v>12186</v>
      </c>
      <c r="D1463" t="s">
        <v>666</v>
      </c>
      <c r="E1463">
        <v>28</v>
      </c>
      <c r="F1463" s="1">
        <v>45501</v>
      </c>
      <c r="G1463" s="1" t="str">
        <f>TEXT(Table1[[#This Row],[Enrollment date]], "mmm")</f>
        <v>Jul</v>
      </c>
      <c r="H1463" t="s">
        <v>360</v>
      </c>
      <c r="I1463" t="s">
        <v>659</v>
      </c>
      <c r="J1463" t="str">
        <f>_xlfn.XLOOKUP(Table1[[#This Row],[Course ]], CCF!B:B, CCF!A:A)</f>
        <v>DA202</v>
      </c>
      <c r="K1463" t="s">
        <v>363</v>
      </c>
      <c r="L1463">
        <f>_xlfn.XLOOKUP(K1463, CCF!B:B, CCF!C:C)</f>
        <v>79999</v>
      </c>
      <c r="M1463" t="s">
        <v>560</v>
      </c>
    </row>
    <row r="1464" spans="1:13" x14ac:dyDescent="0.3">
      <c r="A1464">
        <v>1463</v>
      </c>
      <c r="B1464" t="s">
        <v>2125</v>
      </c>
      <c r="C1464" s="3">
        <v>77230</v>
      </c>
      <c r="D1464" t="s">
        <v>667</v>
      </c>
      <c r="E1464">
        <v>22</v>
      </c>
      <c r="F1464" s="1">
        <v>45501</v>
      </c>
      <c r="G1464" s="1" t="str">
        <f>TEXT(Table1[[#This Row],[Enrollment date]], "mmm")</f>
        <v>Jul</v>
      </c>
      <c r="H1464" t="s">
        <v>360</v>
      </c>
      <c r="I1464" t="s">
        <v>659</v>
      </c>
      <c r="J1464" t="str">
        <f>_xlfn.XLOOKUP(Table1[[#This Row],[Course ]], CCF!B:B, CCF!A:A)</f>
        <v>DA202</v>
      </c>
      <c r="K1464" t="s">
        <v>363</v>
      </c>
      <c r="L1464">
        <f>_xlfn.XLOOKUP(K1464, CCF!B:B, CCF!C:C)</f>
        <v>79999</v>
      </c>
      <c r="M1464" t="s">
        <v>332</v>
      </c>
    </row>
    <row r="1465" spans="1:13" x14ac:dyDescent="0.3">
      <c r="A1465">
        <v>1464</v>
      </c>
      <c r="B1465" t="s">
        <v>2126</v>
      </c>
      <c r="C1465" s="3">
        <v>40317</v>
      </c>
      <c r="D1465" t="s">
        <v>666</v>
      </c>
      <c r="E1465">
        <v>49</v>
      </c>
      <c r="F1465" s="1">
        <v>45501</v>
      </c>
      <c r="G1465" s="1" t="str">
        <f>TEXT(Table1[[#This Row],[Enrollment date]], "mmm")</f>
        <v>Jul</v>
      </c>
      <c r="H1465" t="s">
        <v>360</v>
      </c>
      <c r="I1465" t="s">
        <v>664</v>
      </c>
      <c r="J1465" t="str">
        <f>_xlfn.XLOOKUP(Table1[[#This Row],[Course ]], CCF!B:B, CCF!A:A)</f>
        <v>DM101</v>
      </c>
      <c r="K1465" t="s">
        <v>365</v>
      </c>
      <c r="L1465">
        <f>_xlfn.XLOOKUP(K1465, CCF!B:B, CCF!C:C)</f>
        <v>85499</v>
      </c>
      <c r="M1465" t="s">
        <v>80</v>
      </c>
    </row>
    <row r="1466" spans="1:13" x14ac:dyDescent="0.3">
      <c r="A1466">
        <v>1465</v>
      </c>
      <c r="B1466" t="s">
        <v>2127</v>
      </c>
      <c r="C1466" s="3">
        <v>33700</v>
      </c>
      <c r="D1466" t="s">
        <v>666</v>
      </c>
      <c r="E1466">
        <v>47</v>
      </c>
      <c r="F1466" s="1">
        <v>45502</v>
      </c>
      <c r="G1466" s="1" t="str">
        <f>TEXT(Table1[[#This Row],[Enrollment date]], "mmm")</f>
        <v>Jul</v>
      </c>
      <c r="H1466" t="s">
        <v>360</v>
      </c>
      <c r="I1466" t="s">
        <v>665</v>
      </c>
      <c r="J1466" t="str">
        <f>_xlfn.XLOOKUP(Table1[[#This Row],[Course ]], CCF!B:B, CCF!A:A)</f>
        <v>DM101</v>
      </c>
      <c r="K1466" t="s">
        <v>365</v>
      </c>
      <c r="L1466">
        <f>_xlfn.XLOOKUP(K1466, CCF!B:B, CCF!C:C)</f>
        <v>85499</v>
      </c>
      <c r="M1466" t="s">
        <v>30</v>
      </c>
    </row>
    <row r="1467" spans="1:13" x14ac:dyDescent="0.3">
      <c r="A1467">
        <v>1466</v>
      </c>
      <c r="B1467" t="s">
        <v>2128</v>
      </c>
      <c r="C1467" s="3">
        <v>29433</v>
      </c>
      <c r="D1467" t="s">
        <v>667</v>
      </c>
      <c r="E1467">
        <v>75</v>
      </c>
      <c r="F1467" s="1">
        <v>45502</v>
      </c>
      <c r="G1467" s="1" t="str">
        <f>TEXT(Table1[[#This Row],[Enrollment date]], "mmm")</f>
        <v>Jul</v>
      </c>
      <c r="H1467" t="s">
        <v>360</v>
      </c>
      <c r="I1467" t="s">
        <v>665</v>
      </c>
      <c r="J1467" t="str">
        <f>_xlfn.XLOOKUP(Table1[[#This Row],[Course ]], CCF!B:B, CCF!A:A)</f>
        <v>DA202</v>
      </c>
      <c r="K1467" t="s">
        <v>363</v>
      </c>
      <c r="L1467">
        <f>_xlfn.XLOOKUP(K1467, CCF!B:B, CCF!C:C)</f>
        <v>79999</v>
      </c>
      <c r="M1467" t="s">
        <v>7</v>
      </c>
    </row>
    <row r="1468" spans="1:13" x14ac:dyDescent="0.3">
      <c r="A1468">
        <v>1467</v>
      </c>
      <c r="B1468" t="s">
        <v>2129</v>
      </c>
      <c r="C1468" s="3">
        <v>24152</v>
      </c>
      <c r="D1468" t="s">
        <v>666</v>
      </c>
      <c r="E1468">
        <v>33</v>
      </c>
      <c r="F1468" s="1">
        <v>45502</v>
      </c>
      <c r="G1468" s="1" t="str">
        <f>TEXT(Table1[[#This Row],[Enrollment date]], "mmm")</f>
        <v>Jul</v>
      </c>
      <c r="H1468" t="s">
        <v>360</v>
      </c>
      <c r="I1468" t="s">
        <v>661</v>
      </c>
      <c r="J1468" t="str">
        <f>_xlfn.XLOOKUP(Table1[[#This Row],[Course ]], CCF!B:B, CCF!A:A)</f>
        <v>DM101</v>
      </c>
      <c r="K1468" t="s">
        <v>365</v>
      </c>
      <c r="L1468">
        <f>_xlfn.XLOOKUP(K1468, CCF!B:B, CCF!C:C)</f>
        <v>85499</v>
      </c>
      <c r="M1468" t="s">
        <v>181</v>
      </c>
    </row>
    <row r="1469" spans="1:13" x14ac:dyDescent="0.3">
      <c r="A1469">
        <v>1468</v>
      </c>
      <c r="B1469" t="s">
        <v>2130</v>
      </c>
      <c r="C1469" s="3">
        <v>76964</v>
      </c>
      <c r="D1469" t="s">
        <v>667</v>
      </c>
      <c r="E1469">
        <v>45</v>
      </c>
      <c r="F1469" s="1">
        <v>45502</v>
      </c>
      <c r="G1469" s="1" t="str">
        <f>TEXT(Table1[[#This Row],[Enrollment date]], "mmm")</f>
        <v>Jul</v>
      </c>
      <c r="H1469" t="s">
        <v>360</v>
      </c>
      <c r="I1469" t="s">
        <v>663</v>
      </c>
      <c r="J1469" t="str">
        <f>_xlfn.XLOOKUP(Table1[[#This Row],[Course ]], CCF!B:B, CCF!A:A)</f>
        <v>DA202</v>
      </c>
      <c r="K1469" t="s">
        <v>363</v>
      </c>
      <c r="L1469">
        <f>_xlfn.XLOOKUP(K1469, CCF!B:B, CCF!C:C)</f>
        <v>79999</v>
      </c>
      <c r="M1469" t="s">
        <v>561</v>
      </c>
    </row>
    <row r="1470" spans="1:13" x14ac:dyDescent="0.3">
      <c r="A1470">
        <v>1469</v>
      </c>
      <c r="B1470" t="s">
        <v>2131</v>
      </c>
      <c r="C1470" s="3">
        <v>92459</v>
      </c>
      <c r="D1470" t="s">
        <v>666</v>
      </c>
      <c r="E1470">
        <v>45</v>
      </c>
      <c r="F1470" s="1">
        <v>45502</v>
      </c>
      <c r="G1470" s="1" t="str">
        <f>TEXT(Table1[[#This Row],[Enrollment date]], "mmm")</f>
        <v>Jul</v>
      </c>
      <c r="H1470" t="s">
        <v>360</v>
      </c>
      <c r="I1470" t="s">
        <v>659</v>
      </c>
      <c r="J1470" t="str">
        <f>_xlfn.XLOOKUP(Table1[[#This Row],[Course ]], CCF!B:B, CCF!A:A)</f>
        <v>DM101</v>
      </c>
      <c r="K1470" t="s">
        <v>365</v>
      </c>
      <c r="L1470">
        <f>_xlfn.XLOOKUP(K1470, CCF!B:B, CCF!C:C)</f>
        <v>85499</v>
      </c>
      <c r="M1470" t="s">
        <v>27</v>
      </c>
    </row>
    <row r="1471" spans="1:13" x14ac:dyDescent="0.3">
      <c r="A1471">
        <v>1470</v>
      </c>
      <c r="B1471" t="s">
        <v>2132</v>
      </c>
      <c r="C1471" s="3">
        <v>60266</v>
      </c>
      <c r="D1471" t="s">
        <v>666</v>
      </c>
      <c r="E1471">
        <v>34</v>
      </c>
      <c r="F1471" s="1">
        <v>45502</v>
      </c>
      <c r="G1471" s="1" t="str">
        <f>TEXT(Table1[[#This Row],[Enrollment date]], "mmm")</f>
        <v>Jul</v>
      </c>
      <c r="H1471" t="s">
        <v>360</v>
      </c>
      <c r="I1471" t="s">
        <v>659</v>
      </c>
      <c r="J1471" t="str">
        <f>_xlfn.XLOOKUP(Table1[[#This Row],[Course ]], CCF!B:B, CCF!A:A)</f>
        <v>DA202</v>
      </c>
      <c r="K1471" t="s">
        <v>363</v>
      </c>
      <c r="L1471">
        <f>_xlfn.XLOOKUP(K1471, CCF!B:B, CCF!C:C)</f>
        <v>79999</v>
      </c>
      <c r="M1471" t="s">
        <v>305</v>
      </c>
    </row>
    <row r="1472" spans="1:13" x14ac:dyDescent="0.3">
      <c r="A1472">
        <v>1471</v>
      </c>
      <c r="B1472" t="s">
        <v>2133</v>
      </c>
      <c r="C1472" s="3">
        <v>99270</v>
      </c>
      <c r="D1472" t="s">
        <v>666</v>
      </c>
      <c r="E1472">
        <v>40</v>
      </c>
      <c r="F1472" s="1">
        <v>45502</v>
      </c>
      <c r="G1472" s="1" t="str">
        <f>TEXT(Table1[[#This Row],[Enrollment date]], "mmm")</f>
        <v>Jul</v>
      </c>
      <c r="H1472" t="s">
        <v>360</v>
      </c>
      <c r="I1472" t="s">
        <v>660</v>
      </c>
      <c r="J1472" t="str">
        <f>_xlfn.XLOOKUP(Table1[[#This Row],[Course ]], CCF!B:B, CCF!A:A)</f>
        <v>UX401</v>
      </c>
      <c r="K1472" t="s">
        <v>367</v>
      </c>
      <c r="L1472">
        <f>_xlfn.XLOOKUP(K1472, CCF!B:B, CCF!C:C)</f>
        <v>67990</v>
      </c>
      <c r="M1472" t="s">
        <v>562</v>
      </c>
    </row>
    <row r="1473" spans="1:13" x14ac:dyDescent="0.3">
      <c r="A1473">
        <v>1472</v>
      </c>
      <c r="B1473" t="s">
        <v>2134</v>
      </c>
      <c r="C1473" s="3">
        <v>82514</v>
      </c>
      <c r="D1473" t="s">
        <v>666</v>
      </c>
      <c r="E1473">
        <v>28</v>
      </c>
      <c r="F1473" s="1">
        <v>45502</v>
      </c>
      <c r="G1473" s="1" t="str">
        <f>TEXT(Table1[[#This Row],[Enrollment date]], "mmm")</f>
        <v>Jul</v>
      </c>
      <c r="H1473" t="s">
        <v>360</v>
      </c>
      <c r="I1473" t="s">
        <v>665</v>
      </c>
      <c r="J1473" t="str">
        <f>_xlfn.XLOOKUP(Table1[[#This Row],[Course ]], CCF!B:B, CCF!A:A)</f>
        <v>DM101</v>
      </c>
      <c r="K1473" t="s">
        <v>365</v>
      </c>
      <c r="L1473">
        <f>_xlfn.XLOOKUP(K1473, CCF!B:B, CCF!C:C)</f>
        <v>85499</v>
      </c>
      <c r="M1473" t="s">
        <v>20</v>
      </c>
    </row>
    <row r="1474" spans="1:13" x14ac:dyDescent="0.3">
      <c r="A1474">
        <v>1473</v>
      </c>
      <c r="B1474" t="s">
        <v>2135</v>
      </c>
      <c r="C1474" s="3">
        <v>25613</v>
      </c>
      <c r="D1474" t="s">
        <v>666</v>
      </c>
      <c r="E1474">
        <v>30</v>
      </c>
      <c r="F1474" s="1">
        <v>45502</v>
      </c>
      <c r="G1474" s="1" t="str">
        <f>TEXT(Table1[[#This Row],[Enrollment date]], "mmm")</f>
        <v>Jul</v>
      </c>
      <c r="H1474" t="s">
        <v>360</v>
      </c>
      <c r="I1474" t="s">
        <v>659</v>
      </c>
      <c r="J1474" t="str">
        <f>_xlfn.XLOOKUP(Table1[[#This Row],[Course ]], CCF!B:B, CCF!A:A)</f>
        <v>DM101</v>
      </c>
      <c r="K1474" t="s">
        <v>365</v>
      </c>
      <c r="L1474">
        <f>_xlfn.XLOOKUP(K1474, CCF!B:B, CCF!C:C)</f>
        <v>85499</v>
      </c>
      <c r="M1474" t="s">
        <v>38</v>
      </c>
    </row>
    <row r="1475" spans="1:13" x14ac:dyDescent="0.3">
      <c r="A1475">
        <v>1474</v>
      </c>
      <c r="B1475" t="s">
        <v>2136</v>
      </c>
      <c r="C1475" s="3">
        <v>46209</v>
      </c>
      <c r="D1475" t="s">
        <v>667</v>
      </c>
      <c r="E1475">
        <v>44</v>
      </c>
      <c r="F1475" s="1">
        <v>45502</v>
      </c>
      <c r="G1475" s="1" t="str">
        <f>TEXT(Table1[[#This Row],[Enrollment date]], "mmm")</f>
        <v>Jul</v>
      </c>
      <c r="H1475" t="s">
        <v>360</v>
      </c>
      <c r="I1475" t="s">
        <v>659</v>
      </c>
      <c r="J1475" t="str">
        <f>_xlfn.XLOOKUP(Table1[[#This Row],[Course ]], CCF!B:B, CCF!A:A)</f>
        <v>DA202</v>
      </c>
      <c r="K1475" t="s">
        <v>363</v>
      </c>
      <c r="L1475">
        <f>_xlfn.XLOOKUP(K1475, CCF!B:B, CCF!C:C)</f>
        <v>79999</v>
      </c>
      <c r="M1475" t="s">
        <v>100</v>
      </c>
    </row>
    <row r="1476" spans="1:13" x14ac:dyDescent="0.3">
      <c r="A1476">
        <v>1475</v>
      </c>
      <c r="B1476" t="s">
        <v>2137</v>
      </c>
      <c r="C1476" s="3">
        <v>11857</v>
      </c>
      <c r="D1476" t="s">
        <v>666</v>
      </c>
      <c r="E1476">
        <v>59</v>
      </c>
      <c r="F1476" s="1">
        <v>45503</v>
      </c>
      <c r="G1476" s="1" t="str">
        <f>TEXT(Table1[[#This Row],[Enrollment date]], "mmm")</f>
        <v>Jul</v>
      </c>
      <c r="H1476" t="s">
        <v>360</v>
      </c>
      <c r="I1476" t="s">
        <v>659</v>
      </c>
      <c r="J1476" t="str">
        <f>_xlfn.XLOOKUP(Table1[[#This Row],[Course ]], CCF!B:B, CCF!A:A)</f>
        <v>DA202</v>
      </c>
      <c r="K1476" t="s">
        <v>363</v>
      </c>
      <c r="L1476">
        <f>_xlfn.XLOOKUP(K1476, CCF!B:B, CCF!C:C)</f>
        <v>79999</v>
      </c>
      <c r="M1476" t="s">
        <v>563</v>
      </c>
    </row>
    <row r="1477" spans="1:13" x14ac:dyDescent="0.3">
      <c r="A1477">
        <v>1476</v>
      </c>
      <c r="B1477" t="s">
        <v>2138</v>
      </c>
      <c r="C1477" s="3">
        <v>73018</v>
      </c>
      <c r="D1477" t="s">
        <v>666</v>
      </c>
      <c r="E1477">
        <v>22</v>
      </c>
      <c r="F1477" s="1">
        <v>45503</v>
      </c>
      <c r="G1477" s="1" t="str">
        <f>TEXT(Table1[[#This Row],[Enrollment date]], "mmm")</f>
        <v>Jul</v>
      </c>
      <c r="H1477" t="s">
        <v>360</v>
      </c>
      <c r="I1477" t="s">
        <v>660</v>
      </c>
      <c r="J1477" t="str">
        <f>_xlfn.XLOOKUP(Table1[[#This Row],[Course ]], CCF!B:B, CCF!A:A)</f>
        <v>DA202</v>
      </c>
      <c r="K1477" t="s">
        <v>363</v>
      </c>
      <c r="L1477">
        <f>_xlfn.XLOOKUP(K1477, CCF!B:B, CCF!C:C)</f>
        <v>79999</v>
      </c>
      <c r="M1477" t="s">
        <v>20</v>
      </c>
    </row>
    <row r="1478" spans="1:13" x14ac:dyDescent="0.3">
      <c r="A1478">
        <v>1477</v>
      </c>
      <c r="B1478" t="s">
        <v>2139</v>
      </c>
      <c r="C1478" s="3">
        <v>44835</v>
      </c>
      <c r="D1478" t="s">
        <v>666</v>
      </c>
      <c r="E1478">
        <v>29</v>
      </c>
      <c r="F1478" s="1">
        <v>45503</v>
      </c>
      <c r="G1478" s="1" t="str">
        <f>TEXT(Table1[[#This Row],[Enrollment date]], "mmm")</f>
        <v>Jul</v>
      </c>
      <c r="H1478" t="s">
        <v>360</v>
      </c>
      <c r="I1478" t="s">
        <v>660</v>
      </c>
      <c r="J1478" t="str">
        <f>_xlfn.XLOOKUP(Table1[[#This Row],[Course ]], CCF!B:B, CCF!A:A)</f>
        <v>DA202</v>
      </c>
      <c r="K1478" t="s">
        <v>363</v>
      </c>
      <c r="L1478">
        <f>_xlfn.XLOOKUP(K1478, CCF!B:B, CCF!C:C)</f>
        <v>79999</v>
      </c>
      <c r="M1478" t="s">
        <v>124</v>
      </c>
    </row>
    <row r="1479" spans="1:13" x14ac:dyDescent="0.3">
      <c r="A1479">
        <v>1478</v>
      </c>
      <c r="B1479" t="s">
        <v>2140</v>
      </c>
      <c r="C1479" s="3">
        <v>82832</v>
      </c>
      <c r="D1479" t="s">
        <v>667</v>
      </c>
      <c r="E1479">
        <v>66</v>
      </c>
      <c r="F1479" s="1">
        <v>45503</v>
      </c>
      <c r="G1479" s="1" t="str">
        <f>TEXT(Table1[[#This Row],[Enrollment date]], "mmm")</f>
        <v>Jul</v>
      </c>
      <c r="H1479" t="s">
        <v>360</v>
      </c>
      <c r="I1479" t="s">
        <v>659</v>
      </c>
      <c r="J1479" t="str">
        <f>_xlfn.XLOOKUP(Table1[[#This Row],[Course ]], CCF!B:B, CCF!A:A)</f>
        <v>DM101</v>
      </c>
      <c r="K1479" t="s">
        <v>365</v>
      </c>
      <c r="L1479">
        <f>_xlfn.XLOOKUP(K1479, CCF!B:B, CCF!C:C)</f>
        <v>85499</v>
      </c>
      <c r="M1479" t="s">
        <v>36</v>
      </c>
    </row>
    <row r="1480" spans="1:13" x14ac:dyDescent="0.3">
      <c r="A1480">
        <v>1479</v>
      </c>
      <c r="B1480" t="s">
        <v>2141</v>
      </c>
      <c r="C1480" s="3">
        <v>42403</v>
      </c>
      <c r="D1480" t="s">
        <v>667</v>
      </c>
      <c r="E1480">
        <v>70</v>
      </c>
      <c r="F1480" s="1">
        <v>45503</v>
      </c>
      <c r="G1480" s="1" t="str">
        <f>TEXT(Table1[[#This Row],[Enrollment date]], "mmm")</f>
        <v>Jul</v>
      </c>
      <c r="H1480" t="s">
        <v>360</v>
      </c>
      <c r="I1480" t="s">
        <v>660</v>
      </c>
      <c r="J1480" t="str">
        <f>_xlfn.XLOOKUP(Table1[[#This Row],[Course ]], CCF!B:B, CCF!A:A)</f>
        <v>BA301</v>
      </c>
      <c r="K1480" t="s">
        <v>364</v>
      </c>
      <c r="L1480">
        <f>_xlfn.XLOOKUP(K1480, CCF!B:B, CCF!C:C)</f>
        <v>59999</v>
      </c>
      <c r="M1480" t="s">
        <v>27</v>
      </c>
    </row>
    <row r="1481" spans="1:13" x14ac:dyDescent="0.3">
      <c r="A1481">
        <v>1480</v>
      </c>
      <c r="B1481" t="s">
        <v>2142</v>
      </c>
      <c r="C1481" s="3">
        <v>87257</v>
      </c>
      <c r="D1481" t="s">
        <v>666</v>
      </c>
      <c r="E1481">
        <v>31</v>
      </c>
      <c r="F1481" s="1">
        <v>45503</v>
      </c>
      <c r="G1481" s="1" t="str">
        <f>TEXT(Table1[[#This Row],[Enrollment date]], "mmm")</f>
        <v>Jul</v>
      </c>
      <c r="H1481" t="s">
        <v>360</v>
      </c>
      <c r="I1481" t="s">
        <v>660</v>
      </c>
      <c r="J1481" t="str">
        <f>_xlfn.XLOOKUP(Table1[[#This Row],[Course ]], CCF!B:B, CCF!A:A)</f>
        <v>DM101</v>
      </c>
      <c r="K1481" t="s">
        <v>365</v>
      </c>
      <c r="L1481">
        <f>_xlfn.XLOOKUP(K1481, CCF!B:B, CCF!C:C)</f>
        <v>85499</v>
      </c>
      <c r="M1481" t="s">
        <v>9</v>
      </c>
    </row>
    <row r="1482" spans="1:13" x14ac:dyDescent="0.3">
      <c r="A1482">
        <v>1481</v>
      </c>
      <c r="B1482" t="s">
        <v>2143</v>
      </c>
      <c r="C1482" s="3">
        <v>39310</v>
      </c>
      <c r="D1482" t="s">
        <v>666</v>
      </c>
      <c r="E1482">
        <v>42</v>
      </c>
      <c r="F1482" s="1">
        <v>45504</v>
      </c>
      <c r="G1482" s="1" t="str">
        <f>TEXT(Table1[[#This Row],[Enrollment date]], "mmm")</f>
        <v>Jul</v>
      </c>
      <c r="H1482" t="s">
        <v>361</v>
      </c>
      <c r="I1482" t="s">
        <v>664</v>
      </c>
      <c r="J1482" t="str">
        <f>_xlfn.XLOOKUP(Table1[[#This Row],[Course ]], CCF!B:B, CCF!A:A)</f>
        <v>BA301</v>
      </c>
      <c r="K1482" t="s">
        <v>364</v>
      </c>
      <c r="L1482">
        <f>_xlfn.XLOOKUP(K1482, CCF!B:B, CCF!C:C)</f>
        <v>59999</v>
      </c>
      <c r="M1482" t="s">
        <v>7</v>
      </c>
    </row>
    <row r="1483" spans="1:13" x14ac:dyDescent="0.3">
      <c r="A1483">
        <v>1482</v>
      </c>
      <c r="B1483" t="s">
        <v>2144</v>
      </c>
      <c r="C1483" s="3">
        <v>82158</v>
      </c>
      <c r="D1483" t="s">
        <v>667</v>
      </c>
      <c r="E1483">
        <v>64</v>
      </c>
      <c r="F1483" s="1">
        <v>45504</v>
      </c>
      <c r="G1483" s="1" t="str">
        <f>TEXT(Table1[[#This Row],[Enrollment date]], "mmm")</f>
        <v>Jul</v>
      </c>
      <c r="H1483" t="s">
        <v>360</v>
      </c>
      <c r="I1483" t="s">
        <v>661</v>
      </c>
      <c r="J1483" t="str">
        <f>_xlfn.XLOOKUP(Table1[[#This Row],[Course ]], CCF!B:B, CCF!A:A)</f>
        <v>DM101</v>
      </c>
      <c r="K1483" t="s">
        <v>365</v>
      </c>
      <c r="L1483">
        <f>_xlfn.XLOOKUP(K1483, CCF!B:B, CCF!C:C)</f>
        <v>85499</v>
      </c>
      <c r="M1483" t="s">
        <v>551</v>
      </c>
    </row>
    <row r="1484" spans="1:13" x14ac:dyDescent="0.3">
      <c r="A1484">
        <v>1483</v>
      </c>
      <c r="B1484" t="s">
        <v>2145</v>
      </c>
      <c r="C1484" s="3">
        <v>92729</v>
      </c>
      <c r="D1484" t="s">
        <v>666</v>
      </c>
      <c r="E1484">
        <v>23</v>
      </c>
      <c r="F1484" s="1">
        <v>45504</v>
      </c>
      <c r="G1484" s="1" t="str">
        <f>TEXT(Table1[[#This Row],[Enrollment date]], "mmm")</f>
        <v>Jul</v>
      </c>
      <c r="H1484" t="s">
        <v>360</v>
      </c>
      <c r="I1484" t="s">
        <v>659</v>
      </c>
      <c r="J1484" t="str">
        <f>_xlfn.XLOOKUP(Table1[[#This Row],[Course ]], CCF!B:B, CCF!A:A)</f>
        <v>DA202</v>
      </c>
      <c r="K1484" t="s">
        <v>363</v>
      </c>
      <c r="L1484">
        <f>_xlfn.XLOOKUP(K1484, CCF!B:B, CCF!C:C)</f>
        <v>79999</v>
      </c>
      <c r="M1484" t="s">
        <v>104</v>
      </c>
    </row>
    <row r="1485" spans="1:13" x14ac:dyDescent="0.3">
      <c r="A1485">
        <v>1484</v>
      </c>
      <c r="B1485" t="s">
        <v>2146</v>
      </c>
      <c r="C1485" s="3">
        <v>39350</v>
      </c>
      <c r="D1485" t="s">
        <v>666</v>
      </c>
      <c r="E1485">
        <v>19</v>
      </c>
      <c r="F1485" s="1">
        <v>45504</v>
      </c>
      <c r="G1485" s="1" t="str">
        <f>TEXT(Table1[[#This Row],[Enrollment date]], "mmm")</f>
        <v>Jul</v>
      </c>
      <c r="H1485" t="s">
        <v>360</v>
      </c>
      <c r="I1485" t="s">
        <v>662</v>
      </c>
      <c r="J1485" t="str">
        <f>_xlfn.XLOOKUP(Table1[[#This Row],[Course ]], CCF!B:B, CCF!A:A)</f>
        <v>DM101</v>
      </c>
      <c r="K1485" t="s">
        <v>365</v>
      </c>
      <c r="L1485">
        <f>_xlfn.XLOOKUP(K1485, CCF!B:B, CCF!C:C)</f>
        <v>85499</v>
      </c>
      <c r="M1485" t="s">
        <v>94</v>
      </c>
    </row>
    <row r="1486" spans="1:13" x14ac:dyDescent="0.3">
      <c r="A1486">
        <v>1485</v>
      </c>
      <c r="B1486" t="s">
        <v>2147</v>
      </c>
      <c r="C1486" s="3">
        <v>79043</v>
      </c>
      <c r="D1486" t="s">
        <v>666</v>
      </c>
      <c r="E1486">
        <v>69</v>
      </c>
      <c r="F1486" s="1">
        <v>45504</v>
      </c>
      <c r="G1486" s="1" t="str">
        <f>TEXT(Table1[[#This Row],[Enrollment date]], "mmm")</f>
        <v>Jul</v>
      </c>
      <c r="H1486" t="s">
        <v>360</v>
      </c>
      <c r="I1486" t="s">
        <v>661</v>
      </c>
      <c r="J1486" t="str">
        <f>_xlfn.XLOOKUP(Table1[[#This Row],[Course ]], CCF!B:B, CCF!A:A)</f>
        <v>DM101</v>
      </c>
      <c r="K1486" t="s">
        <v>365</v>
      </c>
      <c r="L1486">
        <f>_xlfn.XLOOKUP(K1486, CCF!B:B, CCF!C:C)</f>
        <v>85499</v>
      </c>
      <c r="M1486" t="s">
        <v>2</v>
      </c>
    </row>
    <row r="1487" spans="1:13" x14ac:dyDescent="0.3">
      <c r="A1487">
        <v>1486</v>
      </c>
      <c r="B1487" t="s">
        <v>2148</v>
      </c>
      <c r="C1487" s="3">
        <v>63168</v>
      </c>
      <c r="D1487" t="s">
        <v>666</v>
      </c>
      <c r="E1487">
        <v>26</v>
      </c>
      <c r="F1487" s="1">
        <v>45504</v>
      </c>
      <c r="G1487" s="1" t="str">
        <f>TEXT(Table1[[#This Row],[Enrollment date]], "mmm")</f>
        <v>Jul</v>
      </c>
      <c r="H1487" t="s">
        <v>360</v>
      </c>
      <c r="I1487" t="s">
        <v>661</v>
      </c>
      <c r="J1487" t="str">
        <f>_xlfn.XLOOKUP(Table1[[#This Row],[Course ]], CCF!B:B, CCF!A:A)</f>
        <v>BA301</v>
      </c>
      <c r="K1487" t="s">
        <v>364</v>
      </c>
      <c r="L1487">
        <f>_xlfn.XLOOKUP(K1487, CCF!B:B, CCF!C:C)</f>
        <v>59999</v>
      </c>
      <c r="M1487" t="s">
        <v>75</v>
      </c>
    </row>
    <row r="1488" spans="1:13" x14ac:dyDescent="0.3">
      <c r="A1488">
        <v>1487</v>
      </c>
      <c r="B1488" t="s">
        <v>1642</v>
      </c>
      <c r="C1488" s="3">
        <v>90430</v>
      </c>
      <c r="D1488" t="s">
        <v>666</v>
      </c>
      <c r="E1488">
        <v>23</v>
      </c>
      <c r="F1488" s="1">
        <v>45504</v>
      </c>
      <c r="G1488" s="1" t="str">
        <f>TEXT(Table1[[#This Row],[Enrollment date]], "mmm")</f>
        <v>Jul</v>
      </c>
      <c r="H1488" t="s">
        <v>360</v>
      </c>
      <c r="I1488" t="s">
        <v>661</v>
      </c>
      <c r="J1488" t="str">
        <f>_xlfn.XLOOKUP(Table1[[#This Row],[Course ]], CCF!B:B, CCF!A:A)</f>
        <v>BA301</v>
      </c>
      <c r="K1488" t="s">
        <v>364</v>
      </c>
      <c r="L1488">
        <f>_xlfn.XLOOKUP(K1488, CCF!B:B, CCF!C:C)</f>
        <v>59999</v>
      </c>
      <c r="M1488" t="s">
        <v>27</v>
      </c>
    </row>
    <row r="1489" spans="1:13" x14ac:dyDescent="0.3">
      <c r="A1489">
        <v>1488</v>
      </c>
      <c r="B1489" t="s">
        <v>2149</v>
      </c>
      <c r="C1489" s="3">
        <v>98035</v>
      </c>
      <c r="D1489" t="s">
        <v>666</v>
      </c>
      <c r="E1489">
        <v>49</v>
      </c>
      <c r="F1489" s="1">
        <v>45504</v>
      </c>
      <c r="G1489" s="1" t="str">
        <f>TEXT(Table1[[#This Row],[Enrollment date]], "mmm")</f>
        <v>Jul</v>
      </c>
      <c r="H1489" t="s">
        <v>360</v>
      </c>
      <c r="I1489" t="s">
        <v>661</v>
      </c>
      <c r="J1489" t="str">
        <f>_xlfn.XLOOKUP(Table1[[#This Row],[Course ]], CCF!B:B, CCF!A:A)</f>
        <v>FSD103</v>
      </c>
      <c r="K1489" t="s">
        <v>366</v>
      </c>
      <c r="L1489">
        <f>_xlfn.XLOOKUP(K1489, CCF!B:B, CCF!C:C)</f>
        <v>109990</v>
      </c>
      <c r="M1489" t="s">
        <v>107</v>
      </c>
    </row>
    <row r="1490" spans="1:13" x14ac:dyDescent="0.3">
      <c r="A1490">
        <v>1489</v>
      </c>
      <c r="B1490" t="s">
        <v>2150</v>
      </c>
      <c r="C1490" s="3">
        <v>22740</v>
      </c>
      <c r="D1490" t="s">
        <v>666</v>
      </c>
      <c r="E1490">
        <v>55</v>
      </c>
      <c r="F1490" s="1">
        <v>45505</v>
      </c>
      <c r="G1490" s="1" t="str">
        <f>TEXT(Table1[[#This Row],[Enrollment date]], "mmm")</f>
        <v>Aug</v>
      </c>
      <c r="H1490" t="s">
        <v>360</v>
      </c>
      <c r="I1490" t="s">
        <v>660</v>
      </c>
      <c r="J1490" t="str">
        <f>_xlfn.XLOOKUP(Table1[[#This Row],[Course ]], CCF!B:B, CCF!A:A)</f>
        <v>DM101</v>
      </c>
      <c r="K1490" t="s">
        <v>365</v>
      </c>
      <c r="L1490">
        <f>_xlfn.XLOOKUP(K1490, CCF!B:B, CCF!C:C)</f>
        <v>85499</v>
      </c>
      <c r="M1490" t="s">
        <v>30</v>
      </c>
    </row>
    <row r="1491" spans="1:13" x14ac:dyDescent="0.3">
      <c r="A1491">
        <v>1490</v>
      </c>
      <c r="B1491" t="s">
        <v>2151</v>
      </c>
      <c r="C1491" s="3">
        <v>94177</v>
      </c>
      <c r="D1491" t="s">
        <v>666</v>
      </c>
      <c r="E1491">
        <v>72</v>
      </c>
      <c r="F1491" s="1">
        <v>45505</v>
      </c>
      <c r="G1491" s="1" t="str">
        <f>TEXT(Table1[[#This Row],[Enrollment date]], "mmm")</f>
        <v>Aug</v>
      </c>
      <c r="H1491" t="s">
        <v>360</v>
      </c>
      <c r="I1491" t="s">
        <v>661</v>
      </c>
      <c r="J1491" t="str">
        <f>_xlfn.XLOOKUP(Table1[[#This Row],[Course ]], CCF!B:B, CCF!A:A)</f>
        <v>DM101</v>
      </c>
      <c r="K1491" t="s">
        <v>365</v>
      </c>
      <c r="L1491">
        <f>_xlfn.XLOOKUP(K1491, CCF!B:B, CCF!C:C)</f>
        <v>85499</v>
      </c>
      <c r="M1491" t="s">
        <v>65</v>
      </c>
    </row>
    <row r="1492" spans="1:13" x14ac:dyDescent="0.3">
      <c r="A1492">
        <v>1491</v>
      </c>
      <c r="B1492" t="s">
        <v>2152</v>
      </c>
      <c r="C1492" s="3">
        <v>40471</v>
      </c>
      <c r="D1492" t="s">
        <v>666</v>
      </c>
      <c r="E1492">
        <v>42</v>
      </c>
      <c r="F1492" s="1">
        <v>45505</v>
      </c>
      <c r="G1492" s="1" t="str">
        <f>TEXT(Table1[[#This Row],[Enrollment date]], "mmm")</f>
        <v>Aug</v>
      </c>
      <c r="H1492" t="s">
        <v>360</v>
      </c>
      <c r="I1492" t="s">
        <v>661</v>
      </c>
      <c r="J1492" t="str">
        <f>_xlfn.XLOOKUP(Table1[[#This Row],[Course ]], CCF!B:B, CCF!A:A)</f>
        <v>DM101</v>
      </c>
      <c r="K1492" t="s">
        <v>365</v>
      </c>
      <c r="L1492">
        <f>_xlfn.XLOOKUP(K1492, CCF!B:B, CCF!C:C)</f>
        <v>85499</v>
      </c>
      <c r="M1492" t="s">
        <v>16</v>
      </c>
    </row>
    <row r="1493" spans="1:13" x14ac:dyDescent="0.3">
      <c r="A1493">
        <v>1492</v>
      </c>
      <c r="B1493" t="s">
        <v>2153</v>
      </c>
      <c r="C1493" s="3">
        <v>70379</v>
      </c>
      <c r="D1493" t="s">
        <v>666</v>
      </c>
      <c r="E1493">
        <v>41</v>
      </c>
      <c r="F1493" s="1">
        <v>45505</v>
      </c>
      <c r="G1493" s="1" t="str">
        <f>TEXT(Table1[[#This Row],[Enrollment date]], "mmm")</f>
        <v>Aug</v>
      </c>
      <c r="H1493" t="s">
        <v>360</v>
      </c>
      <c r="I1493" t="s">
        <v>660</v>
      </c>
      <c r="J1493" t="str">
        <f>_xlfn.XLOOKUP(Table1[[#This Row],[Course ]], CCF!B:B, CCF!A:A)</f>
        <v>DA202</v>
      </c>
      <c r="K1493" t="s">
        <v>363</v>
      </c>
      <c r="L1493">
        <f>_xlfn.XLOOKUP(K1493, CCF!B:B, CCF!C:C)</f>
        <v>79999</v>
      </c>
      <c r="M1493" t="s">
        <v>91</v>
      </c>
    </row>
    <row r="1494" spans="1:13" x14ac:dyDescent="0.3">
      <c r="A1494">
        <v>1493</v>
      </c>
      <c r="B1494" t="s">
        <v>2154</v>
      </c>
      <c r="C1494" s="3">
        <v>41974</v>
      </c>
      <c r="D1494" t="s">
        <v>666</v>
      </c>
      <c r="E1494">
        <v>19</v>
      </c>
      <c r="F1494" s="1">
        <v>45505</v>
      </c>
      <c r="G1494" s="1" t="str">
        <f>TEXT(Table1[[#This Row],[Enrollment date]], "mmm")</f>
        <v>Aug</v>
      </c>
      <c r="H1494" t="s">
        <v>360</v>
      </c>
      <c r="I1494" t="s">
        <v>659</v>
      </c>
      <c r="J1494" t="str">
        <f>_xlfn.XLOOKUP(Table1[[#This Row],[Course ]], CCF!B:B, CCF!A:A)</f>
        <v>DA202</v>
      </c>
      <c r="K1494" t="s">
        <v>363</v>
      </c>
      <c r="L1494">
        <f>_xlfn.XLOOKUP(K1494, CCF!B:B, CCF!C:C)</f>
        <v>79999</v>
      </c>
      <c r="M1494" t="s">
        <v>9</v>
      </c>
    </row>
    <row r="1495" spans="1:13" x14ac:dyDescent="0.3">
      <c r="A1495">
        <v>1494</v>
      </c>
      <c r="B1495" t="s">
        <v>2155</v>
      </c>
      <c r="C1495" s="3">
        <v>16200</v>
      </c>
      <c r="D1495" t="s">
        <v>666</v>
      </c>
      <c r="E1495">
        <v>56</v>
      </c>
      <c r="F1495" s="1">
        <v>45506</v>
      </c>
      <c r="G1495" s="1" t="str">
        <f>TEXT(Table1[[#This Row],[Enrollment date]], "mmm")</f>
        <v>Aug</v>
      </c>
      <c r="H1495" t="s">
        <v>360</v>
      </c>
      <c r="I1495" t="s">
        <v>660</v>
      </c>
      <c r="J1495" t="str">
        <f>_xlfn.XLOOKUP(Table1[[#This Row],[Course ]], CCF!B:B, CCF!A:A)</f>
        <v>DM101</v>
      </c>
      <c r="K1495" t="s">
        <v>365</v>
      </c>
      <c r="L1495">
        <f>_xlfn.XLOOKUP(K1495, CCF!B:B, CCF!C:C)</f>
        <v>85499</v>
      </c>
      <c r="M1495" t="s">
        <v>158</v>
      </c>
    </row>
    <row r="1496" spans="1:13" x14ac:dyDescent="0.3">
      <c r="A1496">
        <v>1495</v>
      </c>
      <c r="B1496" t="s">
        <v>2156</v>
      </c>
      <c r="C1496" s="3">
        <v>34884</v>
      </c>
      <c r="D1496" t="s">
        <v>667</v>
      </c>
      <c r="E1496">
        <v>27</v>
      </c>
      <c r="F1496" s="1">
        <v>45506</v>
      </c>
      <c r="G1496" s="1" t="str">
        <f>TEXT(Table1[[#This Row],[Enrollment date]], "mmm")</f>
        <v>Aug</v>
      </c>
      <c r="H1496" t="s">
        <v>360</v>
      </c>
      <c r="I1496" t="s">
        <v>659</v>
      </c>
      <c r="J1496" t="str">
        <f>_xlfn.XLOOKUP(Table1[[#This Row],[Course ]], CCF!B:B, CCF!A:A)</f>
        <v>DA202</v>
      </c>
      <c r="K1496" t="s">
        <v>363</v>
      </c>
      <c r="L1496">
        <f>_xlfn.XLOOKUP(K1496, CCF!B:B, CCF!C:C)</f>
        <v>79999</v>
      </c>
      <c r="M1496" t="s">
        <v>28</v>
      </c>
    </row>
    <row r="1497" spans="1:13" x14ac:dyDescent="0.3">
      <c r="A1497">
        <v>1496</v>
      </c>
      <c r="B1497" t="s">
        <v>2157</v>
      </c>
      <c r="C1497" s="3">
        <v>11825</v>
      </c>
      <c r="D1497" t="s">
        <v>667</v>
      </c>
      <c r="E1497">
        <v>39</v>
      </c>
      <c r="F1497" s="1">
        <v>45506</v>
      </c>
      <c r="G1497" s="1" t="str">
        <f>TEXT(Table1[[#This Row],[Enrollment date]], "mmm")</f>
        <v>Aug</v>
      </c>
      <c r="H1497" t="s">
        <v>360</v>
      </c>
      <c r="I1497" t="s">
        <v>660</v>
      </c>
      <c r="J1497" t="str">
        <f>_xlfn.XLOOKUP(Table1[[#This Row],[Course ]], CCF!B:B, CCF!A:A)</f>
        <v>DA202</v>
      </c>
      <c r="K1497" t="s">
        <v>363</v>
      </c>
      <c r="L1497">
        <f>_xlfn.XLOOKUP(K1497, CCF!B:B, CCF!C:C)</f>
        <v>79999</v>
      </c>
      <c r="M1497" t="s">
        <v>16</v>
      </c>
    </row>
    <row r="1498" spans="1:13" x14ac:dyDescent="0.3">
      <c r="A1498">
        <v>1497</v>
      </c>
      <c r="B1498" t="s">
        <v>2158</v>
      </c>
      <c r="C1498" s="3">
        <v>53921</v>
      </c>
      <c r="D1498" t="s">
        <v>666</v>
      </c>
      <c r="E1498">
        <v>25</v>
      </c>
      <c r="F1498" s="1">
        <v>45506</v>
      </c>
      <c r="G1498" s="1" t="str">
        <f>TEXT(Table1[[#This Row],[Enrollment date]], "mmm")</f>
        <v>Aug</v>
      </c>
      <c r="H1498" t="s">
        <v>360</v>
      </c>
      <c r="I1498" t="s">
        <v>665</v>
      </c>
      <c r="J1498" t="str">
        <f>_xlfn.XLOOKUP(Table1[[#This Row],[Course ]], CCF!B:B, CCF!A:A)</f>
        <v>DM101</v>
      </c>
      <c r="K1498" t="s">
        <v>365</v>
      </c>
      <c r="L1498">
        <f>_xlfn.XLOOKUP(K1498, CCF!B:B, CCF!C:C)</f>
        <v>85499</v>
      </c>
      <c r="M1498" t="s">
        <v>298</v>
      </c>
    </row>
    <row r="1499" spans="1:13" x14ac:dyDescent="0.3">
      <c r="A1499">
        <v>1498</v>
      </c>
      <c r="B1499" t="s">
        <v>2159</v>
      </c>
      <c r="C1499" s="3">
        <v>98135</v>
      </c>
      <c r="D1499" t="s">
        <v>666</v>
      </c>
      <c r="E1499">
        <v>44</v>
      </c>
      <c r="F1499" s="1">
        <v>45506</v>
      </c>
      <c r="G1499" s="1" t="str">
        <f>TEXT(Table1[[#This Row],[Enrollment date]], "mmm")</f>
        <v>Aug</v>
      </c>
      <c r="H1499" t="s">
        <v>360</v>
      </c>
      <c r="I1499" t="s">
        <v>659</v>
      </c>
      <c r="J1499" t="str">
        <f>_xlfn.XLOOKUP(Table1[[#This Row],[Course ]], CCF!B:B, CCF!A:A)</f>
        <v>BA301</v>
      </c>
      <c r="K1499" t="s">
        <v>364</v>
      </c>
      <c r="L1499">
        <f>_xlfn.XLOOKUP(K1499, CCF!B:B, CCF!C:C)</f>
        <v>59999</v>
      </c>
      <c r="M1499" t="s">
        <v>16</v>
      </c>
    </row>
    <row r="1500" spans="1:13" x14ac:dyDescent="0.3">
      <c r="A1500">
        <v>1499</v>
      </c>
      <c r="B1500" t="s">
        <v>2160</v>
      </c>
      <c r="C1500" s="3">
        <v>14729</v>
      </c>
      <c r="D1500" t="s">
        <v>666</v>
      </c>
      <c r="E1500">
        <v>40</v>
      </c>
      <c r="F1500" s="1">
        <v>45506</v>
      </c>
      <c r="G1500" s="1" t="str">
        <f>TEXT(Table1[[#This Row],[Enrollment date]], "mmm")</f>
        <v>Aug</v>
      </c>
      <c r="H1500" t="s">
        <v>360</v>
      </c>
      <c r="I1500" t="s">
        <v>660</v>
      </c>
      <c r="J1500" t="str">
        <f>_xlfn.XLOOKUP(Table1[[#This Row],[Course ]], CCF!B:B, CCF!A:A)</f>
        <v>DM101</v>
      </c>
      <c r="K1500" t="s">
        <v>365</v>
      </c>
      <c r="L1500">
        <f>_xlfn.XLOOKUP(K1500, CCF!B:B, CCF!C:C)</f>
        <v>85499</v>
      </c>
      <c r="M1500" t="s">
        <v>12</v>
      </c>
    </row>
    <row r="1501" spans="1:13" x14ac:dyDescent="0.3">
      <c r="A1501">
        <v>1500</v>
      </c>
      <c r="B1501" t="s">
        <v>2161</v>
      </c>
      <c r="C1501" s="3">
        <v>50446</v>
      </c>
      <c r="D1501" t="s">
        <v>666</v>
      </c>
      <c r="E1501">
        <v>22</v>
      </c>
      <c r="F1501" s="1">
        <v>45506</v>
      </c>
      <c r="G1501" s="1" t="str">
        <f>TEXT(Table1[[#This Row],[Enrollment date]], "mmm")</f>
        <v>Aug</v>
      </c>
      <c r="H1501" t="s">
        <v>360</v>
      </c>
      <c r="I1501" t="s">
        <v>661</v>
      </c>
      <c r="J1501" t="str">
        <f>_xlfn.XLOOKUP(Table1[[#This Row],[Course ]], CCF!B:B, CCF!A:A)</f>
        <v>DM101</v>
      </c>
      <c r="K1501" t="s">
        <v>365</v>
      </c>
      <c r="L1501">
        <f>_xlfn.XLOOKUP(K1501, CCF!B:B, CCF!C:C)</f>
        <v>85499</v>
      </c>
      <c r="M1501" t="s">
        <v>172</v>
      </c>
    </row>
    <row r="1502" spans="1:13" x14ac:dyDescent="0.3">
      <c r="A1502">
        <v>1501</v>
      </c>
      <c r="B1502" t="s">
        <v>2162</v>
      </c>
      <c r="C1502" s="3">
        <v>97531</v>
      </c>
      <c r="D1502" t="s">
        <v>666</v>
      </c>
      <c r="E1502">
        <v>46</v>
      </c>
      <c r="F1502" s="1">
        <v>45506</v>
      </c>
      <c r="G1502" s="1" t="str">
        <f>TEXT(Table1[[#This Row],[Enrollment date]], "mmm")</f>
        <v>Aug</v>
      </c>
      <c r="H1502" t="s">
        <v>360</v>
      </c>
      <c r="I1502" t="s">
        <v>661</v>
      </c>
      <c r="J1502" t="str">
        <f>_xlfn.XLOOKUP(Table1[[#This Row],[Course ]], CCF!B:B, CCF!A:A)</f>
        <v>FSD103</v>
      </c>
      <c r="K1502" t="s">
        <v>366</v>
      </c>
      <c r="L1502">
        <f>_xlfn.XLOOKUP(K1502, CCF!B:B, CCF!C:C)</f>
        <v>109990</v>
      </c>
      <c r="M1502" t="s">
        <v>17</v>
      </c>
    </row>
    <row r="1503" spans="1:13" x14ac:dyDescent="0.3">
      <c r="A1503">
        <v>1502</v>
      </c>
      <c r="B1503" t="s">
        <v>2163</v>
      </c>
      <c r="C1503" s="3">
        <v>91008</v>
      </c>
      <c r="D1503" t="s">
        <v>666</v>
      </c>
      <c r="E1503">
        <v>27</v>
      </c>
      <c r="F1503" s="1">
        <v>45506</v>
      </c>
      <c r="G1503" s="1" t="str">
        <f>TEXT(Table1[[#This Row],[Enrollment date]], "mmm")</f>
        <v>Aug</v>
      </c>
      <c r="H1503" t="s">
        <v>360</v>
      </c>
      <c r="I1503" t="s">
        <v>659</v>
      </c>
      <c r="J1503" t="str">
        <f>_xlfn.XLOOKUP(Table1[[#This Row],[Course ]], CCF!B:B, CCF!A:A)</f>
        <v>DA202</v>
      </c>
      <c r="K1503" t="s">
        <v>363</v>
      </c>
      <c r="L1503">
        <f>_xlfn.XLOOKUP(K1503, CCF!B:B, CCF!C:C)</f>
        <v>79999</v>
      </c>
      <c r="M1503" t="s">
        <v>17</v>
      </c>
    </row>
    <row r="1504" spans="1:13" x14ac:dyDescent="0.3">
      <c r="A1504">
        <v>1503</v>
      </c>
      <c r="B1504" t="s">
        <v>2164</v>
      </c>
      <c r="C1504" s="3">
        <v>99849</v>
      </c>
      <c r="D1504" t="s">
        <v>666</v>
      </c>
      <c r="E1504">
        <v>32</v>
      </c>
      <c r="F1504" s="1">
        <v>45506</v>
      </c>
      <c r="G1504" s="1" t="str">
        <f>TEXT(Table1[[#This Row],[Enrollment date]], "mmm")</f>
        <v>Aug</v>
      </c>
      <c r="H1504" t="s">
        <v>360</v>
      </c>
      <c r="I1504" t="s">
        <v>663</v>
      </c>
      <c r="J1504" t="str">
        <f>_xlfn.XLOOKUP(Table1[[#This Row],[Course ]], CCF!B:B, CCF!A:A)</f>
        <v>DM101</v>
      </c>
      <c r="K1504" t="s">
        <v>365</v>
      </c>
      <c r="L1504">
        <f>_xlfn.XLOOKUP(K1504, CCF!B:B, CCF!C:C)</f>
        <v>85499</v>
      </c>
      <c r="M1504" t="s">
        <v>16</v>
      </c>
    </row>
    <row r="1505" spans="1:13" x14ac:dyDescent="0.3">
      <c r="A1505">
        <v>1504</v>
      </c>
      <c r="B1505" t="s">
        <v>2165</v>
      </c>
      <c r="C1505" s="3">
        <v>38617</v>
      </c>
      <c r="D1505" t="s">
        <v>666</v>
      </c>
      <c r="E1505">
        <v>35</v>
      </c>
      <c r="F1505" s="1">
        <v>45506</v>
      </c>
      <c r="G1505" s="1" t="str">
        <f>TEXT(Table1[[#This Row],[Enrollment date]], "mmm")</f>
        <v>Aug</v>
      </c>
      <c r="H1505" t="s">
        <v>360</v>
      </c>
      <c r="I1505" t="s">
        <v>661</v>
      </c>
      <c r="J1505" t="str">
        <f>_xlfn.XLOOKUP(Table1[[#This Row],[Course ]], CCF!B:B, CCF!A:A)</f>
        <v>DM101</v>
      </c>
      <c r="K1505" t="s">
        <v>365</v>
      </c>
      <c r="L1505">
        <f>_xlfn.XLOOKUP(K1505, CCF!B:B, CCF!C:C)</f>
        <v>85499</v>
      </c>
      <c r="M1505" t="s">
        <v>9</v>
      </c>
    </row>
    <row r="1506" spans="1:13" x14ac:dyDescent="0.3">
      <c r="A1506">
        <v>1505</v>
      </c>
      <c r="B1506" t="s">
        <v>2166</v>
      </c>
      <c r="C1506" s="3">
        <v>80961</v>
      </c>
      <c r="D1506" t="s">
        <v>666</v>
      </c>
      <c r="E1506">
        <v>74</v>
      </c>
      <c r="F1506" s="1">
        <v>45507</v>
      </c>
      <c r="G1506" s="1" t="str">
        <f>TEXT(Table1[[#This Row],[Enrollment date]], "mmm")</f>
        <v>Aug</v>
      </c>
      <c r="H1506" t="s">
        <v>360</v>
      </c>
      <c r="I1506" t="s">
        <v>661</v>
      </c>
      <c r="J1506" t="str">
        <f>_xlfn.XLOOKUP(Table1[[#This Row],[Course ]], CCF!B:B, CCF!A:A)</f>
        <v>DA202</v>
      </c>
      <c r="K1506" t="s">
        <v>363</v>
      </c>
      <c r="L1506">
        <f>_xlfn.XLOOKUP(K1506, CCF!B:B, CCF!C:C)</f>
        <v>79999</v>
      </c>
      <c r="M1506" t="s">
        <v>327</v>
      </c>
    </row>
    <row r="1507" spans="1:13" x14ac:dyDescent="0.3">
      <c r="A1507">
        <v>1506</v>
      </c>
      <c r="B1507" t="s">
        <v>2167</v>
      </c>
      <c r="C1507" s="3">
        <v>14306</v>
      </c>
      <c r="D1507" t="s">
        <v>666</v>
      </c>
      <c r="E1507">
        <v>48</v>
      </c>
      <c r="F1507" s="1">
        <v>45507</v>
      </c>
      <c r="G1507" s="1" t="str">
        <f>TEXT(Table1[[#This Row],[Enrollment date]], "mmm")</f>
        <v>Aug</v>
      </c>
      <c r="H1507" t="s">
        <v>360</v>
      </c>
      <c r="I1507" t="s">
        <v>659</v>
      </c>
      <c r="J1507" t="str">
        <f>_xlfn.XLOOKUP(Table1[[#This Row],[Course ]], CCF!B:B, CCF!A:A)</f>
        <v>BA301</v>
      </c>
      <c r="K1507" t="s">
        <v>364</v>
      </c>
      <c r="L1507">
        <f>_xlfn.XLOOKUP(K1507, CCF!B:B, CCF!C:C)</f>
        <v>59999</v>
      </c>
      <c r="M1507" t="s">
        <v>564</v>
      </c>
    </row>
    <row r="1508" spans="1:13" x14ac:dyDescent="0.3">
      <c r="A1508">
        <v>1507</v>
      </c>
      <c r="B1508" t="s">
        <v>2168</v>
      </c>
      <c r="C1508" s="3">
        <v>58977</v>
      </c>
      <c r="D1508" t="s">
        <v>666</v>
      </c>
      <c r="E1508">
        <v>49</v>
      </c>
      <c r="F1508" s="1">
        <v>45507</v>
      </c>
      <c r="G1508" s="1" t="str">
        <f>TEXT(Table1[[#This Row],[Enrollment date]], "mmm")</f>
        <v>Aug</v>
      </c>
      <c r="H1508" t="s">
        <v>360</v>
      </c>
      <c r="I1508" t="s">
        <v>659</v>
      </c>
      <c r="J1508" t="str">
        <f>_xlfn.XLOOKUP(Table1[[#This Row],[Course ]], CCF!B:B, CCF!A:A)</f>
        <v>DA202</v>
      </c>
      <c r="K1508" t="s">
        <v>363</v>
      </c>
      <c r="L1508">
        <f>_xlfn.XLOOKUP(K1508, CCF!B:B, CCF!C:C)</f>
        <v>79999</v>
      </c>
      <c r="M1508" t="s">
        <v>12</v>
      </c>
    </row>
    <row r="1509" spans="1:13" x14ac:dyDescent="0.3">
      <c r="A1509">
        <v>1508</v>
      </c>
      <c r="B1509" t="s">
        <v>2169</v>
      </c>
      <c r="C1509" s="3">
        <v>86747</v>
      </c>
      <c r="D1509" t="s">
        <v>667</v>
      </c>
      <c r="E1509">
        <v>45</v>
      </c>
      <c r="F1509" s="1">
        <v>45507</v>
      </c>
      <c r="G1509" s="1" t="str">
        <f>TEXT(Table1[[#This Row],[Enrollment date]], "mmm")</f>
        <v>Aug</v>
      </c>
      <c r="H1509" t="s">
        <v>360</v>
      </c>
      <c r="I1509" t="s">
        <v>660</v>
      </c>
      <c r="J1509" t="str">
        <f>_xlfn.XLOOKUP(Table1[[#This Row],[Course ]], CCF!B:B, CCF!A:A)</f>
        <v>DA202</v>
      </c>
      <c r="K1509" t="s">
        <v>363</v>
      </c>
      <c r="L1509">
        <f>_xlfn.XLOOKUP(K1509, CCF!B:B, CCF!C:C)</f>
        <v>79999</v>
      </c>
      <c r="M1509" t="s">
        <v>507</v>
      </c>
    </row>
    <row r="1510" spans="1:13" x14ac:dyDescent="0.3">
      <c r="A1510">
        <v>1509</v>
      </c>
      <c r="B1510" t="s">
        <v>2170</v>
      </c>
      <c r="C1510" s="3">
        <v>26082</v>
      </c>
      <c r="D1510" t="s">
        <v>666</v>
      </c>
      <c r="E1510">
        <v>76</v>
      </c>
      <c r="F1510" s="1">
        <v>45507</v>
      </c>
      <c r="G1510" s="1" t="str">
        <f>TEXT(Table1[[#This Row],[Enrollment date]], "mmm")</f>
        <v>Aug</v>
      </c>
      <c r="H1510" t="s">
        <v>361</v>
      </c>
      <c r="I1510" t="s">
        <v>659</v>
      </c>
      <c r="J1510" t="str">
        <f>_xlfn.XLOOKUP(Table1[[#This Row],[Course ]], CCF!B:B, CCF!A:A)</f>
        <v>DM101</v>
      </c>
      <c r="K1510" t="s">
        <v>365</v>
      </c>
      <c r="L1510">
        <f>_xlfn.XLOOKUP(K1510, CCF!B:B, CCF!C:C)</f>
        <v>85499</v>
      </c>
      <c r="M1510" t="s">
        <v>20</v>
      </c>
    </row>
    <row r="1511" spans="1:13" x14ac:dyDescent="0.3">
      <c r="A1511">
        <v>1510</v>
      </c>
      <c r="B1511" t="s">
        <v>2171</v>
      </c>
      <c r="C1511" s="3">
        <v>94305</v>
      </c>
      <c r="D1511" t="s">
        <v>666</v>
      </c>
      <c r="E1511">
        <v>28</v>
      </c>
      <c r="F1511" s="1">
        <v>45507</v>
      </c>
      <c r="G1511" s="1" t="str">
        <f>TEXT(Table1[[#This Row],[Enrollment date]], "mmm")</f>
        <v>Aug</v>
      </c>
      <c r="H1511" t="s">
        <v>360</v>
      </c>
      <c r="I1511" t="s">
        <v>660</v>
      </c>
      <c r="J1511" t="str">
        <f>_xlfn.XLOOKUP(Table1[[#This Row],[Course ]], CCF!B:B, CCF!A:A)</f>
        <v>UX401</v>
      </c>
      <c r="K1511" t="s">
        <v>367</v>
      </c>
      <c r="L1511">
        <f>_xlfn.XLOOKUP(K1511, CCF!B:B, CCF!C:C)</f>
        <v>67990</v>
      </c>
      <c r="M1511" t="s">
        <v>18</v>
      </c>
    </row>
    <row r="1512" spans="1:13" x14ac:dyDescent="0.3">
      <c r="A1512">
        <v>1511</v>
      </c>
      <c r="B1512" t="s">
        <v>2172</v>
      </c>
      <c r="C1512" s="3">
        <v>54329</v>
      </c>
      <c r="D1512" t="s">
        <v>666</v>
      </c>
      <c r="E1512">
        <v>37</v>
      </c>
      <c r="F1512" s="1">
        <v>45507</v>
      </c>
      <c r="G1512" s="1" t="str">
        <f>TEXT(Table1[[#This Row],[Enrollment date]], "mmm")</f>
        <v>Aug</v>
      </c>
      <c r="H1512" t="s">
        <v>360</v>
      </c>
      <c r="I1512" t="s">
        <v>660</v>
      </c>
      <c r="J1512" t="str">
        <f>_xlfn.XLOOKUP(Table1[[#This Row],[Course ]], CCF!B:B, CCF!A:A)</f>
        <v>DA202</v>
      </c>
      <c r="K1512" t="s">
        <v>363</v>
      </c>
      <c r="L1512">
        <f>_xlfn.XLOOKUP(K1512, CCF!B:B, CCF!C:C)</f>
        <v>79999</v>
      </c>
      <c r="M1512" t="s">
        <v>492</v>
      </c>
    </row>
    <row r="1513" spans="1:13" x14ac:dyDescent="0.3">
      <c r="A1513">
        <v>1512</v>
      </c>
      <c r="B1513" t="s">
        <v>2173</v>
      </c>
      <c r="C1513" s="3">
        <v>56826</v>
      </c>
      <c r="D1513" t="s">
        <v>666</v>
      </c>
      <c r="E1513">
        <v>47</v>
      </c>
      <c r="F1513" s="1">
        <v>45508</v>
      </c>
      <c r="G1513" s="1" t="str">
        <f>TEXT(Table1[[#This Row],[Enrollment date]], "mmm")</f>
        <v>Aug</v>
      </c>
      <c r="H1513" t="s">
        <v>360</v>
      </c>
      <c r="I1513" t="s">
        <v>660</v>
      </c>
      <c r="J1513" t="str">
        <f>_xlfn.XLOOKUP(Table1[[#This Row],[Course ]], CCF!B:B, CCF!A:A)</f>
        <v>DM101</v>
      </c>
      <c r="K1513" t="s">
        <v>365</v>
      </c>
      <c r="L1513">
        <f>_xlfn.XLOOKUP(K1513, CCF!B:B, CCF!C:C)</f>
        <v>85499</v>
      </c>
      <c r="M1513" t="s">
        <v>294</v>
      </c>
    </row>
    <row r="1514" spans="1:13" x14ac:dyDescent="0.3">
      <c r="A1514">
        <v>1513</v>
      </c>
      <c r="B1514" t="s">
        <v>2174</v>
      </c>
      <c r="C1514" s="3">
        <v>97920</v>
      </c>
      <c r="D1514" t="s">
        <v>666</v>
      </c>
      <c r="E1514">
        <v>25</v>
      </c>
      <c r="F1514" s="1">
        <v>45508</v>
      </c>
      <c r="G1514" s="1" t="str">
        <f>TEXT(Table1[[#This Row],[Enrollment date]], "mmm")</f>
        <v>Aug</v>
      </c>
      <c r="H1514" t="s">
        <v>360</v>
      </c>
      <c r="I1514" t="s">
        <v>660</v>
      </c>
      <c r="J1514" t="str">
        <f>_xlfn.XLOOKUP(Table1[[#This Row],[Course ]], CCF!B:B, CCF!A:A)</f>
        <v>BA301</v>
      </c>
      <c r="K1514" t="s">
        <v>364</v>
      </c>
      <c r="L1514">
        <f>_xlfn.XLOOKUP(K1514, CCF!B:B, CCF!C:C)</f>
        <v>59999</v>
      </c>
      <c r="M1514" t="s">
        <v>9</v>
      </c>
    </row>
    <row r="1515" spans="1:13" x14ac:dyDescent="0.3">
      <c r="A1515">
        <v>1514</v>
      </c>
      <c r="B1515" t="s">
        <v>2175</v>
      </c>
      <c r="C1515" s="3">
        <v>70166</v>
      </c>
      <c r="D1515" t="s">
        <v>667</v>
      </c>
      <c r="E1515">
        <v>55</v>
      </c>
      <c r="F1515" s="1">
        <v>45508</v>
      </c>
      <c r="G1515" s="1" t="str">
        <f>TEXT(Table1[[#This Row],[Enrollment date]], "mmm")</f>
        <v>Aug</v>
      </c>
      <c r="H1515" t="s">
        <v>360</v>
      </c>
      <c r="I1515" t="s">
        <v>659</v>
      </c>
      <c r="J1515" t="str">
        <f>_xlfn.XLOOKUP(Table1[[#This Row],[Course ]], CCF!B:B, CCF!A:A)</f>
        <v>BA301</v>
      </c>
      <c r="K1515" t="s">
        <v>364</v>
      </c>
      <c r="L1515">
        <f>_xlfn.XLOOKUP(K1515, CCF!B:B, CCF!C:C)</f>
        <v>59999</v>
      </c>
      <c r="M1515" t="s">
        <v>9</v>
      </c>
    </row>
    <row r="1516" spans="1:13" x14ac:dyDescent="0.3">
      <c r="A1516">
        <v>1515</v>
      </c>
      <c r="B1516" t="s">
        <v>2176</v>
      </c>
      <c r="C1516" s="3">
        <v>99277</v>
      </c>
      <c r="D1516" t="s">
        <v>666</v>
      </c>
      <c r="E1516">
        <v>26</v>
      </c>
      <c r="F1516" s="1">
        <v>45508</v>
      </c>
      <c r="G1516" s="1" t="str">
        <f>TEXT(Table1[[#This Row],[Enrollment date]], "mmm")</f>
        <v>Aug</v>
      </c>
      <c r="H1516" t="s">
        <v>360</v>
      </c>
      <c r="I1516" t="s">
        <v>665</v>
      </c>
      <c r="J1516" t="str">
        <f>_xlfn.XLOOKUP(Table1[[#This Row],[Course ]], CCF!B:B, CCF!A:A)</f>
        <v>DA202</v>
      </c>
      <c r="K1516" t="s">
        <v>363</v>
      </c>
      <c r="L1516">
        <f>_xlfn.XLOOKUP(K1516, CCF!B:B, CCF!C:C)</f>
        <v>79999</v>
      </c>
      <c r="M1516" t="s">
        <v>238</v>
      </c>
    </row>
    <row r="1517" spans="1:13" x14ac:dyDescent="0.3">
      <c r="A1517">
        <v>1516</v>
      </c>
      <c r="B1517" t="s">
        <v>2177</v>
      </c>
      <c r="C1517" s="3">
        <v>77893</v>
      </c>
      <c r="D1517" t="s">
        <v>666</v>
      </c>
      <c r="E1517">
        <v>21</v>
      </c>
      <c r="F1517" s="1">
        <v>45508</v>
      </c>
      <c r="G1517" s="1" t="str">
        <f>TEXT(Table1[[#This Row],[Enrollment date]], "mmm")</f>
        <v>Aug</v>
      </c>
      <c r="H1517" t="s">
        <v>360</v>
      </c>
      <c r="I1517" t="s">
        <v>660</v>
      </c>
      <c r="J1517" t="str">
        <f>_xlfn.XLOOKUP(Table1[[#This Row],[Course ]], CCF!B:B, CCF!A:A)</f>
        <v>DA202</v>
      </c>
      <c r="K1517" t="s">
        <v>363</v>
      </c>
      <c r="L1517">
        <f>_xlfn.XLOOKUP(K1517, CCF!B:B, CCF!C:C)</f>
        <v>79999</v>
      </c>
      <c r="M1517" t="s">
        <v>565</v>
      </c>
    </row>
    <row r="1518" spans="1:13" x14ac:dyDescent="0.3">
      <c r="A1518">
        <v>1517</v>
      </c>
      <c r="B1518" t="s">
        <v>2178</v>
      </c>
      <c r="C1518" s="3">
        <v>88454</v>
      </c>
      <c r="D1518" t="s">
        <v>667</v>
      </c>
      <c r="E1518">
        <v>20</v>
      </c>
      <c r="F1518" s="1">
        <v>45509</v>
      </c>
      <c r="G1518" s="1" t="str">
        <f>TEXT(Table1[[#This Row],[Enrollment date]], "mmm")</f>
        <v>Aug</v>
      </c>
      <c r="H1518" t="s">
        <v>360</v>
      </c>
      <c r="I1518" t="s">
        <v>660</v>
      </c>
      <c r="J1518" t="str">
        <f>_xlfn.XLOOKUP(Table1[[#This Row],[Course ]], CCF!B:B, CCF!A:A)</f>
        <v>DM101</v>
      </c>
      <c r="K1518" t="s">
        <v>365</v>
      </c>
      <c r="L1518">
        <f>_xlfn.XLOOKUP(K1518, CCF!B:B, CCF!C:C)</f>
        <v>85499</v>
      </c>
      <c r="M1518" t="s">
        <v>18</v>
      </c>
    </row>
    <row r="1519" spans="1:13" x14ac:dyDescent="0.3">
      <c r="A1519">
        <v>1518</v>
      </c>
      <c r="B1519" t="s">
        <v>2179</v>
      </c>
      <c r="C1519" s="3">
        <v>85011</v>
      </c>
      <c r="D1519" t="s">
        <v>666</v>
      </c>
      <c r="E1519">
        <v>21</v>
      </c>
      <c r="F1519" s="1">
        <v>45509</v>
      </c>
      <c r="G1519" s="1" t="str">
        <f>TEXT(Table1[[#This Row],[Enrollment date]], "mmm")</f>
        <v>Aug</v>
      </c>
      <c r="H1519" t="s">
        <v>360</v>
      </c>
      <c r="I1519" t="s">
        <v>660</v>
      </c>
      <c r="J1519" t="str">
        <f>_xlfn.XLOOKUP(Table1[[#This Row],[Course ]], CCF!B:B, CCF!A:A)</f>
        <v>UX401</v>
      </c>
      <c r="K1519" t="s">
        <v>367</v>
      </c>
      <c r="L1519">
        <f>_xlfn.XLOOKUP(K1519, CCF!B:B, CCF!C:C)</f>
        <v>67990</v>
      </c>
      <c r="M1519" t="s">
        <v>244</v>
      </c>
    </row>
    <row r="1520" spans="1:13" x14ac:dyDescent="0.3">
      <c r="A1520">
        <v>1519</v>
      </c>
      <c r="B1520" t="s">
        <v>2180</v>
      </c>
      <c r="C1520" s="3">
        <v>65498</v>
      </c>
      <c r="D1520" t="s">
        <v>666</v>
      </c>
      <c r="E1520">
        <v>43</v>
      </c>
      <c r="F1520" s="1">
        <v>45509</v>
      </c>
      <c r="G1520" s="1" t="str">
        <f>TEXT(Table1[[#This Row],[Enrollment date]], "mmm")</f>
        <v>Aug</v>
      </c>
      <c r="H1520" t="s">
        <v>360</v>
      </c>
      <c r="I1520" t="s">
        <v>661</v>
      </c>
      <c r="J1520" t="str">
        <f>_xlfn.XLOOKUP(Table1[[#This Row],[Course ]], CCF!B:B, CCF!A:A)</f>
        <v>UX401</v>
      </c>
      <c r="K1520" t="s">
        <v>367</v>
      </c>
      <c r="L1520">
        <f>_xlfn.XLOOKUP(K1520, CCF!B:B, CCF!C:C)</f>
        <v>67990</v>
      </c>
      <c r="M1520" t="s">
        <v>195</v>
      </c>
    </row>
    <row r="1521" spans="1:13" x14ac:dyDescent="0.3">
      <c r="A1521">
        <v>1520</v>
      </c>
      <c r="B1521" t="s">
        <v>2181</v>
      </c>
      <c r="C1521" s="3">
        <v>30133</v>
      </c>
      <c r="D1521" t="s">
        <v>666</v>
      </c>
      <c r="E1521">
        <v>21</v>
      </c>
      <c r="F1521" s="1">
        <v>45509</v>
      </c>
      <c r="G1521" s="1" t="str">
        <f>TEXT(Table1[[#This Row],[Enrollment date]], "mmm")</f>
        <v>Aug</v>
      </c>
      <c r="H1521" t="s">
        <v>360</v>
      </c>
      <c r="I1521" t="s">
        <v>660</v>
      </c>
      <c r="J1521" t="str">
        <f>_xlfn.XLOOKUP(Table1[[#This Row],[Course ]], CCF!B:B, CCF!A:A)</f>
        <v>DA202</v>
      </c>
      <c r="K1521" t="s">
        <v>363</v>
      </c>
      <c r="L1521">
        <f>_xlfn.XLOOKUP(K1521, CCF!B:B, CCF!C:C)</f>
        <v>79999</v>
      </c>
      <c r="M1521" t="s">
        <v>46</v>
      </c>
    </row>
    <row r="1522" spans="1:13" x14ac:dyDescent="0.3">
      <c r="A1522">
        <v>1521</v>
      </c>
      <c r="B1522" t="s">
        <v>2182</v>
      </c>
      <c r="C1522" s="3">
        <v>68054</v>
      </c>
      <c r="D1522" t="s">
        <v>666</v>
      </c>
      <c r="E1522">
        <v>19</v>
      </c>
      <c r="F1522" s="1">
        <v>45509</v>
      </c>
      <c r="G1522" s="1" t="str">
        <f>TEXT(Table1[[#This Row],[Enrollment date]], "mmm")</f>
        <v>Aug</v>
      </c>
      <c r="H1522" t="s">
        <v>360</v>
      </c>
      <c r="I1522" t="s">
        <v>659</v>
      </c>
      <c r="J1522" t="str">
        <f>_xlfn.XLOOKUP(Table1[[#This Row],[Course ]], CCF!B:B, CCF!A:A)</f>
        <v>BA301</v>
      </c>
      <c r="K1522" t="s">
        <v>364</v>
      </c>
      <c r="L1522">
        <f>_xlfn.XLOOKUP(K1522, CCF!B:B, CCF!C:C)</f>
        <v>59999</v>
      </c>
      <c r="M1522" t="s">
        <v>331</v>
      </c>
    </row>
    <row r="1523" spans="1:13" x14ac:dyDescent="0.3">
      <c r="A1523">
        <v>1522</v>
      </c>
      <c r="B1523" t="s">
        <v>2183</v>
      </c>
      <c r="C1523" s="3">
        <v>55063</v>
      </c>
      <c r="D1523" t="s">
        <v>666</v>
      </c>
      <c r="E1523">
        <v>37</v>
      </c>
      <c r="F1523" s="1">
        <v>45510</v>
      </c>
      <c r="G1523" s="1" t="str">
        <f>TEXT(Table1[[#This Row],[Enrollment date]], "mmm")</f>
        <v>Aug</v>
      </c>
      <c r="H1523" t="s">
        <v>360</v>
      </c>
      <c r="I1523" t="s">
        <v>661</v>
      </c>
      <c r="J1523" t="str">
        <f>_xlfn.XLOOKUP(Table1[[#This Row],[Course ]], CCF!B:B, CCF!A:A)</f>
        <v>DM101</v>
      </c>
      <c r="K1523" t="s">
        <v>365</v>
      </c>
      <c r="L1523">
        <f>_xlfn.XLOOKUP(K1523, CCF!B:B, CCF!C:C)</f>
        <v>85499</v>
      </c>
      <c r="M1523" t="s">
        <v>109</v>
      </c>
    </row>
    <row r="1524" spans="1:13" x14ac:dyDescent="0.3">
      <c r="A1524">
        <v>1523</v>
      </c>
      <c r="B1524" t="s">
        <v>2184</v>
      </c>
      <c r="C1524" s="3">
        <v>24022</v>
      </c>
      <c r="D1524" t="s">
        <v>667</v>
      </c>
      <c r="E1524">
        <v>28</v>
      </c>
      <c r="F1524" s="1">
        <v>45510</v>
      </c>
      <c r="G1524" s="1" t="str">
        <f>TEXT(Table1[[#This Row],[Enrollment date]], "mmm")</f>
        <v>Aug</v>
      </c>
      <c r="H1524" t="s">
        <v>360</v>
      </c>
      <c r="I1524" t="s">
        <v>660</v>
      </c>
      <c r="J1524" t="str">
        <f>_xlfn.XLOOKUP(Table1[[#This Row],[Course ]], CCF!B:B, CCF!A:A)</f>
        <v>UX401</v>
      </c>
      <c r="K1524" t="s">
        <v>367</v>
      </c>
      <c r="L1524">
        <f>_xlfn.XLOOKUP(K1524, CCF!B:B, CCF!C:C)</f>
        <v>67990</v>
      </c>
      <c r="M1524" t="s">
        <v>16</v>
      </c>
    </row>
    <row r="1525" spans="1:13" x14ac:dyDescent="0.3">
      <c r="A1525">
        <v>1524</v>
      </c>
      <c r="B1525" t="s">
        <v>2185</v>
      </c>
      <c r="C1525" s="3">
        <v>93761</v>
      </c>
      <c r="D1525" t="s">
        <v>666</v>
      </c>
      <c r="E1525">
        <v>29</v>
      </c>
      <c r="F1525" s="1">
        <v>45510</v>
      </c>
      <c r="G1525" s="1" t="str">
        <f>TEXT(Table1[[#This Row],[Enrollment date]], "mmm")</f>
        <v>Aug</v>
      </c>
      <c r="H1525" t="s">
        <v>3</v>
      </c>
      <c r="I1525" t="s">
        <v>661</v>
      </c>
      <c r="J1525" t="str">
        <f>_xlfn.XLOOKUP(Table1[[#This Row],[Course ]], CCF!B:B, CCF!A:A)</f>
        <v>DM101</v>
      </c>
      <c r="K1525" t="s">
        <v>365</v>
      </c>
      <c r="L1525">
        <f>_xlfn.XLOOKUP(K1525, CCF!B:B, CCF!C:C)</f>
        <v>85499</v>
      </c>
      <c r="M1525" t="s">
        <v>566</v>
      </c>
    </row>
    <row r="1526" spans="1:13" x14ac:dyDescent="0.3">
      <c r="A1526">
        <v>1525</v>
      </c>
      <c r="B1526" t="s">
        <v>2186</v>
      </c>
      <c r="C1526" s="3">
        <v>65557</v>
      </c>
      <c r="D1526" t="s">
        <v>666</v>
      </c>
      <c r="E1526">
        <v>20</v>
      </c>
      <c r="F1526" s="1">
        <v>45510</v>
      </c>
      <c r="G1526" s="1" t="str">
        <f>TEXT(Table1[[#This Row],[Enrollment date]], "mmm")</f>
        <v>Aug</v>
      </c>
      <c r="H1526" t="s">
        <v>360</v>
      </c>
      <c r="I1526" t="s">
        <v>659</v>
      </c>
      <c r="J1526" t="str">
        <f>_xlfn.XLOOKUP(Table1[[#This Row],[Course ]], CCF!B:B, CCF!A:A)</f>
        <v>DA202</v>
      </c>
      <c r="K1526" t="s">
        <v>363</v>
      </c>
      <c r="L1526">
        <f>_xlfn.XLOOKUP(K1526, CCF!B:B, CCF!C:C)</f>
        <v>79999</v>
      </c>
      <c r="M1526" t="s">
        <v>75</v>
      </c>
    </row>
    <row r="1527" spans="1:13" x14ac:dyDescent="0.3">
      <c r="A1527">
        <v>1526</v>
      </c>
      <c r="B1527" t="s">
        <v>2187</v>
      </c>
      <c r="C1527" s="3">
        <v>33892</v>
      </c>
      <c r="D1527" t="s">
        <v>666</v>
      </c>
      <c r="E1527">
        <v>39</v>
      </c>
      <c r="F1527" s="1">
        <v>45510</v>
      </c>
      <c r="G1527" s="1" t="str">
        <f>TEXT(Table1[[#This Row],[Enrollment date]], "mmm")</f>
        <v>Aug</v>
      </c>
      <c r="H1527" t="s">
        <v>360</v>
      </c>
      <c r="I1527" t="s">
        <v>661</v>
      </c>
      <c r="J1527" t="str">
        <f>_xlfn.XLOOKUP(Table1[[#This Row],[Course ]], CCF!B:B, CCF!A:A)</f>
        <v>BA301</v>
      </c>
      <c r="K1527" t="s">
        <v>364</v>
      </c>
      <c r="L1527">
        <f>_xlfn.XLOOKUP(K1527, CCF!B:B, CCF!C:C)</f>
        <v>59999</v>
      </c>
      <c r="M1527" t="s">
        <v>104</v>
      </c>
    </row>
    <row r="1528" spans="1:13" x14ac:dyDescent="0.3">
      <c r="A1528">
        <v>1527</v>
      </c>
      <c r="B1528" t="s">
        <v>2188</v>
      </c>
      <c r="C1528" s="3">
        <v>64659</v>
      </c>
      <c r="D1528" t="s">
        <v>666</v>
      </c>
      <c r="E1528">
        <v>41</v>
      </c>
      <c r="F1528" s="1">
        <v>45510</v>
      </c>
      <c r="G1528" s="1" t="str">
        <f>TEXT(Table1[[#This Row],[Enrollment date]], "mmm")</f>
        <v>Aug</v>
      </c>
      <c r="H1528" t="s">
        <v>360</v>
      </c>
      <c r="I1528" t="s">
        <v>663</v>
      </c>
      <c r="J1528" t="str">
        <f>_xlfn.XLOOKUP(Table1[[#This Row],[Course ]], CCF!B:B, CCF!A:A)</f>
        <v>DA202</v>
      </c>
      <c r="K1528" t="s">
        <v>363</v>
      </c>
      <c r="L1528">
        <f>_xlfn.XLOOKUP(K1528, CCF!B:B, CCF!C:C)</f>
        <v>79999</v>
      </c>
      <c r="M1528" t="s">
        <v>288</v>
      </c>
    </row>
    <row r="1529" spans="1:13" x14ac:dyDescent="0.3">
      <c r="A1529">
        <v>1528</v>
      </c>
      <c r="B1529" t="s">
        <v>2189</v>
      </c>
      <c r="C1529" s="3">
        <v>92179</v>
      </c>
      <c r="D1529" t="s">
        <v>667</v>
      </c>
      <c r="E1529">
        <v>76</v>
      </c>
      <c r="F1529" s="1">
        <v>45510</v>
      </c>
      <c r="G1529" s="1" t="str">
        <f>TEXT(Table1[[#This Row],[Enrollment date]], "mmm")</f>
        <v>Aug</v>
      </c>
      <c r="H1529" t="s">
        <v>360</v>
      </c>
      <c r="I1529" t="s">
        <v>661</v>
      </c>
      <c r="J1529" t="str">
        <f>_xlfn.XLOOKUP(Table1[[#This Row],[Course ]], CCF!B:B, CCF!A:A)</f>
        <v>DA202</v>
      </c>
      <c r="K1529" t="s">
        <v>363</v>
      </c>
      <c r="L1529">
        <f>_xlfn.XLOOKUP(K1529, CCF!B:B, CCF!C:C)</f>
        <v>79999</v>
      </c>
      <c r="M1529" t="s">
        <v>514</v>
      </c>
    </row>
    <row r="1530" spans="1:13" x14ac:dyDescent="0.3">
      <c r="A1530">
        <v>1529</v>
      </c>
      <c r="B1530" t="s">
        <v>2190</v>
      </c>
      <c r="C1530" s="3">
        <v>38097</v>
      </c>
      <c r="D1530" t="s">
        <v>666</v>
      </c>
      <c r="E1530">
        <v>25</v>
      </c>
      <c r="F1530" s="1">
        <v>45510</v>
      </c>
      <c r="G1530" s="1" t="str">
        <f>TEXT(Table1[[#This Row],[Enrollment date]], "mmm")</f>
        <v>Aug</v>
      </c>
      <c r="H1530" t="s">
        <v>360</v>
      </c>
      <c r="I1530" t="s">
        <v>660</v>
      </c>
      <c r="J1530" t="str">
        <f>_xlfn.XLOOKUP(Table1[[#This Row],[Course ]], CCF!B:B, CCF!A:A)</f>
        <v>DM101</v>
      </c>
      <c r="K1530" t="s">
        <v>365</v>
      </c>
      <c r="L1530">
        <f>_xlfn.XLOOKUP(K1530, CCF!B:B, CCF!C:C)</f>
        <v>85499</v>
      </c>
      <c r="M1530" t="s">
        <v>27</v>
      </c>
    </row>
    <row r="1531" spans="1:13" x14ac:dyDescent="0.3">
      <c r="A1531">
        <v>1530</v>
      </c>
      <c r="B1531" t="s">
        <v>2191</v>
      </c>
      <c r="C1531" s="3">
        <v>16833</v>
      </c>
      <c r="D1531" t="s">
        <v>666</v>
      </c>
      <c r="E1531">
        <v>48</v>
      </c>
      <c r="F1531" s="1">
        <v>45510</v>
      </c>
      <c r="G1531" s="1" t="str">
        <f>TEXT(Table1[[#This Row],[Enrollment date]], "mmm")</f>
        <v>Aug</v>
      </c>
      <c r="H1531" t="s">
        <v>360</v>
      </c>
      <c r="I1531" t="s">
        <v>660</v>
      </c>
      <c r="J1531" t="str">
        <f>_xlfn.XLOOKUP(Table1[[#This Row],[Course ]], CCF!B:B, CCF!A:A)</f>
        <v>BA301</v>
      </c>
      <c r="K1531" t="s">
        <v>364</v>
      </c>
      <c r="L1531">
        <f>_xlfn.XLOOKUP(K1531, CCF!B:B, CCF!C:C)</f>
        <v>59999</v>
      </c>
      <c r="M1531" t="s">
        <v>30</v>
      </c>
    </row>
    <row r="1532" spans="1:13" x14ac:dyDescent="0.3">
      <c r="A1532">
        <v>1531</v>
      </c>
      <c r="B1532" t="s">
        <v>2192</v>
      </c>
      <c r="C1532" s="3">
        <v>31194</v>
      </c>
      <c r="D1532" t="s">
        <v>666</v>
      </c>
      <c r="E1532">
        <v>71</v>
      </c>
      <c r="F1532" s="1">
        <v>45511</v>
      </c>
      <c r="G1532" s="1" t="str">
        <f>TEXT(Table1[[#This Row],[Enrollment date]], "mmm")</f>
        <v>Aug</v>
      </c>
      <c r="H1532" t="s">
        <v>360</v>
      </c>
      <c r="I1532" t="s">
        <v>662</v>
      </c>
      <c r="J1532" t="str">
        <f>_xlfn.XLOOKUP(Table1[[#This Row],[Course ]], CCF!B:B, CCF!A:A)</f>
        <v>DA202</v>
      </c>
      <c r="K1532" t="s">
        <v>363</v>
      </c>
      <c r="L1532">
        <f>_xlfn.XLOOKUP(K1532, CCF!B:B, CCF!C:C)</f>
        <v>79999</v>
      </c>
      <c r="M1532" t="s">
        <v>30</v>
      </c>
    </row>
    <row r="1533" spans="1:13" x14ac:dyDescent="0.3">
      <c r="A1533">
        <v>1532</v>
      </c>
      <c r="B1533" t="s">
        <v>2193</v>
      </c>
      <c r="C1533" s="3">
        <v>33556</v>
      </c>
      <c r="D1533" t="s">
        <v>666</v>
      </c>
      <c r="E1533">
        <v>30</v>
      </c>
      <c r="F1533" s="1">
        <v>45511</v>
      </c>
      <c r="G1533" s="1" t="str">
        <f>TEXT(Table1[[#This Row],[Enrollment date]], "mmm")</f>
        <v>Aug</v>
      </c>
      <c r="H1533" t="s">
        <v>360</v>
      </c>
      <c r="I1533" t="s">
        <v>661</v>
      </c>
      <c r="J1533" t="str">
        <f>_xlfn.XLOOKUP(Table1[[#This Row],[Course ]], CCF!B:B, CCF!A:A)</f>
        <v>DA202</v>
      </c>
      <c r="K1533" t="s">
        <v>363</v>
      </c>
      <c r="L1533">
        <f>_xlfn.XLOOKUP(K1533, CCF!B:B, CCF!C:C)</f>
        <v>79999</v>
      </c>
      <c r="M1533" t="s">
        <v>27</v>
      </c>
    </row>
    <row r="1534" spans="1:13" x14ac:dyDescent="0.3">
      <c r="A1534">
        <v>1533</v>
      </c>
      <c r="B1534" t="s">
        <v>2194</v>
      </c>
      <c r="C1534" s="3">
        <v>11746</v>
      </c>
      <c r="D1534" t="s">
        <v>667</v>
      </c>
      <c r="E1534">
        <v>47</v>
      </c>
      <c r="F1534" s="1">
        <v>45511</v>
      </c>
      <c r="G1534" s="1" t="str">
        <f>TEXT(Table1[[#This Row],[Enrollment date]], "mmm")</f>
        <v>Aug</v>
      </c>
      <c r="H1534" t="s">
        <v>360</v>
      </c>
      <c r="I1534" t="s">
        <v>663</v>
      </c>
      <c r="J1534" t="str">
        <f>_xlfn.XLOOKUP(Table1[[#This Row],[Course ]], CCF!B:B, CCF!A:A)</f>
        <v>DM101</v>
      </c>
      <c r="K1534" t="s">
        <v>365</v>
      </c>
      <c r="L1534">
        <f>_xlfn.XLOOKUP(K1534, CCF!B:B, CCF!C:C)</f>
        <v>85499</v>
      </c>
      <c r="M1534" t="s">
        <v>4</v>
      </c>
    </row>
    <row r="1535" spans="1:13" x14ac:dyDescent="0.3">
      <c r="A1535">
        <v>1534</v>
      </c>
      <c r="B1535" t="s">
        <v>2195</v>
      </c>
      <c r="C1535" s="3">
        <v>62544</v>
      </c>
      <c r="D1535" t="s">
        <v>666</v>
      </c>
      <c r="E1535">
        <v>32</v>
      </c>
      <c r="F1535" s="1">
        <v>45511</v>
      </c>
      <c r="G1535" s="1" t="str">
        <f>TEXT(Table1[[#This Row],[Enrollment date]], "mmm")</f>
        <v>Aug</v>
      </c>
      <c r="H1535" t="s">
        <v>360</v>
      </c>
      <c r="I1535" t="s">
        <v>660</v>
      </c>
      <c r="J1535" t="str">
        <f>_xlfn.XLOOKUP(Table1[[#This Row],[Course ]], CCF!B:B, CCF!A:A)</f>
        <v>DA202</v>
      </c>
      <c r="K1535" t="s">
        <v>363</v>
      </c>
      <c r="L1535">
        <f>_xlfn.XLOOKUP(K1535, CCF!B:B, CCF!C:C)</f>
        <v>79999</v>
      </c>
      <c r="M1535" t="s">
        <v>20</v>
      </c>
    </row>
    <row r="1536" spans="1:13" x14ac:dyDescent="0.3">
      <c r="A1536">
        <v>1535</v>
      </c>
      <c r="B1536" t="s">
        <v>2196</v>
      </c>
      <c r="C1536" s="3">
        <v>64096</v>
      </c>
      <c r="D1536" t="s">
        <v>666</v>
      </c>
      <c r="E1536">
        <v>48</v>
      </c>
      <c r="F1536" s="1">
        <v>45511</v>
      </c>
      <c r="G1536" s="1" t="str">
        <f>TEXT(Table1[[#This Row],[Enrollment date]], "mmm")</f>
        <v>Aug</v>
      </c>
      <c r="H1536" t="s">
        <v>360</v>
      </c>
      <c r="I1536" t="s">
        <v>661</v>
      </c>
      <c r="J1536" t="str">
        <f>_xlfn.XLOOKUP(Table1[[#This Row],[Course ]], CCF!B:B, CCF!A:A)</f>
        <v>DM101</v>
      </c>
      <c r="K1536" t="s">
        <v>365</v>
      </c>
      <c r="L1536">
        <f>_xlfn.XLOOKUP(K1536, CCF!B:B, CCF!C:C)</f>
        <v>85499</v>
      </c>
      <c r="M1536" t="s">
        <v>434</v>
      </c>
    </row>
    <row r="1537" spans="1:13" x14ac:dyDescent="0.3">
      <c r="A1537">
        <v>1536</v>
      </c>
      <c r="B1537" t="s">
        <v>2197</v>
      </c>
      <c r="C1537" s="3">
        <v>80943</v>
      </c>
      <c r="D1537" t="s">
        <v>666</v>
      </c>
      <c r="E1537">
        <v>45</v>
      </c>
      <c r="F1537" s="1">
        <v>45512</v>
      </c>
      <c r="G1537" s="1" t="str">
        <f>TEXT(Table1[[#This Row],[Enrollment date]], "mmm")</f>
        <v>Aug</v>
      </c>
      <c r="H1537" t="s">
        <v>360</v>
      </c>
      <c r="I1537" t="s">
        <v>659</v>
      </c>
      <c r="J1537" t="str">
        <f>_xlfn.XLOOKUP(Table1[[#This Row],[Course ]], CCF!B:B, CCF!A:A)</f>
        <v>DM101</v>
      </c>
      <c r="K1537" t="s">
        <v>365</v>
      </c>
      <c r="L1537">
        <f>_xlfn.XLOOKUP(K1537, CCF!B:B, CCF!C:C)</f>
        <v>85499</v>
      </c>
      <c r="M1537" t="s">
        <v>9</v>
      </c>
    </row>
    <row r="1538" spans="1:13" x14ac:dyDescent="0.3">
      <c r="A1538">
        <v>1537</v>
      </c>
      <c r="B1538" t="s">
        <v>2198</v>
      </c>
      <c r="C1538" s="3">
        <v>98800</v>
      </c>
      <c r="D1538" t="s">
        <v>666</v>
      </c>
      <c r="E1538">
        <v>75</v>
      </c>
      <c r="F1538" s="1">
        <v>45512</v>
      </c>
      <c r="G1538" s="1" t="str">
        <f>TEXT(Table1[[#This Row],[Enrollment date]], "mmm")</f>
        <v>Aug</v>
      </c>
      <c r="H1538" t="s">
        <v>360</v>
      </c>
      <c r="I1538" t="s">
        <v>660</v>
      </c>
      <c r="J1538" t="str">
        <f>_xlfn.XLOOKUP(Table1[[#This Row],[Course ]], CCF!B:B, CCF!A:A)</f>
        <v>DA202</v>
      </c>
      <c r="K1538" t="s">
        <v>363</v>
      </c>
      <c r="L1538">
        <f>_xlfn.XLOOKUP(K1538, CCF!B:B, CCF!C:C)</f>
        <v>79999</v>
      </c>
      <c r="M1538" t="s">
        <v>18</v>
      </c>
    </row>
    <row r="1539" spans="1:13" x14ac:dyDescent="0.3">
      <c r="A1539">
        <v>1538</v>
      </c>
      <c r="B1539" t="s">
        <v>2199</v>
      </c>
      <c r="C1539" s="3">
        <v>15246</v>
      </c>
      <c r="D1539" t="s">
        <v>666</v>
      </c>
      <c r="E1539">
        <v>43</v>
      </c>
      <c r="F1539" s="1">
        <v>45512</v>
      </c>
      <c r="G1539" s="1" t="str">
        <f>TEXT(Table1[[#This Row],[Enrollment date]], "mmm")</f>
        <v>Aug</v>
      </c>
      <c r="H1539" t="s">
        <v>360</v>
      </c>
      <c r="I1539" t="s">
        <v>661</v>
      </c>
      <c r="J1539" t="str">
        <f>_xlfn.XLOOKUP(Table1[[#This Row],[Course ]], CCF!B:B, CCF!A:A)</f>
        <v>DM101</v>
      </c>
      <c r="K1539" t="s">
        <v>365</v>
      </c>
      <c r="L1539">
        <f>_xlfn.XLOOKUP(K1539, CCF!B:B, CCF!C:C)</f>
        <v>85499</v>
      </c>
      <c r="M1539" t="s">
        <v>30</v>
      </c>
    </row>
    <row r="1540" spans="1:13" x14ac:dyDescent="0.3">
      <c r="A1540">
        <v>1539</v>
      </c>
      <c r="B1540" t="s">
        <v>2200</v>
      </c>
      <c r="C1540" s="3">
        <v>69297</v>
      </c>
      <c r="D1540" t="s">
        <v>666</v>
      </c>
      <c r="E1540">
        <v>25</v>
      </c>
      <c r="F1540" s="1">
        <v>45512</v>
      </c>
      <c r="G1540" s="1" t="str">
        <f>TEXT(Table1[[#This Row],[Enrollment date]], "mmm")</f>
        <v>Aug</v>
      </c>
      <c r="H1540" t="s">
        <v>360</v>
      </c>
      <c r="I1540" t="s">
        <v>660</v>
      </c>
      <c r="J1540" t="str">
        <f>_xlfn.XLOOKUP(Table1[[#This Row],[Course ]], CCF!B:B, CCF!A:A)</f>
        <v>DM101</v>
      </c>
      <c r="K1540" t="s">
        <v>365</v>
      </c>
      <c r="L1540">
        <f>_xlfn.XLOOKUP(K1540, CCF!B:B, CCF!C:C)</f>
        <v>85499</v>
      </c>
      <c r="M1540" t="s">
        <v>9</v>
      </c>
    </row>
    <row r="1541" spans="1:13" x14ac:dyDescent="0.3">
      <c r="A1541">
        <v>1540</v>
      </c>
      <c r="B1541" t="s">
        <v>2201</v>
      </c>
      <c r="C1541" s="3">
        <v>72142</v>
      </c>
      <c r="D1541" t="s">
        <v>666</v>
      </c>
      <c r="E1541">
        <v>21</v>
      </c>
      <c r="F1541" s="1">
        <v>45512</v>
      </c>
      <c r="G1541" s="1" t="str">
        <f>TEXT(Table1[[#This Row],[Enrollment date]], "mmm")</f>
        <v>Aug</v>
      </c>
      <c r="H1541" t="s">
        <v>360</v>
      </c>
      <c r="I1541" t="s">
        <v>660</v>
      </c>
      <c r="J1541" t="str">
        <f>_xlfn.XLOOKUP(Table1[[#This Row],[Course ]], CCF!B:B, CCF!A:A)</f>
        <v>DA202</v>
      </c>
      <c r="K1541" t="s">
        <v>363</v>
      </c>
      <c r="L1541">
        <f>_xlfn.XLOOKUP(K1541, CCF!B:B, CCF!C:C)</f>
        <v>79999</v>
      </c>
      <c r="M1541" t="s">
        <v>172</v>
      </c>
    </row>
    <row r="1542" spans="1:13" x14ac:dyDescent="0.3">
      <c r="A1542">
        <v>1541</v>
      </c>
      <c r="B1542" t="s">
        <v>2202</v>
      </c>
      <c r="C1542" s="3">
        <v>77180</v>
      </c>
      <c r="D1542" t="s">
        <v>666</v>
      </c>
      <c r="E1542">
        <v>48</v>
      </c>
      <c r="F1542" s="1">
        <v>45512</v>
      </c>
      <c r="G1542" s="1" t="str">
        <f>TEXT(Table1[[#This Row],[Enrollment date]], "mmm")</f>
        <v>Aug</v>
      </c>
      <c r="H1542" t="s">
        <v>360</v>
      </c>
      <c r="I1542" t="s">
        <v>660</v>
      </c>
      <c r="J1542" t="str">
        <f>_xlfn.XLOOKUP(Table1[[#This Row],[Course ]], CCF!B:B, CCF!A:A)</f>
        <v>DM101</v>
      </c>
      <c r="K1542" t="s">
        <v>365</v>
      </c>
      <c r="L1542">
        <f>_xlfn.XLOOKUP(K1542, CCF!B:B, CCF!C:C)</f>
        <v>85499</v>
      </c>
      <c r="M1542" t="s">
        <v>48</v>
      </c>
    </row>
    <row r="1543" spans="1:13" x14ac:dyDescent="0.3">
      <c r="A1543">
        <v>1542</v>
      </c>
      <c r="B1543" t="s">
        <v>2203</v>
      </c>
      <c r="C1543" s="3">
        <v>63873</v>
      </c>
      <c r="D1543" t="s">
        <v>666</v>
      </c>
      <c r="E1543">
        <v>33</v>
      </c>
      <c r="F1543" s="1">
        <v>45513</v>
      </c>
      <c r="G1543" s="1" t="str">
        <f>TEXT(Table1[[#This Row],[Enrollment date]], "mmm")</f>
        <v>Aug</v>
      </c>
      <c r="H1543" t="s">
        <v>360</v>
      </c>
      <c r="I1543" t="s">
        <v>660</v>
      </c>
      <c r="J1543" t="str">
        <f>_xlfn.XLOOKUP(Table1[[#This Row],[Course ]], CCF!B:B, CCF!A:A)</f>
        <v>DA202</v>
      </c>
      <c r="K1543" t="s">
        <v>363</v>
      </c>
      <c r="L1543">
        <f>_xlfn.XLOOKUP(K1543, CCF!B:B, CCF!C:C)</f>
        <v>79999</v>
      </c>
      <c r="M1543" t="s">
        <v>17</v>
      </c>
    </row>
    <row r="1544" spans="1:13" x14ac:dyDescent="0.3">
      <c r="A1544">
        <v>1543</v>
      </c>
      <c r="B1544" t="s">
        <v>2204</v>
      </c>
      <c r="C1544" s="3">
        <v>10634</v>
      </c>
      <c r="D1544" t="s">
        <v>667</v>
      </c>
      <c r="E1544">
        <v>46</v>
      </c>
      <c r="F1544" s="1">
        <v>45513</v>
      </c>
      <c r="G1544" s="1" t="str">
        <f>TEXT(Table1[[#This Row],[Enrollment date]], "mmm")</f>
        <v>Aug</v>
      </c>
      <c r="H1544" t="s">
        <v>360</v>
      </c>
      <c r="I1544" t="s">
        <v>660</v>
      </c>
      <c r="J1544" t="str">
        <f>_xlfn.XLOOKUP(Table1[[#This Row],[Course ]], CCF!B:B, CCF!A:A)</f>
        <v>BA301</v>
      </c>
      <c r="K1544" t="s">
        <v>364</v>
      </c>
      <c r="L1544">
        <f>_xlfn.XLOOKUP(K1544, CCF!B:B, CCF!C:C)</f>
        <v>59999</v>
      </c>
      <c r="M1544" t="s">
        <v>18</v>
      </c>
    </row>
    <row r="1545" spans="1:13" x14ac:dyDescent="0.3">
      <c r="A1545">
        <v>1544</v>
      </c>
      <c r="B1545" t="s">
        <v>2205</v>
      </c>
      <c r="C1545" s="3">
        <v>85436</v>
      </c>
      <c r="D1545" t="s">
        <v>666</v>
      </c>
      <c r="E1545">
        <v>35</v>
      </c>
      <c r="F1545" s="1">
        <v>45513</v>
      </c>
      <c r="G1545" s="1" t="str">
        <f>TEXT(Table1[[#This Row],[Enrollment date]], "mmm")</f>
        <v>Aug</v>
      </c>
      <c r="H1545" t="s">
        <v>360</v>
      </c>
      <c r="I1545" t="s">
        <v>660</v>
      </c>
      <c r="J1545" t="str">
        <f>_xlfn.XLOOKUP(Table1[[#This Row],[Course ]], CCF!B:B, CCF!A:A)</f>
        <v>DM101</v>
      </c>
      <c r="K1545" t="s">
        <v>365</v>
      </c>
      <c r="L1545">
        <f>_xlfn.XLOOKUP(K1545, CCF!B:B, CCF!C:C)</f>
        <v>85499</v>
      </c>
      <c r="M1545" t="s">
        <v>567</v>
      </c>
    </row>
    <row r="1546" spans="1:13" x14ac:dyDescent="0.3">
      <c r="A1546">
        <v>1545</v>
      </c>
      <c r="B1546" t="s">
        <v>2206</v>
      </c>
      <c r="C1546" s="3">
        <v>74966</v>
      </c>
      <c r="D1546" t="s">
        <v>666</v>
      </c>
      <c r="E1546">
        <v>43</v>
      </c>
      <c r="F1546" s="1">
        <v>45513</v>
      </c>
      <c r="G1546" s="1" t="str">
        <f>TEXT(Table1[[#This Row],[Enrollment date]], "mmm")</f>
        <v>Aug</v>
      </c>
      <c r="H1546" t="s">
        <v>360</v>
      </c>
      <c r="I1546" t="s">
        <v>660</v>
      </c>
      <c r="J1546" t="str">
        <f>_xlfn.XLOOKUP(Table1[[#This Row],[Course ]], CCF!B:B, CCF!A:A)</f>
        <v>DA202</v>
      </c>
      <c r="K1546" t="s">
        <v>363</v>
      </c>
      <c r="L1546">
        <f>_xlfn.XLOOKUP(K1546, CCF!B:B, CCF!C:C)</f>
        <v>79999</v>
      </c>
      <c r="M1546" t="s">
        <v>38</v>
      </c>
    </row>
    <row r="1547" spans="1:13" x14ac:dyDescent="0.3">
      <c r="A1547">
        <v>1546</v>
      </c>
      <c r="B1547" t="s">
        <v>2207</v>
      </c>
      <c r="C1547" s="3">
        <v>15407</v>
      </c>
      <c r="D1547" t="s">
        <v>666</v>
      </c>
      <c r="E1547">
        <v>44</v>
      </c>
      <c r="F1547" s="1">
        <v>45513</v>
      </c>
      <c r="G1547" s="1" t="str">
        <f>TEXT(Table1[[#This Row],[Enrollment date]], "mmm")</f>
        <v>Aug</v>
      </c>
      <c r="H1547" t="s">
        <v>360</v>
      </c>
      <c r="I1547" t="s">
        <v>663</v>
      </c>
      <c r="J1547" t="str">
        <f>_xlfn.XLOOKUP(Table1[[#This Row],[Course ]], CCF!B:B, CCF!A:A)</f>
        <v>BA301</v>
      </c>
      <c r="K1547" t="s">
        <v>364</v>
      </c>
      <c r="L1547">
        <f>_xlfn.XLOOKUP(K1547, CCF!B:B, CCF!C:C)</f>
        <v>59999</v>
      </c>
      <c r="M1547" t="s">
        <v>27</v>
      </c>
    </row>
    <row r="1548" spans="1:13" x14ac:dyDescent="0.3">
      <c r="A1548">
        <v>1547</v>
      </c>
      <c r="B1548" t="s">
        <v>2208</v>
      </c>
      <c r="C1548" s="3">
        <v>94388</v>
      </c>
      <c r="D1548" t="s">
        <v>666</v>
      </c>
      <c r="E1548">
        <v>34</v>
      </c>
      <c r="F1548" s="1">
        <v>45513</v>
      </c>
      <c r="G1548" s="1" t="str">
        <f>TEXT(Table1[[#This Row],[Enrollment date]], "mmm")</f>
        <v>Aug</v>
      </c>
      <c r="H1548" t="s">
        <v>360</v>
      </c>
      <c r="I1548" t="s">
        <v>660</v>
      </c>
      <c r="J1548" t="str">
        <f>_xlfn.XLOOKUP(Table1[[#This Row],[Course ]], CCF!B:B, CCF!A:A)</f>
        <v>DM101</v>
      </c>
      <c r="K1548" t="s">
        <v>365</v>
      </c>
      <c r="L1548">
        <f>_xlfn.XLOOKUP(K1548, CCF!B:B, CCF!C:C)</f>
        <v>85499</v>
      </c>
      <c r="M1548" t="s">
        <v>17</v>
      </c>
    </row>
    <row r="1549" spans="1:13" x14ac:dyDescent="0.3">
      <c r="A1549">
        <v>1548</v>
      </c>
      <c r="B1549" t="s">
        <v>2209</v>
      </c>
      <c r="C1549" s="3">
        <v>42326</v>
      </c>
      <c r="D1549" t="s">
        <v>666</v>
      </c>
      <c r="E1549">
        <v>26</v>
      </c>
      <c r="F1549" s="1">
        <v>45513</v>
      </c>
      <c r="G1549" s="1" t="str">
        <f>TEXT(Table1[[#This Row],[Enrollment date]], "mmm")</f>
        <v>Aug</v>
      </c>
      <c r="H1549" t="s">
        <v>360</v>
      </c>
      <c r="I1549" t="s">
        <v>659</v>
      </c>
      <c r="J1549" t="str">
        <f>_xlfn.XLOOKUP(Table1[[#This Row],[Course ]], CCF!B:B, CCF!A:A)</f>
        <v>BA301</v>
      </c>
      <c r="K1549" t="s">
        <v>364</v>
      </c>
      <c r="L1549">
        <f>_xlfn.XLOOKUP(K1549, CCF!B:B, CCF!C:C)</f>
        <v>59999</v>
      </c>
      <c r="M1549" t="s">
        <v>18</v>
      </c>
    </row>
    <row r="1550" spans="1:13" x14ac:dyDescent="0.3">
      <c r="A1550">
        <v>1549</v>
      </c>
      <c r="B1550" t="s">
        <v>2210</v>
      </c>
      <c r="C1550" s="3">
        <v>11079</v>
      </c>
      <c r="D1550" t="s">
        <v>667</v>
      </c>
      <c r="E1550">
        <v>49</v>
      </c>
      <c r="F1550" s="1">
        <v>45513</v>
      </c>
      <c r="G1550" s="1" t="str">
        <f>TEXT(Table1[[#This Row],[Enrollment date]], "mmm")</f>
        <v>Aug</v>
      </c>
      <c r="H1550" t="s">
        <v>360</v>
      </c>
      <c r="I1550" t="s">
        <v>659</v>
      </c>
      <c r="J1550" t="str">
        <f>_xlfn.XLOOKUP(Table1[[#This Row],[Course ]], CCF!B:B, CCF!A:A)</f>
        <v>DM101</v>
      </c>
      <c r="K1550" t="s">
        <v>365</v>
      </c>
      <c r="L1550">
        <f>_xlfn.XLOOKUP(K1550, CCF!B:B, CCF!C:C)</f>
        <v>85499</v>
      </c>
      <c r="M1550" t="s">
        <v>484</v>
      </c>
    </row>
    <row r="1551" spans="1:13" x14ac:dyDescent="0.3">
      <c r="A1551">
        <v>1550</v>
      </c>
      <c r="B1551" t="s">
        <v>2211</v>
      </c>
      <c r="C1551" s="3">
        <v>16745</v>
      </c>
      <c r="D1551" t="s">
        <v>666</v>
      </c>
      <c r="E1551">
        <v>37</v>
      </c>
      <c r="F1551" s="1">
        <v>45514</v>
      </c>
      <c r="G1551" s="1" t="str">
        <f>TEXT(Table1[[#This Row],[Enrollment date]], "mmm")</f>
        <v>Aug</v>
      </c>
      <c r="H1551" t="s">
        <v>360</v>
      </c>
      <c r="I1551" t="s">
        <v>659</v>
      </c>
      <c r="J1551" t="str">
        <f>_xlfn.XLOOKUP(Table1[[#This Row],[Course ]], CCF!B:B, CCF!A:A)</f>
        <v>DA202</v>
      </c>
      <c r="K1551" t="s">
        <v>363</v>
      </c>
      <c r="L1551">
        <f>_xlfn.XLOOKUP(K1551, CCF!B:B, CCF!C:C)</f>
        <v>79999</v>
      </c>
      <c r="M1551" t="s">
        <v>60</v>
      </c>
    </row>
    <row r="1552" spans="1:13" x14ac:dyDescent="0.3">
      <c r="A1552">
        <v>1551</v>
      </c>
      <c r="B1552" t="s">
        <v>2212</v>
      </c>
      <c r="C1552" s="3">
        <v>47446</v>
      </c>
      <c r="D1552" t="s">
        <v>667</v>
      </c>
      <c r="E1552">
        <v>31</v>
      </c>
      <c r="F1552" s="1">
        <v>45514</v>
      </c>
      <c r="G1552" s="1" t="str">
        <f>TEXT(Table1[[#This Row],[Enrollment date]], "mmm")</f>
        <v>Aug</v>
      </c>
      <c r="H1552" t="s">
        <v>360</v>
      </c>
      <c r="I1552" t="s">
        <v>660</v>
      </c>
      <c r="J1552" t="str">
        <f>_xlfn.XLOOKUP(Table1[[#This Row],[Course ]], CCF!B:B, CCF!A:A)</f>
        <v>DM101</v>
      </c>
      <c r="K1552" t="s">
        <v>365</v>
      </c>
      <c r="L1552">
        <f>_xlfn.XLOOKUP(K1552, CCF!B:B, CCF!C:C)</f>
        <v>85499</v>
      </c>
      <c r="M1552" t="s">
        <v>236</v>
      </c>
    </row>
    <row r="1553" spans="1:13" x14ac:dyDescent="0.3">
      <c r="A1553">
        <v>1552</v>
      </c>
      <c r="B1553" t="s">
        <v>2213</v>
      </c>
      <c r="C1553" s="3">
        <v>74703</v>
      </c>
      <c r="D1553" t="s">
        <v>666</v>
      </c>
      <c r="E1553">
        <v>18</v>
      </c>
      <c r="F1553" s="1">
        <v>45514</v>
      </c>
      <c r="G1553" s="1" t="str">
        <f>TEXT(Table1[[#This Row],[Enrollment date]], "mmm")</f>
        <v>Aug</v>
      </c>
      <c r="H1553" t="s">
        <v>360</v>
      </c>
      <c r="I1553" t="s">
        <v>660</v>
      </c>
      <c r="J1553" t="str">
        <f>_xlfn.XLOOKUP(Table1[[#This Row],[Course ]], CCF!B:B, CCF!A:A)</f>
        <v>DA202</v>
      </c>
      <c r="K1553" t="s">
        <v>363</v>
      </c>
      <c r="L1553">
        <f>_xlfn.XLOOKUP(K1553, CCF!B:B, CCF!C:C)</f>
        <v>79999</v>
      </c>
      <c r="M1553" t="s">
        <v>27</v>
      </c>
    </row>
    <row r="1554" spans="1:13" x14ac:dyDescent="0.3">
      <c r="A1554">
        <v>1553</v>
      </c>
      <c r="B1554" t="s">
        <v>2214</v>
      </c>
      <c r="C1554" s="3">
        <v>55338</v>
      </c>
      <c r="D1554" t="s">
        <v>666</v>
      </c>
      <c r="E1554">
        <v>18</v>
      </c>
      <c r="F1554" s="1">
        <v>45514</v>
      </c>
      <c r="G1554" s="1" t="str">
        <f>TEXT(Table1[[#This Row],[Enrollment date]], "mmm")</f>
        <v>Aug</v>
      </c>
      <c r="H1554" t="s">
        <v>360</v>
      </c>
      <c r="I1554" t="s">
        <v>660</v>
      </c>
      <c r="J1554" t="str">
        <f>_xlfn.XLOOKUP(Table1[[#This Row],[Course ]], CCF!B:B, CCF!A:A)</f>
        <v>DA202</v>
      </c>
      <c r="K1554" t="s">
        <v>363</v>
      </c>
      <c r="L1554">
        <f>_xlfn.XLOOKUP(K1554, CCF!B:B, CCF!C:C)</f>
        <v>79999</v>
      </c>
      <c r="M1554" t="s">
        <v>20</v>
      </c>
    </row>
    <row r="1555" spans="1:13" x14ac:dyDescent="0.3">
      <c r="A1555">
        <v>1554</v>
      </c>
      <c r="B1555" t="s">
        <v>2215</v>
      </c>
      <c r="C1555" s="3">
        <v>26185</v>
      </c>
      <c r="D1555" t="s">
        <v>666</v>
      </c>
      <c r="E1555">
        <v>20</v>
      </c>
      <c r="F1555" s="1">
        <v>45514</v>
      </c>
      <c r="G1555" s="1" t="str">
        <f>TEXT(Table1[[#This Row],[Enrollment date]], "mmm")</f>
        <v>Aug</v>
      </c>
      <c r="H1555" t="s">
        <v>360</v>
      </c>
      <c r="I1555" t="s">
        <v>660</v>
      </c>
      <c r="J1555" t="str">
        <f>_xlfn.XLOOKUP(Table1[[#This Row],[Course ]], CCF!B:B, CCF!A:A)</f>
        <v>DA202</v>
      </c>
      <c r="K1555" t="s">
        <v>363</v>
      </c>
      <c r="L1555">
        <f>_xlfn.XLOOKUP(K1555, CCF!B:B, CCF!C:C)</f>
        <v>79999</v>
      </c>
      <c r="M1555" t="s">
        <v>11</v>
      </c>
    </row>
    <row r="1556" spans="1:13" x14ac:dyDescent="0.3">
      <c r="A1556">
        <v>1555</v>
      </c>
      <c r="B1556" t="s">
        <v>2216</v>
      </c>
      <c r="C1556" s="3">
        <v>23033</v>
      </c>
      <c r="D1556" t="s">
        <v>667</v>
      </c>
      <c r="E1556">
        <v>53</v>
      </c>
      <c r="F1556" s="1">
        <v>45514</v>
      </c>
      <c r="G1556" s="1" t="str">
        <f>TEXT(Table1[[#This Row],[Enrollment date]], "mmm")</f>
        <v>Aug</v>
      </c>
      <c r="H1556" t="s">
        <v>360</v>
      </c>
      <c r="I1556" t="s">
        <v>659</v>
      </c>
      <c r="J1556" t="str">
        <f>_xlfn.XLOOKUP(Table1[[#This Row],[Course ]], CCF!B:B, CCF!A:A)</f>
        <v>AI001</v>
      </c>
      <c r="K1556" t="s">
        <v>368</v>
      </c>
      <c r="L1556">
        <f>_xlfn.XLOOKUP(K1556, CCF!B:B, CCF!C:C)</f>
        <v>119990</v>
      </c>
      <c r="M1556" t="s">
        <v>568</v>
      </c>
    </row>
    <row r="1557" spans="1:13" x14ac:dyDescent="0.3">
      <c r="A1557">
        <v>1556</v>
      </c>
      <c r="B1557" t="s">
        <v>2217</v>
      </c>
      <c r="C1557" s="3">
        <v>78747</v>
      </c>
      <c r="D1557" t="s">
        <v>666</v>
      </c>
      <c r="E1557">
        <v>45</v>
      </c>
      <c r="F1557" s="1">
        <v>45514</v>
      </c>
      <c r="G1557" s="1" t="str">
        <f>TEXT(Table1[[#This Row],[Enrollment date]], "mmm")</f>
        <v>Aug</v>
      </c>
      <c r="H1557" t="s">
        <v>360</v>
      </c>
      <c r="I1557" t="s">
        <v>660</v>
      </c>
      <c r="J1557" t="str">
        <f>_xlfn.XLOOKUP(Table1[[#This Row],[Course ]], CCF!B:B, CCF!A:A)</f>
        <v>DM101</v>
      </c>
      <c r="K1557" t="s">
        <v>365</v>
      </c>
      <c r="L1557">
        <f>_xlfn.XLOOKUP(K1557, CCF!B:B, CCF!C:C)</f>
        <v>85499</v>
      </c>
      <c r="M1557" t="s">
        <v>9</v>
      </c>
    </row>
    <row r="1558" spans="1:13" x14ac:dyDescent="0.3">
      <c r="A1558">
        <v>1557</v>
      </c>
      <c r="B1558" t="s">
        <v>2218</v>
      </c>
      <c r="C1558" s="3">
        <v>63008</v>
      </c>
      <c r="D1558" t="s">
        <v>666</v>
      </c>
      <c r="E1558">
        <v>60</v>
      </c>
      <c r="F1558" s="1">
        <v>45514</v>
      </c>
      <c r="G1558" s="1" t="str">
        <f>TEXT(Table1[[#This Row],[Enrollment date]], "mmm")</f>
        <v>Aug</v>
      </c>
      <c r="H1558" t="s">
        <v>360</v>
      </c>
      <c r="I1558" t="s">
        <v>661</v>
      </c>
      <c r="J1558" t="str">
        <f>_xlfn.XLOOKUP(Table1[[#This Row],[Course ]], CCF!B:B, CCF!A:A)</f>
        <v>DM101</v>
      </c>
      <c r="K1558" t="s">
        <v>365</v>
      </c>
      <c r="L1558">
        <f>_xlfn.XLOOKUP(K1558, CCF!B:B, CCF!C:C)</f>
        <v>85499</v>
      </c>
      <c r="M1558" t="s">
        <v>18</v>
      </c>
    </row>
    <row r="1559" spans="1:13" x14ac:dyDescent="0.3">
      <c r="A1559">
        <v>1558</v>
      </c>
      <c r="B1559" t="s">
        <v>2219</v>
      </c>
      <c r="C1559" s="3">
        <v>49950</v>
      </c>
      <c r="D1559" t="s">
        <v>666</v>
      </c>
      <c r="E1559">
        <v>23</v>
      </c>
      <c r="F1559" s="1">
        <v>45514</v>
      </c>
      <c r="G1559" s="1" t="str">
        <f>TEXT(Table1[[#This Row],[Enrollment date]], "mmm")</f>
        <v>Aug</v>
      </c>
      <c r="H1559" t="s">
        <v>3</v>
      </c>
      <c r="I1559" t="s">
        <v>661</v>
      </c>
      <c r="J1559" t="str">
        <f>_xlfn.XLOOKUP(Table1[[#This Row],[Course ]], CCF!B:B, CCF!A:A)</f>
        <v>UX401</v>
      </c>
      <c r="K1559" t="s">
        <v>367</v>
      </c>
      <c r="L1559">
        <f>_xlfn.XLOOKUP(K1559, CCF!B:B, CCF!C:C)</f>
        <v>67990</v>
      </c>
      <c r="M1559" t="s">
        <v>137</v>
      </c>
    </row>
    <row r="1560" spans="1:13" x14ac:dyDescent="0.3">
      <c r="A1560">
        <v>1559</v>
      </c>
      <c r="B1560" t="s">
        <v>2220</v>
      </c>
      <c r="C1560" s="3">
        <v>19350</v>
      </c>
      <c r="D1560" t="s">
        <v>666</v>
      </c>
      <c r="E1560">
        <v>61</v>
      </c>
      <c r="F1560" s="1">
        <v>45515</v>
      </c>
      <c r="G1560" s="1" t="str">
        <f>TEXT(Table1[[#This Row],[Enrollment date]], "mmm")</f>
        <v>Aug</v>
      </c>
      <c r="H1560" t="s">
        <v>360</v>
      </c>
      <c r="I1560" t="s">
        <v>659</v>
      </c>
      <c r="J1560" t="str">
        <f>_xlfn.XLOOKUP(Table1[[#This Row],[Course ]], CCF!B:B, CCF!A:A)</f>
        <v>DA202</v>
      </c>
      <c r="K1560" t="s">
        <v>363</v>
      </c>
      <c r="L1560">
        <f>_xlfn.XLOOKUP(K1560, CCF!B:B, CCF!C:C)</f>
        <v>79999</v>
      </c>
      <c r="M1560" t="s">
        <v>6</v>
      </c>
    </row>
    <row r="1561" spans="1:13" x14ac:dyDescent="0.3">
      <c r="A1561">
        <v>1560</v>
      </c>
      <c r="B1561" t="s">
        <v>2221</v>
      </c>
      <c r="C1561" s="3">
        <v>23388</v>
      </c>
      <c r="D1561" t="s">
        <v>666</v>
      </c>
      <c r="E1561">
        <v>72</v>
      </c>
      <c r="F1561" s="1">
        <v>45515</v>
      </c>
      <c r="G1561" s="1" t="str">
        <f>TEXT(Table1[[#This Row],[Enrollment date]], "mmm")</f>
        <v>Aug</v>
      </c>
      <c r="H1561" t="s">
        <v>360</v>
      </c>
      <c r="I1561" t="s">
        <v>661</v>
      </c>
      <c r="J1561" t="str">
        <f>_xlfn.XLOOKUP(Table1[[#This Row],[Course ]], CCF!B:B, CCF!A:A)</f>
        <v>DA202</v>
      </c>
      <c r="K1561" t="s">
        <v>363</v>
      </c>
      <c r="L1561">
        <f>_xlfn.XLOOKUP(K1561, CCF!B:B, CCF!C:C)</f>
        <v>79999</v>
      </c>
      <c r="M1561" t="s">
        <v>271</v>
      </c>
    </row>
    <row r="1562" spans="1:13" x14ac:dyDescent="0.3">
      <c r="A1562">
        <v>1561</v>
      </c>
      <c r="B1562" t="s">
        <v>2222</v>
      </c>
      <c r="C1562" s="3">
        <v>81164</v>
      </c>
      <c r="D1562" t="s">
        <v>666</v>
      </c>
      <c r="E1562">
        <v>33</v>
      </c>
      <c r="F1562" s="1">
        <v>45516</v>
      </c>
      <c r="G1562" s="1" t="str">
        <f>TEXT(Table1[[#This Row],[Enrollment date]], "mmm")</f>
        <v>Aug</v>
      </c>
      <c r="H1562" t="s">
        <v>360</v>
      </c>
      <c r="I1562" t="s">
        <v>662</v>
      </c>
      <c r="J1562" t="str">
        <f>_xlfn.XLOOKUP(Table1[[#This Row],[Course ]], CCF!B:B, CCF!A:A)</f>
        <v>DM101</v>
      </c>
      <c r="K1562" t="s">
        <v>365</v>
      </c>
      <c r="L1562">
        <f>_xlfn.XLOOKUP(K1562, CCF!B:B, CCF!C:C)</f>
        <v>85499</v>
      </c>
      <c r="M1562" t="s">
        <v>297</v>
      </c>
    </row>
    <row r="1563" spans="1:13" x14ac:dyDescent="0.3">
      <c r="A1563">
        <v>1562</v>
      </c>
      <c r="B1563" t="s">
        <v>2223</v>
      </c>
      <c r="C1563" s="3">
        <v>18344</v>
      </c>
      <c r="D1563" t="s">
        <v>667</v>
      </c>
      <c r="E1563">
        <v>77</v>
      </c>
      <c r="F1563" s="1">
        <v>45516</v>
      </c>
      <c r="G1563" s="1" t="str">
        <f>TEXT(Table1[[#This Row],[Enrollment date]], "mmm")</f>
        <v>Aug</v>
      </c>
      <c r="H1563" t="s">
        <v>360</v>
      </c>
      <c r="I1563" t="s">
        <v>660</v>
      </c>
      <c r="J1563" t="str">
        <f>_xlfn.XLOOKUP(Table1[[#This Row],[Course ]], CCF!B:B, CCF!A:A)</f>
        <v>UX401</v>
      </c>
      <c r="K1563" t="s">
        <v>367</v>
      </c>
      <c r="L1563">
        <f>_xlfn.XLOOKUP(K1563, CCF!B:B, CCF!C:C)</f>
        <v>67990</v>
      </c>
      <c r="M1563" t="s">
        <v>16</v>
      </c>
    </row>
    <row r="1564" spans="1:13" x14ac:dyDescent="0.3">
      <c r="A1564">
        <v>1563</v>
      </c>
      <c r="B1564" t="s">
        <v>2224</v>
      </c>
      <c r="C1564" s="3">
        <v>56095</v>
      </c>
      <c r="D1564" t="s">
        <v>667</v>
      </c>
      <c r="E1564">
        <v>44</v>
      </c>
      <c r="F1564" s="1">
        <v>45516</v>
      </c>
      <c r="G1564" s="1" t="str">
        <f>TEXT(Table1[[#This Row],[Enrollment date]], "mmm")</f>
        <v>Aug</v>
      </c>
      <c r="H1564" t="s">
        <v>360</v>
      </c>
      <c r="I1564" t="s">
        <v>660</v>
      </c>
      <c r="J1564" t="str">
        <f>_xlfn.XLOOKUP(Table1[[#This Row],[Course ]], CCF!B:B, CCF!A:A)</f>
        <v>DA202</v>
      </c>
      <c r="K1564" t="s">
        <v>363</v>
      </c>
      <c r="L1564">
        <f>_xlfn.XLOOKUP(K1564, CCF!B:B, CCF!C:C)</f>
        <v>79999</v>
      </c>
      <c r="M1564" t="s">
        <v>27</v>
      </c>
    </row>
    <row r="1565" spans="1:13" x14ac:dyDescent="0.3">
      <c r="A1565">
        <v>1564</v>
      </c>
      <c r="B1565" t="s">
        <v>2225</v>
      </c>
      <c r="C1565" s="3">
        <v>41458</v>
      </c>
      <c r="D1565" t="s">
        <v>666</v>
      </c>
      <c r="E1565">
        <v>28</v>
      </c>
      <c r="F1565" s="1">
        <v>45516</v>
      </c>
      <c r="G1565" s="1" t="str">
        <f>TEXT(Table1[[#This Row],[Enrollment date]], "mmm")</f>
        <v>Aug</v>
      </c>
      <c r="H1565" t="s">
        <v>360</v>
      </c>
      <c r="I1565" t="s">
        <v>660</v>
      </c>
      <c r="J1565" t="str">
        <f>_xlfn.XLOOKUP(Table1[[#This Row],[Course ]], CCF!B:B, CCF!A:A)</f>
        <v>FSD103</v>
      </c>
      <c r="K1565" t="s">
        <v>366</v>
      </c>
      <c r="L1565">
        <f>_xlfn.XLOOKUP(K1565, CCF!B:B, CCF!C:C)</f>
        <v>109990</v>
      </c>
      <c r="M1565" t="s">
        <v>9</v>
      </c>
    </row>
    <row r="1566" spans="1:13" x14ac:dyDescent="0.3">
      <c r="A1566">
        <v>1565</v>
      </c>
      <c r="B1566" t="s">
        <v>2226</v>
      </c>
      <c r="C1566" s="3">
        <v>88539</v>
      </c>
      <c r="D1566" t="s">
        <v>666</v>
      </c>
      <c r="E1566">
        <v>76</v>
      </c>
      <c r="F1566" s="1">
        <v>45516</v>
      </c>
      <c r="G1566" s="1" t="str">
        <f>TEXT(Table1[[#This Row],[Enrollment date]], "mmm")</f>
        <v>Aug</v>
      </c>
      <c r="H1566" t="s">
        <v>360</v>
      </c>
      <c r="I1566" t="s">
        <v>659</v>
      </c>
      <c r="J1566" t="str">
        <f>_xlfn.XLOOKUP(Table1[[#This Row],[Course ]], CCF!B:B, CCF!A:A)</f>
        <v>DA202</v>
      </c>
      <c r="K1566" t="s">
        <v>363</v>
      </c>
      <c r="L1566">
        <f>_xlfn.XLOOKUP(K1566, CCF!B:B, CCF!C:C)</f>
        <v>79999</v>
      </c>
      <c r="M1566" t="s">
        <v>569</v>
      </c>
    </row>
    <row r="1567" spans="1:13" x14ac:dyDescent="0.3">
      <c r="A1567">
        <v>1566</v>
      </c>
      <c r="B1567" t="s">
        <v>2227</v>
      </c>
      <c r="C1567" s="3">
        <v>85706</v>
      </c>
      <c r="D1567" t="s">
        <v>666</v>
      </c>
      <c r="E1567">
        <v>78</v>
      </c>
      <c r="F1567" s="1">
        <v>45516</v>
      </c>
      <c r="G1567" s="1" t="str">
        <f>TEXT(Table1[[#This Row],[Enrollment date]], "mmm")</f>
        <v>Aug</v>
      </c>
      <c r="H1567" t="s">
        <v>360</v>
      </c>
      <c r="I1567" t="s">
        <v>662</v>
      </c>
      <c r="J1567" t="str">
        <f>_xlfn.XLOOKUP(Table1[[#This Row],[Course ]], CCF!B:B, CCF!A:A)</f>
        <v>DA202</v>
      </c>
      <c r="K1567" t="s">
        <v>363</v>
      </c>
      <c r="L1567">
        <f>_xlfn.XLOOKUP(K1567, CCF!B:B, CCF!C:C)</f>
        <v>79999</v>
      </c>
      <c r="M1567" t="s">
        <v>232</v>
      </c>
    </row>
    <row r="1568" spans="1:13" x14ac:dyDescent="0.3">
      <c r="A1568">
        <v>1567</v>
      </c>
      <c r="B1568" t="s">
        <v>2228</v>
      </c>
      <c r="C1568" s="3">
        <v>69631</v>
      </c>
      <c r="D1568" t="s">
        <v>666</v>
      </c>
      <c r="E1568">
        <v>42</v>
      </c>
      <c r="F1568" s="1">
        <v>45516</v>
      </c>
      <c r="G1568" s="1" t="str">
        <f>TEXT(Table1[[#This Row],[Enrollment date]], "mmm")</f>
        <v>Aug</v>
      </c>
      <c r="H1568" t="s">
        <v>360</v>
      </c>
      <c r="I1568" t="s">
        <v>662</v>
      </c>
      <c r="J1568" t="str">
        <f>_xlfn.XLOOKUP(Table1[[#This Row],[Course ]], CCF!B:B, CCF!A:A)</f>
        <v>DM101</v>
      </c>
      <c r="K1568" t="s">
        <v>365</v>
      </c>
      <c r="L1568">
        <f>_xlfn.XLOOKUP(K1568, CCF!B:B, CCF!C:C)</f>
        <v>85499</v>
      </c>
      <c r="M1568" t="s">
        <v>20</v>
      </c>
    </row>
    <row r="1569" spans="1:13" x14ac:dyDescent="0.3">
      <c r="A1569">
        <v>1568</v>
      </c>
      <c r="B1569" t="s">
        <v>2229</v>
      </c>
      <c r="C1569" s="3">
        <v>61451</v>
      </c>
      <c r="D1569" t="s">
        <v>667</v>
      </c>
      <c r="E1569">
        <v>25</v>
      </c>
      <c r="F1569" s="1">
        <v>45516</v>
      </c>
      <c r="G1569" s="1" t="str">
        <f>TEXT(Table1[[#This Row],[Enrollment date]], "mmm")</f>
        <v>Aug</v>
      </c>
      <c r="H1569" t="s">
        <v>360</v>
      </c>
      <c r="I1569" t="s">
        <v>659</v>
      </c>
      <c r="J1569" t="str">
        <f>_xlfn.XLOOKUP(Table1[[#This Row],[Course ]], CCF!B:B, CCF!A:A)</f>
        <v>DM101</v>
      </c>
      <c r="K1569" t="s">
        <v>365</v>
      </c>
      <c r="L1569">
        <f>_xlfn.XLOOKUP(K1569, CCF!B:B, CCF!C:C)</f>
        <v>85499</v>
      </c>
      <c r="M1569" t="s">
        <v>9</v>
      </c>
    </row>
    <row r="1570" spans="1:13" x14ac:dyDescent="0.3">
      <c r="A1570">
        <v>1569</v>
      </c>
      <c r="B1570" t="s">
        <v>2230</v>
      </c>
      <c r="C1570" s="3">
        <v>56029</v>
      </c>
      <c r="D1570" t="s">
        <v>666</v>
      </c>
      <c r="E1570">
        <v>42</v>
      </c>
      <c r="F1570" s="1">
        <v>45516</v>
      </c>
      <c r="G1570" s="1" t="str">
        <f>TEXT(Table1[[#This Row],[Enrollment date]], "mmm")</f>
        <v>Aug</v>
      </c>
      <c r="H1570" t="s">
        <v>360</v>
      </c>
      <c r="I1570" t="s">
        <v>659</v>
      </c>
      <c r="J1570" t="str">
        <f>_xlfn.XLOOKUP(Table1[[#This Row],[Course ]], CCF!B:B, CCF!A:A)</f>
        <v>DM101</v>
      </c>
      <c r="K1570" t="s">
        <v>365</v>
      </c>
      <c r="L1570">
        <f>_xlfn.XLOOKUP(K1570, CCF!B:B, CCF!C:C)</f>
        <v>85499</v>
      </c>
      <c r="M1570" t="s">
        <v>4</v>
      </c>
    </row>
    <row r="1571" spans="1:13" x14ac:dyDescent="0.3">
      <c r="A1571">
        <v>1570</v>
      </c>
      <c r="B1571" t="s">
        <v>2231</v>
      </c>
      <c r="C1571" s="3">
        <v>98772</v>
      </c>
      <c r="D1571" t="s">
        <v>666</v>
      </c>
      <c r="E1571">
        <v>71</v>
      </c>
      <c r="F1571" s="1">
        <v>45517</v>
      </c>
      <c r="G1571" s="1" t="str">
        <f>TEXT(Table1[[#This Row],[Enrollment date]], "mmm")</f>
        <v>Aug</v>
      </c>
      <c r="H1571" t="s">
        <v>360</v>
      </c>
      <c r="I1571" t="s">
        <v>660</v>
      </c>
      <c r="J1571" t="str">
        <f>_xlfn.XLOOKUP(Table1[[#This Row],[Course ]], CCF!B:B, CCF!A:A)</f>
        <v>BA301</v>
      </c>
      <c r="K1571" t="s">
        <v>364</v>
      </c>
      <c r="L1571">
        <f>_xlfn.XLOOKUP(K1571, CCF!B:B, CCF!C:C)</f>
        <v>59999</v>
      </c>
      <c r="M1571" t="s">
        <v>300</v>
      </c>
    </row>
    <row r="1572" spans="1:13" x14ac:dyDescent="0.3">
      <c r="A1572">
        <v>1571</v>
      </c>
      <c r="B1572" t="s">
        <v>2232</v>
      </c>
      <c r="C1572" s="3">
        <v>34055</v>
      </c>
      <c r="D1572" t="s">
        <v>666</v>
      </c>
      <c r="E1572">
        <v>23</v>
      </c>
      <c r="F1572" s="1">
        <v>45517</v>
      </c>
      <c r="G1572" s="1" t="str">
        <f>TEXT(Table1[[#This Row],[Enrollment date]], "mmm")</f>
        <v>Aug</v>
      </c>
      <c r="H1572" t="s">
        <v>360</v>
      </c>
      <c r="I1572" t="s">
        <v>660</v>
      </c>
      <c r="J1572" t="str">
        <f>_xlfn.XLOOKUP(Table1[[#This Row],[Course ]], CCF!B:B, CCF!A:A)</f>
        <v>DM101</v>
      </c>
      <c r="K1572" t="s">
        <v>365</v>
      </c>
      <c r="L1572">
        <f>_xlfn.XLOOKUP(K1572, CCF!B:B, CCF!C:C)</f>
        <v>85499</v>
      </c>
      <c r="M1572" t="s">
        <v>45</v>
      </c>
    </row>
    <row r="1573" spans="1:13" x14ac:dyDescent="0.3">
      <c r="A1573">
        <v>1572</v>
      </c>
      <c r="B1573" t="s">
        <v>2233</v>
      </c>
      <c r="C1573" s="3">
        <v>47553</v>
      </c>
      <c r="D1573" t="s">
        <v>666</v>
      </c>
      <c r="E1573">
        <v>39</v>
      </c>
      <c r="F1573" s="1">
        <v>45517</v>
      </c>
      <c r="G1573" s="1" t="str">
        <f>TEXT(Table1[[#This Row],[Enrollment date]], "mmm")</f>
        <v>Aug</v>
      </c>
      <c r="H1573" t="s">
        <v>360</v>
      </c>
      <c r="I1573" t="s">
        <v>660</v>
      </c>
      <c r="J1573" t="str">
        <f>_xlfn.XLOOKUP(Table1[[#This Row],[Course ]], CCF!B:B, CCF!A:A)</f>
        <v>BA301</v>
      </c>
      <c r="K1573" t="s">
        <v>364</v>
      </c>
      <c r="L1573">
        <f>_xlfn.XLOOKUP(K1573, CCF!B:B, CCF!C:C)</f>
        <v>59999</v>
      </c>
      <c r="M1573" t="s">
        <v>9</v>
      </c>
    </row>
    <row r="1574" spans="1:13" x14ac:dyDescent="0.3">
      <c r="A1574">
        <v>1573</v>
      </c>
      <c r="B1574" t="s">
        <v>2234</v>
      </c>
      <c r="C1574" s="3">
        <v>49648</v>
      </c>
      <c r="D1574" t="s">
        <v>666</v>
      </c>
      <c r="E1574">
        <v>31</v>
      </c>
      <c r="F1574" s="1">
        <v>45517</v>
      </c>
      <c r="G1574" s="1" t="str">
        <f>TEXT(Table1[[#This Row],[Enrollment date]], "mmm")</f>
        <v>Aug</v>
      </c>
      <c r="H1574" t="s">
        <v>360</v>
      </c>
      <c r="I1574" t="s">
        <v>660</v>
      </c>
      <c r="J1574" t="str">
        <f>_xlfn.XLOOKUP(Table1[[#This Row],[Course ]], CCF!B:B, CCF!A:A)</f>
        <v>BA301</v>
      </c>
      <c r="K1574" t="s">
        <v>364</v>
      </c>
      <c r="L1574">
        <f>_xlfn.XLOOKUP(K1574, CCF!B:B, CCF!C:C)</f>
        <v>59999</v>
      </c>
      <c r="M1574" t="s">
        <v>20</v>
      </c>
    </row>
    <row r="1575" spans="1:13" x14ac:dyDescent="0.3">
      <c r="A1575">
        <v>1574</v>
      </c>
      <c r="B1575" t="s">
        <v>2235</v>
      </c>
      <c r="C1575" s="3">
        <v>94986</v>
      </c>
      <c r="D1575" t="s">
        <v>666</v>
      </c>
      <c r="E1575">
        <v>69</v>
      </c>
      <c r="F1575" s="1">
        <v>45517</v>
      </c>
      <c r="G1575" s="1" t="str">
        <f>TEXT(Table1[[#This Row],[Enrollment date]], "mmm")</f>
        <v>Aug</v>
      </c>
      <c r="H1575" t="s">
        <v>360</v>
      </c>
      <c r="I1575" t="s">
        <v>660</v>
      </c>
      <c r="J1575" t="str">
        <f>_xlfn.XLOOKUP(Table1[[#This Row],[Course ]], CCF!B:B, CCF!A:A)</f>
        <v>DM101</v>
      </c>
      <c r="K1575" t="s">
        <v>365</v>
      </c>
      <c r="L1575">
        <f>_xlfn.XLOOKUP(K1575, CCF!B:B, CCF!C:C)</f>
        <v>85499</v>
      </c>
      <c r="M1575" t="s">
        <v>81</v>
      </c>
    </row>
    <row r="1576" spans="1:13" x14ac:dyDescent="0.3">
      <c r="A1576">
        <v>1575</v>
      </c>
      <c r="B1576" t="s">
        <v>2236</v>
      </c>
      <c r="C1576" s="3">
        <v>99851</v>
      </c>
      <c r="D1576" t="s">
        <v>666</v>
      </c>
      <c r="E1576">
        <v>47</v>
      </c>
      <c r="F1576" s="1">
        <v>45517</v>
      </c>
      <c r="G1576" s="1" t="str">
        <f>TEXT(Table1[[#This Row],[Enrollment date]], "mmm")</f>
        <v>Aug</v>
      </c>
      <c r="H1576" t="s">
        <v>360</v>
      </c>
      <c r="I1576" t="s">
        <v>661</v>
      </c>
      <c r="J1576" t="str">
        <f>_xlfn.XLOOKUP(Table1[[#This Row],[Course ]], CCF!B:B, CCF!A:A)</f>
        <v>DM101</v>
      </c>
      <c r="K1576" t="s">
        <v>365</v>
      </c>
      <c r="L1576">
        <f>_xlfn.XLOOKUP(K1576, CCF!B:B, CCF!C:C)</f>
        <v>85499</v>
      </c>
      <c r="M1576" t="s">
        <v>16</v>
      </c>
    </row>
    <row r="1577" spans="1:13" x14ac:dyDescent="0.3">
      <c r="A1577">
        <v>1576</v>
      </c>
      <c r="B1577" t="s">
        <v>2237</v>
      </c>
      <c r="C1577" s="3">
        <v>71373</v>
      </c>
      <c r="D1577" t="s">
        <v>666</v>
      </c>
      <c r="E1577">
        <v>72</v>
      </c>
      <c r="F1577" s="1">
        <v>45517</v>
      </c>
      <c r="G1577" s="1" t="str">
        <f>TEXT(Table1[[#This Row],[Enrollment date]], "mmm")</f>
        <v>Aug</v>
      </c>
      <c r="H1577" t="s">
        <v>360</v>
      </c>
      <c r="I1577" t="s">
        <v>665</v>
      </c>
      <c r="J1577" t="str">
        <f>_xlfn.XLOOKUP(Table1[[#This Row],[Course ]], CCF!B:B, CCF!A:A)</f>
        <v>DA202</v>
      </c>
      <c r="K1577" t="s">
        <v>363</v>
      </c>
      <c r="L1577">
        <f>_xlfn.XLOOKUP(K1577, CCF!B:B, CCF!C:C)</f>
        <v>79999</v>
      </c>
      <c r="M1577" t="s">
        <v>144</v>
      </c>
    </row>
    <row r="1578" spans="1:13" x14ac:dyDescent="0.3">
      <c r="A1578">
        <v>1577</v>
      </c>
      <c r="B1578" t="s">
        <v>2238</v>
      </c>
      <c r="C1578" s="3">
        <v>67275</v>
      </c>
      <c r="D1578" t="s">
        <v>667</v>
      </c>
      <c r="E1578">
        <v>27</v>
      </c>
      <c r="F1578" s="1">
        <v>45517</v>
      </c>
      <c r="G1578" s="1" t="str">
        <f>TEXT(Table1[[#This Row],[Enrollment date]], "mmm")</f>
        <v>Aug</v>
      </c>
      <c r="H1578" t="s">
        <v>360</v>
      </c>
      <c r="I1578" t="s">
        <v>659</v>
      </c>
      <c r="J1578" t="str">
        <f>_xlfn.XLOOKUP(Table1[[#This Row],[Course ]], CCF!B:B, CCF!A:A)</f>
        <v>UX401</v>
      </c>
      <c r="K1578" t="s">
        <v>367</v>
      </c>
      <c r="L1578">
        <f>_xlfn.XLOOKUP(K1578, CCF!B:B, CCF!C:C)</f>
        <v>67990</v>
      </c>
      <c r="M1578" t="s">
        <v>50</v>
      </c>
    </row>
    <row r="1579" spans="1:13" x14ac:dyDescent="0.3">
      <c r="A1579">
        <v>1578</v>
      </c>
      <c r="B1579" t="s">
        <v>2239</v>
      </c>
      <c r="C1579" s="3">
        <v>25266</v>
      </c>
      <c r="D1579" t="s">
        <v>666</v>
      </c>
      <c r="E1579">
        <v>31</v>
      </c>
      <c r="F1579" s="1">
        <v>45517</v>
      </c>
      <c r="G1579" s="1" t="str">
        <f>TEXT(Table1[[#This Row],[Enrollment date]], "mmm")</f>
        <v>Aug</v>
      </c>
      <c r="H1579" t="s">
        <v>3</v>
      </c>
      <c r="I1579" t="s">
        <v>660</v>
      </c>
      <c r="J1579" t="str">
        <f>_xlfn.XLOOKUP(Table1[[#This Row],[Course ]], CCF!B:B, CCF!A:A)</f>
        <v>BA301</v>
      </c>
      <c r="K1579" t="s">
        <v>364</v>
      </c>
      <c r="L1579">
        <f>_xlfn.XLOOKUP(K1579, CCF!B:B, CCF!C:C)</f>
        <v>59999</v>
      </c>
      <c r="M1579" t="s">
        <v>189</v>
      </c>
    </row>
    <row r="1580" spans="1:13" x14ac:dyDescent="0.3">
      <c r="A1580">
        <v>1579</v>
      </c>
      <c r="B1580" t="s">
        <v>2240</v>
      </c>
      <c r="C1580" s="3">
        <v>52017</v>
      </c>
      <c r="D1580" t="s">
        <v>666</v>
      </c>
      <c r="E1580">
        <v>20</v>
      </c>
      <c r="F1580" s="1">
        <v>45518</v>
      </c>
      <c r="G1580" s="1" t="str">
        <f>TEXT(Table1[[#This Row],[Enrollment date]], "mmm")</f>
        <v>Aug</v>
      </c>
      <c r="H1580" t="s">
        <v>360</v>
      </c>
      <c r="I1580" t="s">
        <v>660</v>
      </c>
      <c r="J1580" t="str">
        <f>_xlfn.XLOOKUP(Table1[[#This Row],[Course ]], CCF!B:B, CCF!A:A)</f>
        <v>DA202</v>
      </c>
      <c r="K1580" t="s">
        <v>363</v>
      </c>
      <c r="L1580">
        <f>_xlfn.XLOOKUP(K1580, CCF!B:B, CCF!C:C)</f>
        <v>79999</v>
      </c>
      <c r="M1580" t="s">
        <v>60</v>
      </c>
    </row>
    <row r="1581" spans="1:13" x14ac:dyDescent="0.3">
      <c r="A1581">
        <v>1580</v>
      </c>
      <c r="B1581" t="s">
        <v>2241</v>
      </c>
      <c r="C1581" s="3">
        <v>82805</v>
      </c>
      <c r="D1581" t="s">
        <v>666</v>
      </c>
      <c r="E1581">
        <v>36</v>
      </c>
      <c r="F1581" s="1">
        <v>45518</v>
      </c>
      <c r="G1581" s="1" t="str">
        <f>TEXT(Table1[[#This Row],[Enrollment date]], "mmm")</f>
        <v>Aug</v>
      </c>
      <c r="H1581" t="s">
        <v>360</v>
      </c>
      <c r="I1581" t="s">
        <v>661</v>
      </c>
      <c r="J1581" t="str">
        <f>_xlfn.XLOOKUP(Table1[[#This Row],[Course ]], CCF!B:B, CCF!A:A)</f>
        <v>DM101</v>
      </c>
      <c r="K1581" t="s">
        <v>365</v>
      </c>
      <c r="L1581">
        <f>_xlfn.XLOOKUP(K1581, CCF!B:B, CCF!C:C)</f>
        <v>85499</v>
      </c>
      <c r="M1581" t="s">
        <v>48</v>
      </c>
    </row>
    <row r="1582" spans="1:13" x14ac:dyDescent="0.3">
      <c r="A1582">
        <v>1581</v>
      </c>
      <c r="B1582" t="s">
        <v>2242</v>
      </c>
      <c r="C1582" s="3">
        <v>31558</v>
      </c>
      <c r="D1582" t="s">
        <v>667</v>
      </c>
      <c r="E1582">
        <v>29</v>
      </c>
      <c r="F1582" s="1">
        <v>45518</v>
      </c>
      <c r="G1582" s="1" t="str">
        <f>TEXT(Table1[[#This Row],[Enrollment date]], "mmm")</f>
        <v>Aug</v>
      </c>
      <c r="H1582" t="s">
        <v>360</v>
      </c>
      <c r="I1582" t="s">
        <v>664</v>
      </c>
      <c r="J1582" t="str">
        <f>_xlfn.XLOOKUP(Table1[[#This Row],[Course ]], CCF!B:B, CCF!A:A)</f>
        <v>DM101</v>
      </c>
      <c r="K1582" t="s">
        <v>365</v>
      </c>
      <c r="L1582">
        <f>_xlfn.XLOOKUP(K1582, CCF!B:B, CCF!C:C)</f>
        <v>85499</v>
      </c>
      <c r="M1582" t="s">
        <v>172</v>
      </c>
    </row>
    <row r="1583" spans="1:13" x14ac:dyDescent="0.3">
      <c r="A1583">
        <v>1582</v>
      </c>
      <c r="B1583" t="s">
        <v>2243</v>
      </c>
      <c r="C1583" s="3">
        <v>77591</v>
      </c>
      <c r="D1583" t="s">
        <v>666</v>
      </c>
      <c r="E1583">
        <v>34</v>
      </c>
      <c r="F1583" s="1">
        <v>45518</v>
      </c>
      <c r="G1583" s="1" t="str">
        <f>TEXT(Table1[[#This Row],[Enrollment date]], "mmm")</f>
        <v>Aug</v>
      </c>
      <c r="H1583" t="s">
        <v>3</v>
      </c>
      <c r="I1583" t="s">
        <v>661</v>
      </c>
      <c r="J1583" t="str">
        <f>_xlfn.XLOOKUP(Table1[[#This Row],[Course ]], CCF!B:B, CCF!A:A)</f>
        <v>DM101</v>
      </c>
      <c r="K1583" t="s">
        <v>365</v>
      </c>
      <c r="L1583">
        <f>_xlfn.XLOOKUP(K1583, CCF!B:B, CCF!C:C)</f>
        <v>85499</v>
      </c>
      <c r="M1583" t="s">
        <v>570</v>
      </c>
    </row>
    <row r="1584" spans="1:13" x14ac:dyDescent="0.3">
      <c r="A1584">
        <v>1583</v>
      </c>
      <c r="B1584" t="s">
        <v>2244</v>
      </c>
      <c r="C1584" s="3">
        <v>76995</v>
      </c>
      <c r="D1584" t="s">
        <v>666</v>
      </c>
      <c r="E1584">
        <v>44</v>
      </c>
      <c r="F1584" s="1">
        <v>45518</v>
      </c>
      <c r="G1584" s="1" t="str">
        <f>TEXT(Table1[[#This Row],[Enrollment date]], "mmm")</f>
        <v>Aug</v>
      </c>
      <c r="H1584" t="s">
        <v>360</v>
      </c>
      <c r="I1584" t="s">
        <v>661</v>
      </c>
      <c r="J1584" t="str">
        <f>_xlfn.XLOOKUP(Table1[[#This Row],[Course ]], CCF!B:B, CCF!A:A)</f>
        <v>DM101</v>
      </c>
      <c r="K1584" t="s">
        <v>365</v>
      </c>
      <c r="L1584">
        <f>_xlfn.XLOOKUP(K1584, CCF!B:B, CCF!C:C)</f>
        <v>85499</v>
      </c>
      <c r="M1584" t="s">
        <v>103</v>
      </c>
    </row>
    <row r="1585" spans="1:13" x14ac:dyDescent="0.3">
      <c r="A1585">
        <v>1584</v>
      </c>
      <c r="B1585" t="s">
        <v>2245</v>
      </c>
      <c r="C1585" s="3">
        <v>21753</v>
      </c>
      <c r="D1585" t="s">
        <v>666</v>
      </c>
      <c r="E1585">
        <v>38</v>
      </c>
      <c r="F1585" s="1">
        <v>45518</v>
      </c>
      <c r="G1585" s="1" t="str">
        <f>TEXT(Table1[[#This Row],[Enrollment date]], "mmm")</f>
        <v>Aug</v>
      </c>
      <c r="H1585" t="s">
        <v>360</v>
      </c>
      <c r="I1585" t="s">
        <v>660</v>
      </c>
      <c r="J1585" t="str">
        <f>_xlfn.XLOOKUP(Table1[[#This Row],[Course ]], CCF!B:B, CCF!A:A)</f>
        <v>FSD103</v>
      </c>
      <c r="K1585" t="s">
        <v>366</v>
      </c>
      <c r="L1585">
        <f>_xlfn.XLOOKUP(K1585, CCF!B:B, CCF!C:C)</f>
        <v>109990</v>
      </c>
      <c r="M1585" t="s">
        <v>21</v>
      </c>
    </row>
    <row r="1586" spans="1:13" x14ac:dyDescent="0.3">
      <c r="A1586">
        <v>1585</v>
      </c>
      <c r="B1586" t="s">
        <v>2246</v>
      </c>
      <c r="C1586" s="3">
        <v>84311</v>
      </c>
      <c r="D1586" t="s">
        <v>666</v>
      </c>
      <c r="E1586">
        <v>27</v>
      </c>
      <c r="F1586" s="1">
        <v>45518</v>
      </c>
      <c r="G1586" s="1" t="str">
        <f>TEXT(Table1[[#This Row],[Enrollment date]], "mmm")</f>
        <v>Aug</v>
      </c>
      <c r="H1586" t="s">
        <v>360</v>
      </c>
      <c r="I1586" t="s">
        <v>660</v>
      </c>
      <c r="J1586" t="str">
        <f>_xlfn.XLOOKUP(Table1[[#This Row],[Course ]], CCF!B:B, CCF!A:A)</f>
        <v>DA202</v>
      </c>
      <c r="K1586" t="s">
        <v>363</v>
      </c>
      <c r="L1586">
        <f>_xlfn.XLOOKUP(K1586, CCF!B:B, CCF!C:C)</f>
        <v>79999</v>
      </c>
      <c r="M1586" t="s">
        <v>43</v>
      </c>
    </row>
    <row r="1587" spans="1:13" x14ac:dyDescent="0.3">
      <c r="A1587">
        <v>1586</v>
      </c>
      <c r="B1587" t="s">
        <v>2247</v>
      </c>
      <c r="C1587" s="3">
        <v>16444</v>
      </c>
      <c r="D1587" t="s">
        <v>666</v>
      </c>
      <c r="E1587">
        <v>36</v>
      </c>
      <c r="F1587" s="1">
        <v>45519</v>
      </c>
      <c r="G1587" s="1" t="str">
        <f>TEXT(Table1[[#This Row],[Enrollment date]], "mmm")</f>
        <v>Aug</v>
      </c>
      <c r="H1587" t="s">
        <v>361</v>
      </c>
      <c r="I1587" t="s">
        <v>665</v>
      </c>
      <c r="J1587" t="str">
        <f>_xlfn.XLOOKUP(Table1[[#This Row],[Course ]], CCF!B:B, CCF!A:A)</f>
        <v>DA202</v>
      </c>
      <c r="K1587" t="s">
        <v>363</v>
      </c>
      <c r="L1587">
        <f>_xlfn.XLOOKUP(K1587, CCF!B:B, CCF!C:C)</f>
        <v>79999</v>
      </c>
      <c r="M1587" t="s">
        <v>156</v>
      </c>
    </row>
    <row r="1588" spans="1:13" x14ac:dyDescent="0.3">
      <c r="A1588">
        <v>1587</v>
      </c>
      <c r="B1588" t="s">
        <v>2248</v>
      </c>
      <c r="C1588" s="3">
        <v>26429</v>
      </c>
      <c r="D1588" t="s">
        <v>666</v>
      </c>
      <c r="E1588">
        <v>48</v>
      </c>
      <c r="F1588" s="1">
        <v>45519</v>
      </c>
      <c r="G1588" s="1" t="str">
        <f>TEXT(Table1[[#This Row],[Enrollment date]], "mmm")</f>
        <v>Aug</v>
      </c>
      <c r="H1588" t="s">
        <v>360</v>
      </c>
      <c r="I1588" t="s">
        <v>662</v>
      </c>
      <c r="J1588" t="str">
        <f>_xlfn.XLOOKUP(Table1[[#This Row],[Course ]], CCF!B:B, CCF!A:A)</f>
        <v>HR201</v>
      </c>
      <c r="K1588" t="s">
        <v>3152</v>
      </c>
      <c r="L1588">
        <f>_xlfn.XLOOKUP(K1588, CCF!B:B, CCF!C:C)</f>
        <v>41999</v>
      </c>
      <c r="M1588" t="s">
        <v>134</v>
      </c>
    </row>
    <row r="1589" spans="1:13" x14ac:dyDescent="0.3">
      <c r="A1589">
        <v>1588</v>
      </c>
      <c r="B1589" t="s">
        <v>2249</v>
      </c>
      <c r="C1589" s="3">
        <v>94847</v>
      </c>
      <c r="D1589" t="s">
        <v>666</v>
      </c>
      <c r="E1589">
        <v>34</v>
      </c>
      <c r="F1589" s="1">
        <v>45519</v>
      </c>
      <c r="G1589" s="1" t="str">
        <f>TEXT(Table1[[#This Row],[Enrollment date]], "mmm")</f>
        <v>Aug</v>
      </c>
      <c r="H1589" t="s">
        <v>360</v>
      </c>
      <c r="I1589" t="s">
        <v>660</v>
      </c>
      <c r="J1589" t="str">
        <f>_xlfn.XLOOKUP(Table1[[#This Row],[Course ]], CCF!B:B, CCF!A:A)</f>
        <v>DA202</v>
      </c>
      <c r="K1589" t="s">
        <v>363</v>
      </c>
      <c r="L1589">
        <f>_xlfn.XLOOKUP(K1589, CCF!B:B, CCF!C:C)</f>
        <v>79999</v>
      </c>
      <c r="M1589" t="s">
        <v>158</v>
      </c>
    </row>
    <row r="1590" spans="1:13" x14ac:dyDescent="0.3">
      <c r="A1590">
        <v>1589</v>
      </c>
      <c r="B1590" t="s">
        <v>2250</v>
      </c>
      <c r="C1590" s="3">
        <v>91236</v>
      </c>
      <c r="D1590" t="s">
        <v>666</v>
      </c>
      <c r="E1590">
        <v>35</v>
      </c>
      <c r="F1590" s="1">
        <v>45519</v>
      </c>
      <c r="G1590" s="1" t="str">
        <f>TEXT(Table1[[#This Row],[Enrollment date]], "mmm")</f>
        <v>Aug</v>
      </c>
      <c r="H1590" t="s">
        <v>360</v>
      </c>
      <c r="I1590" t="s">
        <v>659</v>
      </c>
      <c r="J1590" t="str">
        <f>_xlfn.XLOOKUP(Table1[[#This Row],[Course ]], CCF!B:B, CCF!A:A)</f>
        <v>DA202</v>
      </c>
      <c r="K1590" t="s">
        <v>363</v>
      </c>
      <c r="L1590">
        <f>_xlfn.XLOOKUP(K1590, CCF!B:B, CCF!C:C)</f>
        <v>79999</v>
      </c>
      <c r="M1590" t="s">
        <v>409</v>
      </c>
    </row>
    <row r="1591" spans="1:13" x14ac:dyDescent="0.3">
      <c r="A1591">
        <v>1590</v>
      </c>
      <c r="B1591" t="s">
        <v>2251</v>
      </c>
      <c r="C1591" s="3">
        <v>16980</v>
      </c>
      <c r="D1591" t="s">
        <v>666</v>
      </c>
      <c r="E1591">
        <v>24</v>
      </c>
      <c r="F1591" s="1">
        <v>45519</v>
      </c>
      <c r="G1591" s="1" t="str">
        <f>TEXT(Table1[[#This Row],[Enrollment date]], "mmm")</f>
        <v>Aug</v>
      </c>
      <c r="H1591" t="s">
        <v>360</v>
      </c>
      <c r="I1591" t="s">
        <v>659</v>
      </c>
      <c r="J1591" t="str">
        <f>_xlfn.XLOOKUP(Table1[[#This Row],[Course ]], CCF!B:B, CCF!A:A)</f>
        <v>DA202</v>
      </c>
      <c r="K1591" t="s">
        <v>363</v>
      </c>
      <c r="L1591">
        <f>_xlfn.XLOOKUP(K1591, CCF!B:B, CCF!C:C)</f>
        <v>79999</v>
      </c>
      <c r="M1591" t="s">
        <v>20</v>
      </c>
    </row>
    <row r="1592" spans="1:13" x14ac:dyDescent="0.3">
      <c r="A1592">
        <v>1591</v>
      </c>
      <c r="B1592" t="s">
        <v>2252</v>
      </c>
      <c r="C1592" s="3">
        <v>94837</v>
      </c>
      <c r="D1592" t="s">
        <v>667</v>
      </c>
      <c r="E1592">
        <v>18</v>
      </c>
      <c r="F1592" s="1">
        <v>45519</v>
      </c>
      <c r="G1592" s="1" t="str">
        <f>TEXT(Table1[[#This Row],[Enrollment date]], "mmm")</f>
        <v>Aug</v>
      </c>
      <c r="H1592" t="s">
        <v>360</v>
      </c>
      <c r="I1592" t="s">
        <v>660</v>
      </c>
      <c r="J1592" t="str">
        <f>_xlfn.XLOOKUP(Table1[[#This Row],[Course ]], CCF!B:B, CCF!A:A)</f>
        <v>DM101</v>
      </c>
      <c r="K1592" t="s">
        <v>365</v>
      </c>
      <c r="L1592">
        <f>_xlfn.XLOOKUP(K1592, CCF!B:B, CCF!C:C)</f>
        <v>85499</v>
      </c>
      <c r="M1592" t="s">
        <v>47</v>
      </c>
    </row>
    <row r="1593" spans="1:13" x14ac:dyDescent="0.3">
      <c r="A1593">
        <v>1592</v>
      </c>
      <c r="B1593" t="s">
        <v>2253</v>
      </c>
      <c r="C1593" s="3">
        <v>39256</v>
      </c>
      <c r="D1593" t="s">
        <v>666</v>
      </c>
      <c r="E1593">
        <v>42</v>
      </c>
      <c r="F1593" s="1">
        <v>45519</v>
      </c>
      <c r="G1593" s="1" t="str">
        <f>TEXT(Table1[[#This Row],[Enrollment date]], "mmm")</f>
        <v>Aug</v>
      </c>
      <c r="H1593" t="s">
        <v>360</v>
      </c>
      <c r="I1593" t="s">
        <v>659</v>
      </c>
      <c r="J1593" t="str">
        <f>_xlfn.XLOOKUP(Table1[[#This Row],[Course ]], CCF!B:B, CCF!A:A)</f>
        <v>DA202</v>
      </c>
      <c r="K1593" t="s">
        <v>363</v>
      </c>
      <c r="L1593">
        <f>_xlfn.XLOOKUP(K1593, CCF!B:B, CCF!C:C)</f>
        <v>79999</v>
      </c>
      <c r="M1593" t="s">
        <v>38</v>
      </c>
    </row>
    <row r="1594" spans="1:13" x14ac:dyDescent="0.3">
      <c r="A1594">
        <v>1593</v>
      </c>
      <c r="B1594" t="s">
        <v>2254</v>
      </c>
      <c r="C1594" s="3">
        <v>18016</v>
      </c>
      <c r="D1594" t="s">
        <v>667</v>
      </c>
      <c r="E1594">
        <v>43</v>
      </c>
      <c r="F1594" s="1">
        <v>45519</v>
      </c>
      <c r="G1594" s="1" t="str">
        <f>TEXT(Table1[[#This Row],[Enrollment date]], "mmm")</f>
        <v>Aug</v>
      </c>
      <c r="H1594" t="s">
        <v>360</v>
      </c>
      <c r="I1594" t="s">
        <v>660</v>
      </c>
      <c r="J1594" t="str">
        <f>_xlfn.XLOOKUP(Table1[[#This Row],[Course ]], CCF!B:B, CCF!A:A)</f>
        <v>DM101</v>
      </c>
      <c r="K1594" t="s">
        <v>365</v>
      </c>
      <c r="L1594">
        <f>_xlfn.XLOOKUP(K1594, CCF!B:B, CCF!C:C)</f>
        <v>85499</v>
      </c>
      <c r="M1594" t="s">
        <v>571</v>
      </c>
    </row>
    <row r="1595" spans="1:13" x14ac:dyDescent="0.3">
      <c r="A1595">
        <v>1594</v>
      </c>
      <c r="B1595" t="s">
        <v>2255</v>
      </c>
      <c r="C1595" s="3">
        <v>19802</v>
      </c>
      <c r="D1595" t="s">
        <v>667</v>
      </c>
      <c r="E1595">
        <v>35</v>
      </c>
      <c r="F1595" s="1">
        <v>45519</v>
      </c>
      <c r="G1595" s="1" t="str">
        <f>TEXT(Table1[[#This Row],[Enrollment date]], "mmm")</f>
        <v>Aug</v>
      </c>
      <c r="H1595" t="s">
        <v>360</v>
      </c>
      <c r="I1595" t="s">
        <v>663</v>
      </c>
      <c r="J1595" t="str">
        <f>_xlfn.XLOOKUP(Table1[[#This Row],[Course ]], CCF!B:B, CCF!A:A)</f>
        <v>DM101</v>
      </c>
      <c r="K1595" t="s">
        <v>365</v>
      </c>
      <c r="L1595">
        <f>_xlfn.XLOOKUP(K1595, CCF!B:B, CCF!C:C)</f>
        <v>85499</v>
      </c>
      <c r="M1595" t="s">
        <v>572</v>
      </c>
    </row>
    <row r="1596" spans="1:13" x14ac:dyDescent="0.3">
      <c r="A1596">
        <v>1595</v>
      </c>
      <c r="B1596" t="s">
        <v>2256</v>
      </c>
      <c r="C1596" s="3">
        <v>70478</v>
      </c>
      <c r="D1596" t="s">
        <v>666</v>
      </c>
      <c r="E1596">
        <v>37</v>
      </c>
      <c r="F1596" s="1">
        <v>45519</v>
      </c>
      <c r="G1596" s="1" t="str">
        <f>TEXT(Table1[[#This Row],[Enrollment date]], "mmm")</f>
        <v>Aug</v>
      </c>
      <c r="H1596" t="s">
        <v>360</v>
      </c>
      <c r="I1596" t="s">
        <v>660</v>
      </c>
      <c r="J1596" t="str">
        <f>_xlfn.XLOOKUP(Table1[[#This Row],[Course ]], CCF!B:B, CCF!A:A)</f>
        <v>DA202</v>
      </c>
      <c r="K1596" t="s">
        <v>363</v>
      </c>
      <c r="L1596">
        <f>_xlfn.XLOOKUP(K1596, CCF!B:B, CCF!C:C)</f>
        <v>79999</v>
      </c>
      <c r="M1596" t="s">
        <v>7</v>
      </c>
    </row>
    <row r="1597" spans="1:13" x14ac:dyDescent="0.3">
      <c r="A1597">
        <v>1596</v>
      </c>
      <c r="B1597" t="s">
        <v>2257</v>
      </c>
      <c r="C1597" s="3">
        <v>35905</v>
      </c>
      <c r="D1597" t="s">
        <v>666</v>
      </c>
      <c r="E1597">
        <v>31</v>
      </c>
      <c r="F1597" s="1">
        <v>45520</v>
      </c>
      <c r="G1597" s="1" t="str">
        <f>TEXT(Table1[[#This Row],[Enrollment date]], "mmm")</f>
        <v>Aug</v>
      </c>
      <c r="H1597" t="s">
        <v>360</v>
      </c>
      <c r="I1597" t="s">
        <v>660</v>
      </c>
      <c r="J1597" t="str">
        <f>_xlfn.XLOOKUP(Table1[[#This Row],[Course ]], CCF!B:B, CCF!A:A)</f>
        <v>DM101</v>
      </c>
      <c r="K1597" t="s">
        <v>365</v>
      </c>
      <c r="L1597">
        <f>_xlfn.XLOOKUP(K1597, CCF!B:B, CCF!C:C)</f>
        <v>85499</v>
      </c>
      <c r="M1597" t="s">
        <v>38</v>
      </c>
    </row>
    <row r="1598" spans="1:13" x14ac:dyDescent="0.3">
      <c r="A1598">
        <v>1597</v>
      </c>
      <c r="B1598" t="s">
        <v>2258</v>
      </c>
      <c r="C1598" s="3">
        <v>85752</v>
      </c>
      <c r="D1598" t="s">
        <v>667</v>
      </c>
      <c r="E1598">
        <v>26</v>
      </c>
      <c r="F1598" s="1">
        <v>45520</v>
      </c>
      <c r="G1598" s="1" t="str">
        <f>TEXT(Table1[[#This Row],[Enrollment date]], "mmm")</f>
        <v>Aug</v>
      </c>
      <c r="H1598" t="s">
        <v>360</v>
      </c>
      <c r="I1598" t="s">
        <v>660</v>
      </c>
      <c r="J1598" t="str">
        <f>_xlfn.XLOOKUP(Table1[[#This Row],[Course ]], CCF!B:B, CCF!A:A)</f>
        <v>BA301</v>
      </c>
      <c r="K1598" t="s">
        <v>364</v>
      </c>
      <c r="L1598">
        <f>_xlfn.XLOOKUP(K1598, CCF!B:B, CCF!C:C)</f>
        <v>59999</v>
      </c>
      <c r="M1598" t="s">
        <v>57</v>
      </c>
    </row>
    <row r="1599" spans="1:13" x14ac:dyDescent="0.3">
      <c r="A1599">
        <v>1598</v>
      </c>
      <c r="B1599" t="s">
        <v>2259</v>
      </c>
      <c r="C1599" s="3">
        <v>25636</v>
      </c>
      <c r="D1599" t="s">
        <v>667</v>
      </c>
      <c r="E1599">
        <v>31</v>
      </c>
      <c r="F1599" s="1">
        <v>45520</v>
      </c>
      <c r="G1599" s="1" t="str">
        <f>TEXT(Table1[[#This Row],[Enrollment date]], "mmm")</f>
        <v>Aug</v>
      </c>
      <c r="H1599" t="s">
        <v>3</v>
      </c>
      <c r="I1599" t="s">
        <v>661</v>
      </c>
      <c r="J1599" t="str">
        <f>_xlfn.XLOOKUP(Table1[[#This Row],[Course ]], CCF!B:B, CCF!A:A)</f>
        <v>DA202</v>
      </c>
      <c r="K1599" t="s">
        <v>363</v>
      </c>
      <c r="L1599">
        <f>_xlfn.XLOOKUP(K1599, CCF!B:B, CCF!C:C)</f>
        <v>79999</v>
      </c>
      <c r="M1599" t="s">
        <v>61</v>
      </c>
    </row>
    <row r="1600" spans="1:13" x14ac:dyDescent="0.3">
      <c r="A1600">
        <v>1599</v>
      </c>
      <c r="B1600" t="s">
        <v>2260</v>
      </c>
      <c r="C1600" s="3">
        <v>39347</v>
      </c>
      <c r="D1600" t="s">
        <v>666</v>
      </c>
      <c r="E1600">
        <v>51</v>
      </c>
      <c r="F1600" s="1">
        <v>45520</v>
      </c>
      <c r="G1600" s="1" t="str">
        <f>TEXT(Table1[[#This Row],[Enrollment date]], "mmm")</f>
        <v>Aug</v>
      </c>
      <c r="H1600" t="s">
        <v>360</v>
      </c>
      <c r="I1600" t="s">
        <v>662</v>
      </c>
      <c r="J1600" t="str">
        <f>_xlfn.XLOOKUP(Table1[[#This Row],[Course ]], CCF!B:B, CCF!A:A)</f>
        <v>DM101</v>
      </c>
      <c r="K1600" t="s">
        <v>365</v>
      </c>
      <c r="L1600">
        <f>_xlfn.XLOOKUP(K1600, CCF!B:B, CCF!C:C)</f>
        <v>85499</v>
      </c>
      <c r="M1600" t="s">
        <v>27</v>
      </c>
    </row>
    <row r="1601" spans="1:13" x14ac:dyDescent="0.3">
      <c r="A1601">
        <v>1600</v>
      </c>
      <c r="B1601" t="s">
        <v>2261</v>
      </c>
      <c r="C1601" s="3">
        <v>30307</v>
      </c>
      <c r="D1601" t="s">
        <v>667</v>
      </c>
      <c r="E1601">
        <v>53</v>
      </c>
      <c r="F1601" s="1">
        <v>45520</v>
      </c>
      <c r="G1601" s="1" t="str">
        <f>TEXT(Table1[[#This Row],[Enrollment date]], "mmm")</f>
        <v>Aug</v>
      </c>
      <c r="H1601" t="s">
        <v>360</v>
      </c>
      <c r="I1601" t="s">
        <v>660</v>
      </c>
      <c r="J1601" t="str">
        <f>_xlfn.XLOOKUP(Table1[[#This Row],[Course ]], CCF!B:B, CCF!A:A)</f>
        <v>FSD103</v>
      </c>
      <c r="K1601" t="s">
        <v>366</v>
      </c>
      <c r="L1601">
        <f>_xlfn.XLOOKUP(K1601, CCF!B:B, CCF!C:C)</f>
        <v>109990</v>
      </c>
      <c r="M1601" t="s">
        <v>60</v>
      </c>
    </row>
    <row r="1602" spans="1:13" x14ac:dyDescent="0.3">
      <c r="A1602">
        <v>1601</v>
      </c>
      <c r="B1602" t="s">
        <v>2262</v>
      </c>
      <c r="C1602" s="3">
        <v>33018</v>
      </c>
      <c r="D1602" t="s">
        <v>666</v>
      </c>
      <c r="E1602">
        <v>22</v>
      </c>
      <c r="F1602" s="1">
        <v>45520</v>
      </c>
      <c r="G1602" s="1" t="str">
        <f>TEXT(Table1[[#This Row],[Enrollment date]], "mmm")</f>
        <v>Aug</v>
      </c>
      <c r="H1602" t="s">
        <v>360</v>
      </c>
      <c r="I1602" t="s">
        <v>661</v>
      </c>
      <c r="J1602" t="str">
        <f>_xlfn.XLOOKUP(Table1[[#This Row],[Course ]], CCF!B:B, CCF!A:A)</f>
        <v>FSD103</v>
      </c>
      <c r="K1602" t="s">
        <v>366</v>
      </c>
      <c r="L1602">
        <f>_xlfn.XLOOKUP(K1602, CCF!B:B, CCF!C:C)</f>
        <v>109990</v>
      </c>
      <c r="M1602" t="s">
        <v>234</v>
      </c>
    </row>
    <row r="1603" spans="1:13" x14ac:dyDescent="0.3">
      <c r="A1603">
        <v>1602</v>
      </c>
      <c r="B1603" t="s">
        <v>2263</v>
      </c>
      <c r="C1603" s="3">
        <v>21327</v>
      </c>
      <c r="D1603" t="s">
        <v>666</v>
      </c>
      <c r="E1603">
        <v>73</v>
      </c>
      <c r="F1603" s="1">
        <v>45520</v>
      </c>
      <c r="G1603" s="1" t="str">
        <f>TEXT(Table1[[#This Row],[Enrollment date]], "mmm")</f>
        <v>Aug</v>
      </c>
      <c r="H1603" t="s">
        <v>360</v>
      </c>
      <c r="I1603" t="s">
        <v>659</v>
      </c>
      <c r="J1603" t="str">
        <f>_xlfn.XLOOKUP(Table1[[#This Row],[Course ]], CCF!B:B, CCF!A:A)</f>
        <v>FSD103</v>
      </c>
      <c r="K1603" t="s">
        <v>366</v>
      </c>
      <c r="L1603">
        <f>_xlfn.XLOOKUP(K1603, CCF!B:B, CCF!C:C)</f>
        <v>109990</v>
      </c>
      <c r="M1603" t="s">
        <v>53</v>
      </c>
    </row>
    <row r="1604" spans="1:13" x14ac:dyDescent="0.3">
      <c r="A1604">
        <v>1603</v>
      </c>
      <c r="B1604" t="s">
        <v>2264</v>
      </c>
      <c r="C1604" s="3">
        <v>23553</v>
      </c>
      <c r="D1604" t="s">
        <v>666</v>
      </c>
      <c r="E1604">
        <v>62</v>
      </c>
      <c r="F1604" s="1">
        <v>45521</v>
      </c>
      <c r="G1604" s="1" t="str">
        <f>TEXT(Table1[[#This Row],[Enrollment date]], "mmm")</f>
        <v>Aug</v>
      </c>
      <c r="H1604" t="s">
        <v>360</v>
      </c>
      <c r="I1604" t="s">
        <v>660</v>
      </c>
      <c r="J1604" t="str">
        <f>_xlfn.XLOOKUP(Table1[[#This Row],[Course ]], CCF!B:B, CCF!A:A)</f>
        <v>DA202</v>
      </c>
      <c r="K1604" t="s">
        <v>363</v>
      </c>
      <c r="L1604">
        <f>_xlfn.XLOOKUP(K1604, CCF!B:B, CCF!C:C)</f>
        <v>79999</v>
      </c>
      <c r="M1604" t="s">
        <v>20</v>
      </c>
    </row>
    <row r="1605" spans="1:13" x14ac:dyDescent="0.3">
      <c r="A1605">
        <v>1604</v>
      </c>
      <c r="B1605" t="s">
        <v>2265</v>
      </c>
      <c r="C1605" s="3">
        <v>30183</v>
      </c>
      <c r="D1605" t="s">
        <v>667</v>
      </c>
      <c r="E1605">
        <v>18</v>
      </c>
      <c r="F1605" s="1">
        <v>45521</v>
      </c>
      <c r="G1605" s="1" t="str">
        <f>TEXT(Table1[[#This Row],[Enrollment date]], "mmm")</f>
        <v>Aug</v>
      </c>
      <c r="H1605" t="s">
        <v>360</v>
      </c>
      <c r="I1605" t="s">
        <v>662</v>
      </c>
      <c r="J1605" t="str">
        <f>_xlfn.XLOOKUP(Table1[[#This Row],[Course ]], CCF!B:B, CCF!A:A)</f>
        <v>DA202</v>
      </c>
      <c r="K1605" t="s">
        <v>363</v>
      </c>
      <c r="L1605">
        <f>_xlfn.XLOOKUP(K1605, CCF!B:B, CCF!C:C)</f>
        <v>79999</v>
      </c>
      <c r="M1605" t="s">
        <v>485</v>
      </c>
    </row>
    <row r="1606" spans="1:13" x14ac:dyDescent="0.3">
      <c r="A1606">
        <v>1605</v>
      </c>
      <c r="B1606" t="s">
        <v>2266</v>
      </c>
      <c r="C1606" s="3">
        <v>24570</v>
      </c>
      <c r="D1606" t="s">
        <v>666</v>
      </c>
      <c r="E1606">
        <v>46</v>
      </c>
      <c r="F1606" s="1">
        <v>45521</v>
      </c>
      <c r="G1606" s="1" t="str">
        <f>TEXT(Table1[[#This Row],[Enrollment date]], "mmm")</f>
        <v>Aug</v>
      </c>
      <c r="H1606" t="s">
        <v>360</v>
      </c>
      <c r="I1606" t="s">
        <v>660</v>
      </c>
      <c r="J1606" t="str">
        <f>_xlfn.XLOOKUP(Table1[[#This Row],[Course ]], CCF!B:B, CCF!A:A)</f>
        <v>UX401</v>
      </c>
      <c r="K1606" t="s">
        <v>367</v>
      </c>
      <c r="L1606">
        <f>_xlfn.XLOOKUP(K1606, CCF!B:B, CCF!C:C)</f>
        <v>67990</v>
      </c>
      <c r="M1606" t="s">
        <v>207</v>
      </c>
    </row>
    <row r="1607" spans="1:13" x14ac:dyDescent="0.3">
      <c r="A1607">
        <v>1606</v>
      </c>
      <c r="B1607" t="s">
        <v>2267</v>
      </c>
      <c r="C1607" s="3">
        <v>45418</v>
      </c>
      <c r="D1607" t="s">
        <v>666</v>
      </c>
      <c r="E1607">
        <v>27</v>
      </c>
      <c r="F1607" s="1">
        <v>45521</v>
      </c>
      <c r="G1607" s="1" t="str">
        <f>TEXT(Table1[[#This Row],[Enrollment date]], "mmm")</f>
        <v>Aug</v>
      </c>
      <c r="H1607" t="s">
        <v>360</v>
      </c>
      <c r="I1607" t="s">
        <v>660</v>
      </c>
      <c r="J1607" t="str">
        <f>_xlfn.XLOOKUP(Table1[[#This Row],[Course ]], CCF!B:B, CCF!A:A)</f>
        <v>BA301</v>
      </c>
      <c r="K1607" t="s">
        <v>364</v>
      </c>
      <c r="L1607">
        <f>_xlfn.XLOOKUP(K1607, CCF!B:B, CCF!C:C)</f>
        <v>59999</v>
      </c>
      <c r="M1607" t="s">
        <v>573</v>
      </c>
    </row>
    <row r="1608" spans="1:13" x14ac:dyDescent="0.3">
      <c r="A1608">
        <v>1607</v>
      </c>
      <c r="B1608" t="s">
        <v>2268</v>
      </c>
      <c r="C1608" s="3">
        <v>75255</v>
      </c>
      <c r="D1608" t="s">
        <v>666</v>
      </c>
      <c r="E1608">
        <v>54</v>
      </c>
      <c r="F1608" s="1">
        <v>45521</v>
      </c>
      <c r="G1608" s="1" t="str">
        <f>TEXT(Table1[[#This Row],[Enrollment date]], "mmm")</f>
        <v>Aug</v>
      </c>
      <c r="H1608" t="s">
        <v>360</v>
      </c>
      <c r="I1608" t="s">
        <v>660</v>
      </c>
      <c r="J1608" t="str">
        <f>_xlfn.XLOOKUP(Table1[[#This Row],[Course ]], CCF!B:B, CCF!A:A)</f>
        <v>DM101</v>
      </c>
      <c r="K1608" t="s">
        <v>365</v>
      </c>
      <c r="L1608">
        <f>_xlfn.XLOOKUP(K1608, CCF!B:B, CCF!C:C)</f>
        <v>85499</v>
      </c>
      <c r="M1608" t="s">
        <v>574</v>
      </c>
    </row>
    <row r="1609" spans="1:13" x14ac:dyDescent="0.3">
      <c r="A1609">
        <v>1608</v>
      </c>
      <c r="B1609" t="s">
        <v>2269</v>
      </c>
      <c r="C1609" s="3">
        <v>98830</v>
      </c>
      <c r="D1609" t="s">
        <v>667</v>
      </c>
      <c r="E1609">
        <v>42</v>
      </c>
      <c r="F1609" s="1">
        <v>45521</v>
      </c>
      <c r="G1609" s="1" t="str">
        <f>TEXT(Table1[[#This Row],[Enrollment date]], "mmm")</f>
        <v>Aug</v>
      </c>
      <c r="H1609" t="s">
        <v>360</v>
      </c>
      <c r="I1609" t="s">
        <v>660</v>
      </c>
      <c r="J1609" t="str">
        <f>_xlfn.XLOOKUP(Table1[[#This Row],[Course ]], CCF!B:B, CCF!A:A)</f>
        <v>DM101</v>
      </c>
      <c r="K1609" t="s">
        <v>365</v>
      </c>
      <c r="L1609">
        <f>_xlfn.XLOOKUP(K1609, CCF!B:B, CCF!C:C)</f>
        <v>85499</v>
      </c>
      <c r="M1609" t="s">
        <v>16</v>
      </c>
    </row>
    <row r="1610" spans="1:13" x14ac:dyDescent="0.3">
      <c r="A1610">
        <v>1609</v>
      </c>
      <c r="B1610" t="s">
        <v>2270</v>
      </c>
      <c r="C1610" s="3">
        <v>75951</v>
      </c>
      <c r="D1610" t="s">
        <v>666</v>
      </c>
      <c r="E1610">
        <v>68</v>
      </c>
      <c r="F1610" s="1">
        <v>45521</v>
      </c>
      <c r="G1610" s="1" t="str">
        <f>TEXT(Table1[[#This Row],[Enrollment date]], "mmm")</f>
        <v>Aug</v>
      </c>
      <c r="H1610" t="s">
        <v>360</v>
      </c>
      <c r="I1610" t="s">
        <v>661</v>
      </c>
      <c r="J1610" t="str">
        <f>_xlfn.XLOOKUP(Table1[[#This Row],[Course ]], CCF!B:B, CCF!A:A)</f>
        <v>FSD103</v>
      </c>
      <c r="K1610" t="s">
        <v>366</v>
      </c>
      <c r="L1610">
        <f>_xlfn.XLOOKUP(K1610, CCF!B:B, CCF!C:C)</f>
        <v>109990</v>
      </c>
      <c r="M1610" t="s">
        <v>9</v>
      </c>
    </row>
    <row r="1611" spans="1:13" x14ac:dyDescent="0.3">
      <c r="A1611">
        <v>1610</v>
      </c>
      <c r="B1611" t="s">
        <v>2271</v>
      </c>
      <c r="C1611" s="3">
        <v>54557</v>
      </c>
      <c r="D1611" t="s">
        <v>666</v>
      </c>
      <c r="E1611">
        <v>55</v>
      </c>
      <c r="F1611" s="1">
        <v>45521</v>
      </c>
      <c r="G1611" s="1" t="str">
        <f>TEXT(Table1[[#This Row],[Enrollment date]], "mmm")</f>
        <v>Aug</v>
      </c>
      <c r="H1611" t="s">
        <v>360</v>
      </c>
      <c r="I1611" t="s">
        <v>661</v>
      </c>
      <c r="J1611" t="str">
        <f>_xlfn.XLOOKUP(Table1[[#This Row],[Course ]], CCF!B:B, CCF!A:A)</f>
        <v>DM101</v>
      </c>
      <c r="K1611" t="s">
        <v>365</v>
      </c>
      <c r="L1611">
        <f>_xlfn.XLOOKUP(K1611, CCF!B:B, CCF!C:C)</f>
        <v>85499</v>
      </c>
      <c r="M1611" t="s">
        <v>433</v>
      </c>
    </row>
    <row r="1612" spans="1:13" x14ac:dyDescent="0.3">
      <c r="A1612">
        <v>1611</v>
      </c>
      <c r="B1612" t="s">
        <v>2272</v>
      </c>
      <c r="C1612" s="3">
        <v>20496</v>
      </c>
      <c r="D1612" t="s">
        <v>666</v>
      </c>
      <c r="E1612">
        <v>40</v>
      </c>
      <c r="F1612" s="1">
        <v>45521</v>
      </c>
      <c r="G1612" s="1" t="str">
        <f>TEXT(Table1[[#This Row],[Enrollment date]], "mmm")</f>
        <v>Aug</v>
      </c>
      <c r="H1612" t="s">
        <v>360</v>
      </c>
      <c r="I1612" t="s">
        <v>659</v>
      </c>
      <c r="J1612" t="str">
        <f>_xlfn.XLOOKUP(Table1[[#This Row],[Course ]], CCF!B:B, CCF!A:A)</f>
        <v>FSD103</v>
      </c>
      <c r="K1612" t="s">
        <v>366</v>
      </c>
      <c r="L1612">
        <f>_xlfn.XLOOKUP(K1612, CCF!B:B, CCF!C:C)</f>
        <v>109990</v>
      </c>
      <c r="M1612" t="s">
        <v>109</v>
      </c>
    </row>
    <row r="1613" spans="1:13" x14ac:dyDescent="0.3">
      <c r="A1613">
        <v>1612</v>
      </c>
      <c r="B1613" t="s">
        <v>2273</v>
      </c>
      <c r="C1613" s="3">
        <v>91651</v>
      </c>
      <c r="D1613" t="s">
        <v>667</v>
      </c>
      <c r="E1613">
        <v>21</v>
      </c>
      <c r="F1613" s="1">
        <v>45521</v>
      </c>
      <c r="G1613" s="1" t="str">
        <f>TEXT(Table1[[#This Row],[Enrollment date]], "mmm")</f>
        <v>Aug</v>
      </c>
      <c r="H1613" t="s">
        <v>360</v>
      </c>
      <c r="I1613" t="s">
        <v>659</v>
      </c>
      <c r="J1613" t="str">
        <f>_xlfn.XLOOKUP(Table1[[#This Row],[Course ]], CCF!B:B, CCF!A:A)</f>
        <v>DM101</v>
      </c>
      <c r="K1613" t="s">
        <v>365</v>
      </c>
      <c r="L1613">
        <f>_xlfn.XLOOKUP(K1613, CCF!B:B, CCF!C:C)</f>
        <v>85499</v>
      </c>
      <c r="M1613" t="s">
        <v>9</v>
      </c>
    </row>
    <row r="1614" spans="1:13" x14ac:dyDescent="0.3">
      <c r="A1614">
        <v>1613</v>
      </c>
      <c r="B1614" t="s">
        <v>2274</v>
      </c>
      <c r="C1614" s="3">
        <v>64801</v>
      </c>
      <c r="D1614" t="s">
        <v>666</v>
      </c>
      <c r="E1614">
        <v>37</v>
      </c>
      <c r="F1614" s="1">
        <v>45522</v>
      </c>
      <c r="G1614" s="1" t="str">
        <f>TEXT(Table1[[#This Row],[Enrollment date]], "mmm")</f>
        <v>Aug</v>
      </c>
      <c r="H1614" t="s">
        <v>360</v>
      </c>
      <c r="I1614" t="s">
        <v>660</v>
      </c>
      <c r="J1614" t="str">
        <f>_xlfn.XLOOKUP(Table1[[#This Row],[Course ]], CCF!B:B, CCF!A:A)</f>
        <v>DM101</v>
      </c>
      <c r="K1614" t="s">
        <v>365</v>
      </c>
      <c r="L1614">
        <f>_xlfn.XLOOKUP(K1614, CCF!B:B, CCF!C:C)</f>
        <v>85499</v>
      </c>
      <c r="M1614" t="s">
        <v>16</v>
      </c>
    </row>
    <row r="1615" spans="1:13" x14ac:dyDescent="0.3">
      <c r="A1615">
        <v>1614</v>
      </c>
      <c r="B1615" t="s">
        <v>2275</v>
      </c>
      <c r="C1615" s="3">
        <v>25814</v>
      </c>
      <c r="D1615" t="s">
        <v>667</v>
      </c>
      <c r="E1615">
        <v>36</v>
      </c>
      <c r="F1615" s="1">
        <v>45522</v>
      </c>
      <c r="G1615" s="1" t="str">
        <f>TEXT(Table1[[#This Row],[Enrollment date]], "mmm")</f>
        <v>Aug</v>
      </c>
      <c r="H1615" t="s">
        <v>360</v>
      </c>
      <c r="I1615" t="s">
        <v>660</v>
      </c>
      <c r="J1615" t="str">
        <f>_xlfn.XLOOKUP(Table1[[#This Row],[Course ]], CCF!B:B, CCF!A:A)</f>
        <v>DM101</v>
      </c>
      <c r="K1615" t="s">
        <v>365</v>
      </c>
      <c r="L1615">
        <f>_xlfn.XLOOKUP(K1615, CCF!B:B, CCF!C:C)</f>
        <v>85499</v>
      </c>
      <c r="M1615" t="s">
        <v>2</v>
      </c>
    </row>
    <row r="1616" spans="1:13" x14ac:dyDescent="0.3">
      <c r="A1616">
        <v>1615</v>
      </c>
      <c r="B1616" t="s">
        <v>2276</v>
      </c>
      <c r="C1616" s="3">
        <v>71402</v>
      </c>
      <c r="D1616" t="s">
        <v>667</v>
      </c>
      <c r="E1616">
        <v>48</v>
      </c>
      <c r="F1616" s="1">
        <v>45522</v>
      </c>
      <c r="G1616" s="1" t="str">
        <f>TEXT(Table1[[#This Row],[Enrollment date]], "mmm")</f>
        <v>Aug</v>
      </c>
      <c r="H1616" t="s">
        <v>360</v>
      </c>
      <c r="I1616" t="s">
        <v>660</v>
      </c>
      <c r="J1616" t="str">
        <f>_xlfn.XLOOKUP(Table1[[#This Row],[Course ]], CCF!B:B, CCF!A:A)</f>
        <v>BA301</v>
      </c>
      <c r="K1616" t="s">
        <v>364</v>
      </c>
      <c r="L1616">
        <f>_xlfn.XLOOKUP(K1616, CCF!B:B, CCF!C:C)</f>
        <v>59999</v>
      </c>
      <c r="M1616" t="s">
        <v>15</v>
      </c>
    </row>
    <row r="1617" spans="1:13" x14ac:dyDescent="0.3">
      <c r="A1617">
        <v>1616</v>
      </c>
      <c r="B1617" t="s">
        <v>2277</v>
      </c>
      <c r="C1617" s="3">
        <v>86206</v>
      </c>
      <c r="D1617" t="s">
        <v>666</v>
      </c>
      <c r="E1617">
        <v>23</v>
      </c>
      <c r="F1617" s="1">
        <v>45522</v>
      </c>
      <c r="G1617" s="1" t="str">
        <f>TEXT(Table1[[#This Row],[Enrollment date]], "mmm")</f>
        <v>Aug</v>
      </c>
      <c r="H1617" t="s">
        <v>360</v>
      </c>
      <c r="I1617" t="s">
        <v>664</v>
      </c>
      <c r="J1617" t="str">
        <f>_xlfn.XLOOKUP(Table1[[#This Row],[Course ]], CCF!B:B, CCF!A:A)</f>
        <v>DA202</v>
      </c>
      <c r="K1617" t="s">
        <v>363</v>
      </c>
      <c r="L1617">
        <f>_xlfn.XLOOKUP(K1617, CCF!B:B, CCF!C:C)</f>
        <v>79999</v>
      </c>
      <c r="M1617" t="s">
        <v>98</v>
      </c>
    </row>
    <row r="1618" spans="1:13" x14ac:dyDescent="0.3">
      <c r="A1618">
        <v>1617</v>
      </c>
      <c r="B1618" t="s">
        <v>2278</v>
      </c>
      <c r="C1618" s="3">
        <v>21627</v>
      </c>
      <c r="D1618" t="s">
        <v>666</v>
      </c>
      <c r="E1618">
        <v>23</v>
      </c>
      <c r="F1618" s="1">
        <v>45522</v>
      </c>
      <c r="G1618" s="1" t="str">
        <f>TEXT(Table1[[#This Row],[Enrollment date]], "mmm")</f>
        <v>Aug</v>
      </c>
      <c r="H1618" t="s">
        <v>360</v>
      </c>
      <c r="I1618" t="s">
        <v>662</v>
      </c>
      <c r="J1618" t="str">
        <f>_xlfn.XLOOKUP(Table1[[#This Row],[Course ]], CCF!B:B, CCF!A:A)</f>
        <v>DM101</v>
      </c>
      <c r="K1618" t="s">
        <v>365</v>
      </c>
      <c r="L1618">
        <f>_xlfn.XLOOKUP(K1618, CCF!B:B, CCF!C:C)</f>
        <v>85499</v>
      </c>
      <c r="M1618" t="s">
        <v>27</v>
      </c>
    </row>
    <row r="1619" spans="1:13" x14ac:dyDescent="0.3">
      <c r="A1619">
        <v>1618</v>
      </c>
      <c r="B1619" t="s">
        <v>2279</v>
      </c>
      <c r="C1619" s="3">
        <v>82412</v>
      </c>
      <c r="D1619" t="s">
        <v>666</v>
      </c>
      <c r="E1619">
        <v>32</v>
      </c>
      <c r="F1619" s="1">
        <v>45522</v>
      </c>
      <c r="G1619" s="1" t="str">
        <f>TEXT(Table1[[#This Row],[Enrollment date]], "mmm")</f>
        <v>Aug</v>
      </c>
      <c r="H1619" t="s">
        <v>360</v>
      </c>
      <c r="I1619" t="s">
        <v>661</v>
      </c>
      <c r="J1619" t="str">
        <f>_xlfn.XLOOKUP(Table1[[#This Row],[Course ]], CCF!B:B, CCF!A:A)</f>
        <v>DM101</v>
      </c>
      <c r="K1619" t="s">
        <v>365</v>
      </c>
      <c r="L1619">
        <f>_xlfn.XLOOKUP(K1619, CCF!B:B, CCF!C:C)</f>
        <v>85499</v>
      </c>
      <c r="M1619" t="s">
        <v>16</v>
      </c>
    </row>
    <row r="1620" spans="1:13" x14ac:dyDescent="0.3">
      <c r="A1620">
        <v>1619</v>
      </c>
      <c r="B1620" t="s">
        <v>2280</v>
      </c>
      <c r="C1620" s="3">
        <v>91266</v>
      </c>
      <c r="D1620" t="s">
        <v>666</v>
      </c>
      <c r="E1620">
        <v>43</v>
      </c>
      <c r="F1620" s="1">
        <v>45523</v>
      </c>
      <c r="G1620" s="1" t="str">
        <f>TEXT(Table1[[#This Row],[Enrollment date]], "mmm")</f>
        <v>Aug</v>
      </c>
      <c r="H1620" t="s">
        <v>360</v>
      </c>
      <c r="I1620" t="s">
        <v>662</v>
      </c>
      <c r="J1620" t="str">
        <f>_xlfn.XLOOKUP(Table1[[#This Row],[Course ]], CCF!B:B, CCF!A:A)</f>
        <v>DA202</v>
      </c>
      <c r="K1620" t="s">
        <v>363</v>
      </c>
      <c r="L1620">
        <f>_xlfn.XLOOKUP(K1620, CCF!B:B, CCF!C:C)</f>
        <v>79999</v>
      </c>
      <c r="M1620" t="s">
        <v>20</v>
      </c>
    </row>
    <row r="1621" spans="1:13" x14ac:dyDescent="0.3">
      <c r="A1621">
        <v>1620</v>
      </c>
      <c r="B1621" t="s">
        <v>2281</v>
      </c>
      <c r="C1621" s="3">
        <v>14008</v>
      </c>
      <c r="D1621" t="s">
        <v>667</v>
      </c>
      <c r="E1621">
        <v>30</v>
      </c>
      <c r="F1621" s="1">
        <v>45523</v>
      </c>
      <c r="G1621" s="1" t="str">
        <f>TEXT(Table1[[#This Row],[Enrollment date]], "mmm")</f>
        <v>Aug</v>
      </c>
      <c r="H1621" t="s">
        <v>360</v>
      </c>
      <c r="I1621" t="s">
        <v>664</v>
      </c>
      <c r="J1621" t="str">
        <f>_xlfn.XLOOKUP(Table1[[#This Row],[Course ]], CCF!B:B, CCF!A:A)</f>
        <v>BA301</v>
      </c>
      <c r="K1621" t="s">
        <v>364</v>
      </c>
      <c r="L1621">
        <f>_xlfn.XLOOKUP(K1621, CCF!B:B, CCF!C:C)</f>
        <v>59999</v>
      </c>
      <c r="M1621" t="s">
        <v>133</v>
      </c>
    </row>
    <row r="1622" spans="1:13" x14ac:dyDescent="0.3">
      <c r="A1622">
        <v>1621</v>
      </c>
      <c r="B1622" t="s">
        <v>2282</v>
      </c>
      <c r="C1622" s="3">
        <v>41390</v>
      </c>
      <c r="D1622" t="s">
        <v>667</v>
      </c>
      <c r="E1622">
        <v>74</v>
      </c>
      <c r="F1622" s="1">
        <v>45523</v>
      </c>
      <c r="G1622" s="1" t="str">
        <f>TEXT(Table1[[#This Row],[Enrollment date]], "mmm")</f>
        <v>Aug</v>
      </c>
      <c r="H1622" t="s">
        <v>360</v>
      </c>
      <c r="I1622" t="s">
        <v>661</v>
      </c>
      <c r="J1622" t="str">
        <f>_xlfn.XLOOKUP(Table1[[#This Row],[Course ]], CCF!B:B, CCF!A:A)</f>
        <v>DM101</v>
      </c>
      <c r="K1622" t="s">
        <v>365</v>
      </c>
      <c r="L1622">
        <f>_xlfn.XLOOKUP(K1622, CCF!B:B, CCF!C:C)</f>
        <v>85499</v>
      </c>
      <c r="M1622" t="s">
        <v>16</v>
      </c>
    </row>
    <row r="1623" spans="1:13" x14ac:dyDescent="0.3">
      <c r="A1623">
        <v>1622</v>
      </c>
      <c r="B1623" t="s">
        <v>2283</v>
      </c>
      <c r="C1623" s="3">
        <v>69252</v>
      </c>
      <c r="D1623" t="s">
        <v>667</v>
      </c>
      <c r="E1623">
        <v>35</v>
      </c>
      <c r="F1623" s="1">
        <v>45523</v>
      </c>
      <c r="G1623" s="1" t="str">
        <f>TEXT(Table1[[#This Row],[Enrollment date]], "mmm")</f>
        <v>Aug</v>
      </c>
      <c r="H1623" t="s">
        <v>360</v>
      </c>
      <c r="I1623" t="s">
        <v>661</v>
      </c>
      <c r="J1623" t="str">
        <f>_xlfn.XLOOKUP(Table1[[#This Row],[Course ]], CCF!B:B, CCF!A:A)</f>
        <v>DA202</v>
      </c>
      <c r="K1623" t="s">
        <v>363</v>
      </c>
      <c r="L1623">
        <f>_xlfn.XLOOKUP(K1623, CCF!B:B, CCF!C:C)</f>
        <v>79999</v>
      </c>
      <c r="M1623" t="s">
        <v>60</v>
      </c>
    </row>
    <row r="1624" spans="1:13" x14ac:dyDescent="0.3">
      <c r="A1624">
        <v>1623</v>
      </c>
      <c r="B1624" t="s">
        <v>2284</v>
      </c>
      <c r="C1624" s="3">
        <v>11246</v>
      </c>
      <c r="D1624" t="s">
        <v>666</v>
      </c>
      <c r="E1624">
        <v>40</v>
      </c>
      <c r="F1624" s="1">
        <v>45523</v>
      </c>
      <c r="G1624" s="1" t="str">
        <f>TEXT(Table1[[#This Row],[Enrollment date]], "mmm")</f>
        <v>Aug</v>
      </c>
      <c r="H1624" t="s">
        <v>360</v>
      </c>
      <c r="I1624" t="s">
        <v>659</v>
      </c>
      <c r="J1624" t="str">
        <f>_xlfn.XLOOKUP(Table1[[#This Row],[Course ]], CCF!B:B, CCF!A:A)</f>
        <v>DA202</v>
      </c>
      <c r="K1624" t="s">
        <v>363</v>
      </c>
      <c r="L1624">
        <f>_xlfn.XLOOKUP(K1624, CCF!B:B, CCF!C:C)</f>
        <v>79999</v>
      </c>
      <c r="M1624" t="s">
        <v>94</v>
      </c>
    </row>
    <row r="1625" spans="1:13" x14ac:dyDescent="0.3">
      <c r="A1625">
        <v>1624</v>
      </c>
      <c r="B1625" t="s">
        <v>2285</v>
      </c>
      <c r="C1625" s="3">
        <v>72332</v>
      </c>
      <c r="D1625" t="s">
        <v>666</v>
      </c>
      <c r="E1625">
        <v>27</v>
      </c>
      <c r="F1625" s="1">
        <v>45523</v>
      </c>
      <c r="G1625" s="1" t="str">
        <f>TEXT(Table1[[#This Row],[Enrollment date]], "mmm")</f>
        <v>Aug</v>
      </c>
      <c r="H1625" t="s">
        <v>360</v>
      </c>
      <c r="I1625" t="s">
        <v>661</v>
      </c>
      <c r="J1625" t="str">
        <f>_xlfn.XLOOKUP(Table1[[#This Row],[Course ]], CCF!B:B, CCF!A:A)</f>
        <v>DM101</v>
      </c>
      <c r="K1625" t="s">
        <v>365</v>
      </c>
      <c r="L1625">
        <f>_xlfn.XLOOKUP(K1625, CCF!B:B, CCF!C:C)</f>
        <v>85499</v>
      </c>
      <c r="M1625" t="s">
        <v>575</v>
      </c>
    </row>
    <row r="1626" spans="1:13" x14ac:dyDescent="0.3">
      <c r="A1626">
        <v>1625</v>
      </c>
      <c r="B1626" t="s">
        <v>2286</v>
      </c>
      <c r="C1626" s="3">
        <v>48177</v>
      </c>
      <c r="D1626" t="s">
        <v>666</v>
      </c>
      <c r="E1626">
        <v>47</v>
      </c>
      <c r="F1626" s="1">
        <v>45523</v>
      </c>
      <c r="G1626" s="1" t="str">
        <f>TEXT(Table1[[#This Row],[Enrollment date]], "mmm")</f>
        <v>Aug</v>
      </c>
      <c r="H1626" t="s">
        <v>360</v>
      </c>
      <c r="I1626" t="s">
        <v>664</v>
      </c>
      <c r="J1626" t="str">
        <f>_xlfn.XLOOKUP(Table1[[#This Row],[Course ]], CCF!B:B, CCF!A:A)</f>
        <v>DM101</v>
      </c>
      <c r="K1626" t="s">
        <v>365</v>
      </c>
      <c r="L1626">
        <f>_xlfn.XLOOKUP(K1626, CCF!B:B, CCF!C:C)</f>
        <v>85499</v>
      </c>
      <c r="M1626" t="s">
        <v>164</v>
      </c>
    </row>
    <row r="1627" spans="1:13" x14ac:dyDescent="0.3">
      <c r="A1627">
        <v>1626</v>
      </c>
      <c r="B1627" t="s">
        <v>2287</v>
      </c>
      <c r="C1627" s="3">
        <v>16788</v>
      </c>
      <c r="D1627" t="s">
        <v>666</v>
      </c>
      <c r="E1627">
        <v>69</v>
      </c>
      <c r="F1627" s="1">
        <v>45523</v>
      </c>
      <c r="G1627" s="1" t="str">
        <f>TEXT(Table1[[#This Row],[Enrollment date]], "mmm")</f>
        <v>Aug</v>
      </c>
      <c r="H1627" t="s">
        <v>360</v>
      </c>
      <c r="I1627" t="s">
        <v>661</v>
      </c>
      <c r="J1627" t="str">
        <f>_xlfn.XLOOKUP(Table1[[#This Row],[Course ]], CCF!B:B, CCF!A:A)</f>
        <v>DM101</v>
      </c>
      <c r="K1627" t="s">
        <v>365</v>
      </c>
      <c r="L1627">
        <f>_xlfn.XLOOKUP(K1627, CCF!B:B, CCF!C:C)</f>
        <v>85499</v>
      </c>
      <c r="M1627" t="s">
        <v>53</v>
      </c>
    </row>
    <row r="1628" spans="1:13" x14ac:dyDescent="0.3">
      <c r="A1628">
        <v>1627</v>
      </c>
      <c r="B1628" t="s">
        <v>2288</v>
      </c>
      <c r="C1628" s="3">
        <v>72611</v>
      </c>
      <c r="D1628" t="s">
        <v>666</v>
      </c>
      <c r="E1628">
        <v>71</v>
      </c>
      <c r="F1628" s="1">
        <v>45524</v>
      </c>
      <c r="G1628" s="1" t="str">
        <f>TEXT(Table1[[#This Row],[Enrollment date]], "mmm")</f>
        <v>Aug</v>
      </c>
      <c r="H1628" t="s">
        <v>360</v>
      </c>
      <c r="I1628" t="s">
        <v>659</v>
      </c>
      <c r="J1628" t="str">
        <f>_xlfn.XLOOKUP(Table1[[#This Row],[Course ]], CCF!B:B, CCF!A:A)</f>
        <v>BA301</v>
      </c>
      <c r="K1628" t="s">
        <v>364</v>
      </c>
      <c r="L1628">
        <f>_xlfn.XLOOKUP(K1628, CCF!B:B, CCF!C:C)</f>
        <v>59999</v>
      </c>
      <c r="M1628" t="s">
        <v>27</v>
      </c>
    </row>
    <row r="1629" spans="1:13" x14ac:dyDescent="0.3">
      <c r="A1629">
        <v>1628</v>
      </c>
      <c r="B1629" t="s">
        <v>2289</v>
      </c>
      <c r="C1629" s="3">
        <v>27904</v>
      </c>
      <c r="D1629" t="s">
        <v>667</v>
      </c>
      <c r="E1629">
        <v>71</v>
      </c>
      <c r="F1629" s="1">
        <v>45524</v>
      </c>
      <c r="G1629" s="1" t="str">
        <f>TEXT(Table1[[#This Row],[Enrollment date]], "mmm")</f>
        <v>Aug</v>
      </c>
      <c r="H1629" t="s">
        <v>360</v>
      </c>
      <c r="I1629" t="s">
        <v>660</v>
      </c>
      <c r="J1629" t="str">
        <f>_xlfn.XLOOKUP(Table1[[#This Row],[Course ]], CCF!B:B, CCF!A:A)</f>
        <v>DM101</v>
      </c>
      <c r="K1629" t="s">
        <v>365</v>
      </c>
      <c r="L1629">
        <f>_xlfn.XLOOKUP(K1629, CCF!B:B, CCF!C:C)</f>
        <v>85499</v>
      </c>
      <c r="M1629" t="s">
        <v>530</v>
      </c>
    </row>
    <row r="1630" spans="1:13" x14ac:dyDescent="0.3">
      <c r="A1630">
        <v>1629</v>
      </c>
      <c r="B1630" t="s">
        <v>2290</v>
      </c>
      <c r="C1630" s="3">
        <v>63414</v>
      </c>
      <c r="D1630" t="s">
        <v>667</v>
      </c>
      <c r="E1630">
        <v>43</v>
      </c>
      <c r="F1630" s="1">
        <v>45524</v>
      </c>
      <c r="G1630" s="1" t="str">
        <f>TEXT(Table1[[#This Row],[Enrollment date]], "mmm")</f>
        <v>Aug</v>
      </c>
      <c r="H1630" t="s">
        <v>360</v>
      </c>
      <c r="I1630" t="s">
        <v>662</v>
      </c>
      <c r="J1630" t="str">
        <f>_xlfn.XLOOKUP(Table1[[#This Row],[Course ]], CCF!B:B, CCF!A:A)</f>
        <v>DA202</v>
      </c>
      <c r="K1630" t="s">
        <v>363</v>
      </c>
      <c r="L1630">
        <f>_xlfn.XLOOKUP(K1630, CCF!B:B, CCF!C:C)</f>
        <v>79999</v>
      </c>
      <c r="M1630" t="s">
        <v>392</v>
      </c>
    </row>
    <row r="1631" spans="1:13" x14ac:dyDescent="0.3">
      <c r="A1631">
        <v>1630</v>
      </c>
      <c r="B1631" t="s">
        <v>2291</v>
      </c>
      <c r="C1631" s="3">
        <v>36736</v>
      </c>
      <c r="D1631" t="s">
        <v>666</v>
      </c>
      <c r="E1631">
        <v>22</v>
      </c>
      <c r="F1631" s="1">
        <v>45524</v>
      </c>
      <c r="G1631" s="1" t="str">
        <f>TEXT(Table1[[#This Row],[Enrollment date]], "mmm")</f>
        <v>Aug</v>
      </c>
      <c r="H1631" t="s">
        <v>360</v>
      </c>
      <c r="I1631" t="s">
        <v>659</v>
      </c>
      <c r="J1631" t="str">
        <f>_xlfn.XLOOKUP(Table1[[#This Row],[Course ]], CCF!B:B, CCF!A:A)</f>
        <v>DA202</v>
      </c>
      <c r="K1631" t="s">
        <v>363</v>
      </c>
      <c r="L1631">
        <f>_xlfn.XLOOKUP(K1631, CCF!B:B, CCF!C:C)</f>
        <v>79999</v>
      </c>
      <c r="M1631" t="s">
        <v>9</v>
      </c>
    </row>
    <row r="1632" spans="1:13" x14ac:dyDescent="0.3">
      <c r="A1632">
        <v>1631</v>
      </c>
      <c r="B1632" t="s">
        <v>2292</v>
      </c>
      <c r="C1632" s="3">
        <v>31935</v>
      </c>
      <c r="D1632" t="s">
        <v>666</v>
      </c>
      <c r="E1632">
        <v>39</v>
      </c>
      <c r="F1632" s="1">
        <v>45524</v>
      </c>
      <c r="G1632" s="1" t="str">
        <f>TEXT(Table1[[#This Row],[Enrollment date]], "mmm")</f>
        <v>Aug</v>
      </c>
      <c r="H1632" t="s">
        <v>360</v>
      </c>
      <c r="I1632" t="s">
        <v>662</v>
      </c>
      <c r="J1632" t="str">
        <f>_xlfn.XLOOKUP(Table1[[#This Row],[Course ]], CCF!B:B, CCF!A:A)</f>
        <v>FSD103</v>
      </c>
      <c r="K1632" t="s">
        <v>366</v>
      </c>
      <c r="L1632">
        <f>_xlfn.XLOOKUP(K1632, CCF!B:B, CCF!C:C)</f>
        <v>109990</v>
      </c>
      <c r="M1632" t="s">
        <v>16</v>
      </c>
    </row>
    <row r="1633" spans="1:13" x14ac:dyDescent="0.3">
      <c r="A1633">
        <v>1632</v>
      </c>
      <c r="B1633" t="s">
        <v>2293</v>
      </c>
      <c r="C1633" s="3">
        <v>21856</v>
      </c>
      <c r="D1633" t="s">
        <v>666</v>
      </c>
      <c r="E1633">
        <v>35</v>
      </c>
      <c r="F1633" s="1">
        <v>45525</v>
      </c>
      <c r="G1633" s="1" t="str">
        <f>TEXT(Table1[[#This Row],[Enrollment date]], "mmm")</f>
        <v>Aug</v>
      </c>
      <c r="H1633" t="s">
        <v>361</v>
      </c>
      <c r="I1633" t="s">
        <v>660</v>
      </c>
      <c r="J1633" t="str">
        <f>_xlfn.XLOOKUP(Table1[[#This Row],[Course ]], CCF!B:B, CCF!A:A)</f>
        <v>DA202</v>
      </c>
      <c r="K1633" t="s">
        <v>363</v>
      </c>
      <c r="L1633">
        <f>_xlfn.XLOOKUP(K1633, CCF!B:B, CCF!C:C)</f>
        <v>79999</v>
      </c>
      <c r="M1633" t="s">
        <v>100</v>
      </c>
    </row>
    <row r="1634" spans="1:13" x14ac:dyDescent="0.3">
      <c r="A1634">
        <v>1633</v>
      </c>
      <c r="B1634" t="s">
        <v>2294</v>
      </c>
      <c r="C1634" s="3">
        <v>17792</v>
      </c>
      <c r="D1634" t="s">
        <v>666</v>
      </c>
      <c r="E1634">
        <v>41</v>
      </c>
      <c r="F1634" s="1">
        <v>45525</v>
      </c>
      <c r="G1634" s="1" t="str">
        <f>TEXT(Table1[[#This Row],[Enrollment date]], "mmm")</f>
        <v>Aug</v>
      </c>
      <c r="H1634" t="s">
        <v>360</v>
      </c>
      <c r="I1634" t="s">
        <v>660</v>
      </c>
      <c r="J1634" t="str">
        <f>_xlfn.XLOOKUP(Table1[[#This Row],[Course ]], CCF!B:B, CCF!A:A)</f>
        <v>DM101</v>
      </c>
      <c r="K1634" t="s">
        <v>365</v>
      </c>
      <c r="L1634">
        <f>_xlfn.XLOOKUP(K1634, CCF!B:B, CCF!C:C)</f>
        <v>85499</v>
      </c>
      <c r="M1634" t="s">
        <v>144</v>
      </c>
    </row>
    <row r="1635" spans="1:13" x14ac:dyDescent="0.3">
      <c r="A1635">
        <v>1634</v>
      </c>
      <c r="B1635" t="s">
        <v>2295</v>
      </c>
      <c r="C1635" s="3">
        <v>47121</v>
      </c>
      <c r="D1635" t="s">
        <v>666</v>
      </c>
      <c r="E1635">
        <v>35</v>
      </c>
      <c r="F1635" s="1">
        <v>45525</v>
      </c>
      <c r="G1635" s="1" t="str">
        <f>TEXT(Table1[[#This Row],[Enrollment date]], "mmm")</f>
        <v>Aug</v>
      </c>
      <c r="H1635" t="s">
        <v>360</v>
      </c>
      <c r="I1635" t="s">
        <v>660</v>
      </c>
      <c r="J1635" t="str">
        <f>_xlfn.XLOOKUP(Table1[[#This Row],[Course ]], CCF!B:B, CCF!A:A)</f>
        <v>BA301</v>
      </c>
      <c r="K1635" t="s">
        <v>364</v>
      </c>
      <c r="L1635">
        <f>_xlfn.XLOOKUP(K1635, CCF!B:B, CCF!C:C)</f>
        <v>59999</v>
      </c>
      <c r="M1635" t="s">
        <v>246</v>
      </c>
    </row>
    <row r="1636" spans="1:13" x14ac:dyDescent="0.3">
      <c r="A1636">
        <v>1635</v>
      </c>
      <c r="B1636" t="s">
        <v>2296</v>
      </c>
      <c r="C1636" s="3">
        <v>78253</v>
      </c>
      <c r="D1636" t="s">
        <v>666</v>
      </c>
      <c r="E1636">
        <v>27</v>
      </c>
      <c r="F1636" s="1">
        <v>45525</v>
      </c>
      <c r="G1636" s="1" t="str">
        <f>TEXT(Table1[[#This Row],[Enrollment date]], "mmm")</f>
        <v>Aug</v>
      </c>
      <c r="H1636" t="s">
        <v>3</v>
      </c>
      <c r="I1636" t="s">
        <v>664</v>
      </c>
      <c r="J1636" t="str">
        <f>_xlfn.XLOOKUP(Table1[[#This Row],[Course ]], CCF!B:B, CCF!A:A)</f>
        <v>DM101</v>
      </c>
      <c r="K1636" t="s">
        <v>365</v>
      </c>
      <c r="L1636">
        <f>_xlfn.XLOOKUP(K1636, CCF!B:B, CCF!C:C)</f>
        <v>85499</v>
      </c>
      <c r="M1636" t="s">
        <v>16</v>
      </c>
    </row>
    <row r="1637" spans="1:13" x14ac:dyDescent="0.3">
      <c r="A1637">
        <v>1636</v>
      </c>
      <c r="B1637" t="s">
        <v>2297</v>
      </c>
      <c r="C1637" s="3">
        <v>34612</v>
      </c>
      <c r="D1637" t="s">
        <v>667</v>
      </c>
      <c r="E1637">
        <v>61</v>
      </c>
      <c r="F1637" s="1">
        <v>45525</v>
      </c>
      <c r="G1637" s="1" t="str">
        <f>TEXT(Table1[[#This Row],[Enrollment date]], "mmm")</f>
        <v>Aug</v>
      </c>
      <c r="H1637" t="s">
        <v>360</v>
      </c>
      <c r="I1637" t="s">
        <v>660</v>
      </c>
      <c r="J1637" t="str">
        <f>_xlfn.XLOOKUP(Table1[[#This Row],[Course ]], CCF!B:B, CCF!A:A)</f>
        <v>FSD103</v>
      </c>
      <c r="K1637" t="s">
        <v>366</v>
      </c>
      <c r="L1637">
        <f>_xlfn.XLOOKUP(K1637, CCF!B:B, CCF!C:C)</f>
        <v>109990</v>
      </c>
      <c r="M1637" t="s">
        <v>16</v>
      </c>
    </row>
    <row r="1638" spans="1:13" x14ac:dyDescent="0.3">
      <c r="A1638">
        <v>1637</v>
      </c>
      <c r="B1638" t="s">
        <v>2298</v>
      </c>
      <c r="C1638" s="3">
        <v>37294</v>
      </c>
      <c r="D1638" t="s">
        <v>667</v>
      </c>
      <c r="E1638">
        <v>66</v>
      </c>
      <c r="F1638" s="1">
        <v>45526</v>
      </c>
      <c r="G1638" s="1" t="str">
        <f>TEXT(Table1[[#This Row],[Enrollment date]], "mmm")</f>
        <v>Aug</v>
      </c>
      <c r="H1638" t="s">
        <v>360</v>
      </c>
      <c r="I1638" t="s">
        <v>665</v>
      </c>
      <c r="J1638" t="str">
        <f>_xlfn.XLOOKUP(Table1[[#This Row],[Course ]], CCF!B:B, CCF!A:A)</f>
        <v>FSD103</v>
      </c>
      <c r="K1638" t="s">
        <v>366</v>
      </c>
      <c r="L1638">
        <f>_xlfn.XLOOKUP(K1638, CCF!B:B, CCF!C:C)</f>
        <v>109990</v>
      </c>
      <c r="M1638" t="s">
        <v>16</v>
      </c>
    </row>
    <row r="1639" spans="1:13" x14ac:dyDescent="0.3">
      <c r="A1639">
        <v>1638</v>
      </c>
      <c r="B1639" t="s">
        <v>2299</v>
      </c>
      <c r="C1639" s="3">
        <v>62322</v>
      </c>
      <c r="D1639" t="s">
        <v>666</v>
      </c>
      <c r="E1639">
        <v>35</v>
      </c>
      <c r="F1639" s="1">
        <v>45526</v>
      </c>
      <c r="G1639" s="1" t="str">
        <f>TEXT(Table1[[#This Row],[Enrollment date]], "mmm")</f>
        <v>Aug</v>
      </c>
      <c r="H1639" t="s">
        <v>361</v>
      </c>
      <c r="I1639" t="s">
        <v>661</v>
      </c>
      <c r="J1639" t="str">
        <f>_xlfn.XLOOKUP(Table1[[#This Row],[Course ]], CCF!B:B, CCF!A:A)</f>
        <v>DA202</v>
      </c>
      <c r="K1639" t="s">
        <v>363</v>
      </c>
      <c r="L1639">
        <f>_xlfn.XLOOKUP(K1639, CCF!B:B, CCF!C:C)</f>
        <v>79999</v>
      </c>
      <c r="M1639" t="s">
        <v>392</v>
      </c>
    </row>
    <row r="1640" spans="1:13" x14ac:dyDescent="0.3">
      <c r="A1640">
        <v>1639</v>
      </c>
      <c r="B1640" t="s">
        <v>2300</v>
      </c>
      <c r="C1640" s="3">
        <v>17204</v>
      </c>
      <c r="D1640" t="s">
        <v>666</v>
      </c>
      <c r="E1640">
        <v>49</v>
      </c>
      <c r="F1640" s="1">
        <v>45526</v>
      </c>
      <c r="G1640" s="1" t="str">
        <f>TEXT(Table1[[#This Row],[Enrollment date]], "mmm")</f>
        <v>Aug</v>
      </c>
      <c r="H1640" t="s">
        <v>360</v>
      </c>
      <c r="I1640" t="s">
        <v>659</v>
      </c>
      <c r="J1640" t="str">
        <f>_xlfn.XLOOKUP(Table1[[#This Row],[Course ]], CCF!B:B, CCF!A:A)</f>
        <v>DM101</v>
      </c>
      <c r="K1640" t="s">
        <v>365</v>
      </c>
      <c r="L1640">
        <f>_xlfn.XLOOKUP(K1640, CCF!B:B, CCF!C:C)</f>
        <v>85499</v>
      </c>
      <c r="M1640" t="s">
        <v>576</v>
      </c>
    </row>
    <row r="1641" spans="1:13" x14ac:dyDescent="0.3">
      <c r="A1641">
        <v>1640</v>
      </c>
      <c r="B1641" t="s">
        <v>2301</v>
      </c>
      <c r="C1641" s="3">
        <v>24342</v>
      </c>
      <c r="D1641" t="s">
        <v>666</v>
      </c>
      <c r="E1641">
        <v>23</v>
      </c>
      <c r="F1641" s="1">
        <v>45526</v>
      </c>
      <c r="G1641" s="1" t="str">
        <f>TEXT(Table1[[#This Row],[Enrollment date]], "mmm")</f>
        <v>Aug</v>
      </c>
      <c r="H1641" t="s">
        <v>360</v>
      </c>
      <c r="I1641" t="s">
        <v>661</v>
      </c>
      <c r="J1641" t="str">
        <f>_xlfn.XLOOKUP(Table1[[#This Row],[Course ]], CCF!B:B, CCF!A:A)</f>
        <v>DM101</v>
      </c>
      <c r="K1641" t="s">
        <v>365</v>
      </c>
      <c r="L1641">
        <f>_xlfn.XLOOKUP(K1641, CCF!B:B, CCF!C:C)</f>
        <v>85499</v>
      </c>
      <c r="M1641" t="s">
        <v>75</v>
      </c>
    </row>
    <row r="1642" spans="1:13" x14ac:dyDescent="0.3">
      <c r="A1642">
        <v>1641</v>
      </c>
      <c r="B1642" t="s">
        <v>2302</v>
      </c>
      <c r="C1642" s="3">
        <v>84298</v>
      </c>
      <c r="D1642" t="s">
        <v>666</v>
      </c>
      <c r="E1642">
        <v>21</v>
      </c>
      <c r="F1642" s="1">
        <v>45526</v>
      </c>
      <c r="G1642" s="1" t="str">
        <f>TEXT(Table1[[#This Row],[Enrollment date]], "mmm")</f>
        <v>Aug</v>
      </c>
      <c r="H1642" t="s">
        <v>360</v>
      </c>
      <c r="I1642" t="s">
        <v>660</v>
      </c>
      <c r="J1642" t="str">
        <f>_xlfn.XLOOKUP(Table1[[#This Row],[Course ]], CCF!B:B, CCF!A:A)</f>
        <v>DA202</v>
      </c>
      <c r="K1642" t="s">
        <v>363</v>
      </c>
      <c r="L1642">
        <f>_xlfn.XLOOKUP(K1642, CCF!B:B, CCF!C:C)</f>
        <v>79999</v>
      </c>
      <c r="M1642" t="s">
        <v>56</v>
      </c>
    </row>
    <row r="1643" spans="1:13" x14ac:dyDescent="0.3">
      <c r="A1643">
        <v>1642</v>
      </c>
      <c r="B1643" t="s">
        <v>2303</v>
      </c>
      <c r="C1643" s="3">
        <v>25292</v>
      </c>
      <c r="D1643" t="s">
        <v>666</v>
      </c>
      <c r="E1643">
        <v>29</v>
      </c>
      <c r="F1643" s="1">
        <v>45526</v>
      </c>
      <c r="G1643" s="1" t="str">
        <f>TEXT(Table1[[#This Row],[Enrollment date]], "mmm")</f>
        <v>Aug</v>
      </c>
      <c r="H1643" t="s">
        <v>360</v>
      </c>
      <c r="I1643" t="s">
        <v>660</v>
      </c>
      <c r="J1643" t="str">
        <f>_xlfn.XLOOKUP(Table1[[#This Row],[Course ]], CCF!B:B, CCF!A:A)</f>
        <v>DA202</v>
      </c>
      <c r="K1643" t="s">
        <v>363</v>
      </c>
      <c r="L1643">
        <f>_xlfn.XLOOKUP(K1643, CCF!B:B, CCF!C:C)</f>
        <v>79999</v>
      </c>
      <c r="M1643" t="s">
        <v>229</v>
      </c>
    </row>
    <row r="1644" spans="1:13" x14ac:dyDescent="0.3">
      <c r="A1644">
        <v>1643</v>
      </c>
      <c r="B1644" t="s">
        <v>2304</v>
      </c>
      <c r="C1644" s="3">
        <v>41165</v>
      </c>
      <c r="D1644" t="s">
        <v>666</v>
      </c>
      <c r="E1644">
        <v>58</v>
      </c>
      <c r="F1644" s="1">
        <v>45526</v>
      </c>
      <c r="G1644" s="1" t="str">
        <f>TEXT(Table1[[#This Row],[Enrollment date]], "mmm")</f>
        <v>Aug</v>
      </c>
      <c r="H1644" t="s">
        <v>360</v>
      </c>
      <c r="I1644" t="s">
        <v>663</v>
      </c>
      <c r="J1644" t="str">
        <f>_xlfn.XLOOKUP(Table1[[#This Row],[Course ]], CCF!B:B, CCF!A:A)</f>
        <v>DM101</v>
      </c>
      <c r="K1644" t="s">
        <v>365</v>
      </c>
      <c r="L1644">
        <f>_xlfn.XLOOKUP(K1644, CCF!B:B, CCF!C:C)</f>
        <v>85499</v>
      </c>
      <c r="M1644" t="s">
        <v>7</v>
      </c>
    </row>
    <row r="1645" spans="1:13" x14ac:dyDescent="0.3">
      <c r="A1645">
        <v>1644</v>
      </c>
      <c r="B1645" t="s">
        <v>2305</v>
      </c>
      <c r="C1645" s="3">
        <v>79175</v>
      </c>
      <c r="D1645" t="s">
        <v>666</v>
      </c>
      <c r="E1645">
        <v>21</v>
      </c>
      <c r="F1645" s="1">
        <v>45526</v>
      </c>
      <c r="G1645" s="1" t="str">
        <f>TEXT(Table1[[#This Row],[Enrollment date]], "mmm")</f>
        <v>Aug</v>
      </c>
      <c r="H1645" t="s">
        <v>360</v>
      </c>
      <c r="I1645" t="s">
        <v>660</v>
      </c>
      <c r="J1645" t="str">
        <f>_xlfn.XLOOKUP(Table1[[#This Row],[Course ]], CCF!B:B, CCF!A:A)</f>
        <v>DA202</v>
      </c>
      <c r="K1645" t="s">
        <v>363</v>
      </c>
      <c r="L1645">
        <f>_xlfn.XLOOKUP(K1645, CCF!B:B, CCF!C:C)</f>
        <v>79999</v>
      </c>
      <c r="M1645" t="s">
        <v>12</v>
      </c>
    </row>
    <row r="1646" spans="1:13" x14ac:dyDescent="0.3">
      <c r="A1646">
        <v>1645</v>
      </c>
      <c r="B1646" t="s">
        <v>2306</v>
      </c>
      <c r="C1646" s="3">
        <v>60326</v>
      </c>
      <c r="D1646" t="s">
        <v>666</v>
      </c>
      <c r="E1646">
        <v>34</v>
      </c>
      <c r="F1646" s="1">
        <v>45526</v>
      </c>
      <c r="G1646" s="1" t="str">
        <f>TEXT(Table1[[#This Row],[Enrollment date]], "mmm")</f>
        <v>Aug</v>
      </c>
      <c r="H1646" t="s">
        <v>360</v>
      </c>
      <c r="I1646" t="s">
        <v>660</v>
      </c>
      <c r="J1646" t="str">
        <f>_xlfn.XLOOKUP(Table1[[#This Row],[Course ]], CCF!B:B, CCF!A:A)</f>
        <v>AI001</v>
      </c>
      <c r="K1646" t="s">
        <v>368</v>
      </c>
      <c r="L1646">
        <f>_xlfn.XLOOKUP(K1646, CCF!B:B, CCF!C:C)</f>
        <v>119990</v>
      </c>
      <c r="M1646" t="s">
        <v>106</v>
      </c>
    </row>
    <row r="1647" spans="1:13" x14ac:dyDescent="0.3">
      <c r="A1647">
        <v>1646</v>
      </c>
      <c r="B1647" t="s">
        <v>2307</v>
      </c>
      <c r="C1647" s="3">
        <v>49098</v>
      </c>
      <c r="D1647" t="s">
        <v>666</v>
      </c>
      <c r="E1647">
        <v>22</v>
      </c>
      <c r="F1647" s="1">
        <v>45526</v>
      </c>
      <c r="G1647" s="1" t="str">
        <f>TEXT(Table1[[#This Row],[Enrollment date]], "mmm")</f>
        <v>Aug</v>
      </c>
      <c r="H1647" t="s">
        <v>360</v>
      </c>
      <c r="I1647" t="s">
        <v>664</v>
      </c>
      <c r="J1647" t="str">
        <f>_xlfn.XLOOKUP(Table1[[#This Row],[Course ]], CCF!B:B, CCF!A:A)</f>
        <v>DM101</v>
      </c>
      <c r="K1647" t="s">
        <v>365</v>
      </c>
      <c r="L1647">
        <f>_xlfn.XLOOKUP(K1647, CCF!B:B, CCF!C:C)</f>
        <v>85499</v>
      </c>
      <c r="M1647" t="s">
        <v>172</v>
      </c>
    </row>
    <row r="1648" spans="1:13" x14ac:dyDescent="0.3">
      <c r="A1648">
        <v>1647</v>
      </c>
      <c r="B1648" t="s">
        <v>2308</v>
      </c>
      <c r="C1648" s="3">
        <v>49901</v>
      </c>
      <c r="D1648" t="s">
        <v>667</v>
      </c>
      <c r="E1648">
        <v>26</v>
      </c>
      <c r="F1648" s="1">
        <v>45526</v>
      </c>
      <c r="G1648" s="1" t="str">
        <f>TEXT(Table1[[#This Row],[Enrollment date]], "mmm")</f>
        <v>Aug</v>
      </c>
      <c r="H1648" t="s">
        <v>360</v>
      </c>
      <c r="I1648" t="s">
        <v>659</v>
      </c>
      <c r="J1648" t="str">
        <f>_xlfn.XLOOKUP(Table1[[#This Row],[Course ]], CCF!B:B, CCF!A:A)</f>
        <v>DM101</v>
      </c>
      <c r="K1648" t="s">
        <v>365</v>
      </c>
      <c r="L1648">
        <f>_xlfn.XLOOKUP(K1648, CCF!B:B, CCF!C:C)</f>
        <v>85499</v>
      </c>
      <c r="M1648" t="s">
        <v>250</v>
      </c>
    </row>
    <row r="1649" spans="1:13" x14ac:dyDescent="0.3">
      <c r="A1649">
        <v>1648</v>
      </c>
      <c r="B1649" t="s">
        <v>2309</v>
      </c>
      <c r="C1649" s="3">
        <v>81903</v>
      </c>
      <c r="D1649" t="s">
        <v>667</v>
      </c>
      <c r="E1649">
        <v>30</v>
      </c>
      <c r="F1649" s="1">
        <v>45527</v>
      </c>
      <c r="G1649" s="1" t="str">
        <f>TEXT(Table1[[#This Row],[Enrollment date]], "mmm")</f>
        <v>Aug</v>
      </c>
      <c r="H1649" t="s">
        <v>360</v>
      </c>
      <c r="I1649" t="s">
        <v>660</v>
      </c>
      <c r="J1649" t="str">
        <f>_xlfn.XLOOKUP(Table1[[#This Row],[Course ]], CCF!B:B, CCF!A:A)</f>
        <v>DA202</v>
      </c>
      <c r="K1649" t="s">
        <v>363</v>
      </c>
      <c r="L1649">
        <f>_xlfn.XLOOKUP(K1649, CCF!B:B, CCF!C:C)</f>
        <v>79999</v>
      </c>
      <c r="M1649" t="s">
        <v>16</v>
      </c>
    </row>
    <row r="1650" spans="1:13" x14ac:dyDescent="0.3">
      <c r="A1650">
        <v>1649</v>
      </c>
      <c r="B1650" t="s">
        <v>2310</v>
      </c>
      <c r="C1650" s="3">
        <v>78015</v>
      </c>
      <c r="D1650" t="s">
        <v>667</v>
      </c>
      <c r="E1650">
        <v>44</v>
      </c>
      <c r="F1650" s="1">
        <v>45527</v>
      </c>
      <c r="G1650" s="1" t="str">
        <f>TEXT(Table1[[#This Row],[Enrollment date]], "mmm")</f>
        <v>Aug</v>
      </c>
      <c r="H1650" t="s">
        <v>360</v>
      </c>
      <c r="I1650" t="s">
        <v>664</v>
      </c>
      <c r="J1650" t="str">
        <f>_xlfn.XLOOKUP(Table1[[#This Row],[Course ]], CCF!B:B, CCF!A:A)</f>
        <v>DM101</v>
      </c>
      <c r="K1650" t="s">
        <v>365</v>
      </c>
      <c r="L1650">
        <f>_xlfn.XLOOKUP(K1650, CCF!B:B, CCF!C:C)</f>
        <v>85499</v>
      </c>
      <c r="M1650" t="s">
        <v>517</v>
      </c>
    </row>
    <row r="1651" spans="1:13" x14ac:dyDescent="0.3">
      <c r="A1651">
        <v>1650</v>
      </c>
      <c r="B1651" t="s">
        <v>2311</v>
      </c>
      <c r="C1651" s="3">
        <v>87373</v>
      </c>
      <c r="D1651" t="s">
        <v>666</v>
      </c>
      <c r="E1651">
        <v>18</v>
      </c>
      <c r="F1651" s="1">
        <v>45527</v>
      </c>
      <c r="G1651" s="1" t="str">
        <f>TEXT(Table1[[#This Row],[Enrollment date]], "mmm")</f>
        <v>Aug</v>
      </c>
      <c r="H1651" t="s">
        <v>360</v>
      </c>
      <c r="I1651" t="s">
        <v>661</v>
      </c>
      <c r="J1651" t="str">
        <f>_xlfn.XLOOKUP(Table1[[#This Row],[Course ]], CCF!B:B, CCF!A:A)</f>
        <v>UX401</v>
      </c>
      <c r="K1651" t="s">
        <v>367</v>
      </c>
      <c r="L1651">
        <f>_xlfn.XLOOKUP(K1651, CCF!B:B, CCF!C:C)</f>
        <v>67990</v>
      </c>
      <c r="M1651" t="s">
        <v>577</v>
      </c>
    </row>
    <row r="1652" spans="1:13" x14ac:dyDescent="0.3">
      <c r="A1652">
        <v>1651</v>
      </c>
      <c r="B1652" t="s">
        <v>2312</v>
      </c>
      <c r="C1652" s="3">
        <v>27595</v>
      </c>
      <c r="D1652" t="s">
        <v>666</v>
      </c>
      <c r="E1652">
        <v>24</v>
      </c>
      <c r="F1652" s="1">
        <v>45527</v>
      </c>
      <c r="G1652" s="1" t="str">
        <f>TEXT(Table1[[#This Row],[Enrollment date]], "mmm")</f>
        <v>Aug</v>
      </c>
      <c r="H1652" t="s">
        <v>360</v>
      </c>
      <c r="I1652" t="s">
        <v>659</v>
      </c>
      <c r="J1652" t="str">
        <f>_xlfn.XLOOKUP(Table1[[#This Row],[Course ]], CCF!B:B, CCF!A:A)</f>
        <v>DM101</v>
      </c>
      <c r="K1652" t="s">
        <v>365</v>
      </c>
      <c r="L1652">
        <f>_xlfn.XLOOKUP(K1652, CCF!B:B, CCF!C:C)</f>
        <v>85499</v>
      </c>
      <c r="M1652" t="s">
        <v>25</v>
      </c>
    </row>
    <row r="1653" spans="1:13" x14ac:dyDescent="0.3">
      <c r="A1653">
        <v>1652</v>
      </c>
      <c r="B1653" t="s">
        <v>2313</v>
      </c>
      <c r="C1653" s="3">
        <v>19791</v>
      </c>
      <c r="D1653" t="s">
        <v>667</v>
      </c>
      <c r="E1653">
        <v>48</v>
      </c>
      <c r="F1653" s="1">
        <v>45527</v>
      </c>
      <c r="G1653" s="1" t="str">
        <f>TEXT(Table1[[#This Row],[Enrollment date]], "mmm")</f>
        <v>Aug</v>
      </c>
      <c r="H1653" t="s">
        <v>360</v>
      </c>
      <c r="I1653" t="s">
        <v>660</v>
      </c>
      <c r="J1653" t="str">
        <f>_xlfn.XLOOKUP(Table1[[#This Row],[Course ]], CCF!B:B, CCF!A:A)</f>
        <v>DA202</v>
      </c>
      <c r="K1653" t="s">
        <v>363</v>
      </c>
      <c r="L1653">
        <f>_xlfn.XLOOKUP(K1653, CCF!B:B, CCF!C:C)</f>
        <v>79999</v>
      </c>
      <c r="M1653" t="s">
        <v>578</v>
      </c>
    </row>
    <row r="1654" spans="1:13" x14ac:dyDescent="0.3">
      <c r="A1654">
        <v>1653</v>
      </c>
      <c r="B1654" t="s">
        <v>2314</v>
      </c>
      <c r="C1654" s="3">
        <v>67139</v>
      </c>
      <c r="D1654" t="s">
        <v>666</v>
      </c>
      <c r="E1654">
        <v>28</v>
      </c>
      <c r="F1654" s="1">
        <v>45528</v>
      </c>
      <c r="G1654" s="1" t="str">
        <f>TEXT(Table1[[#This Row],[Enrollment date]], "mmm")</f>
        <v>Aug</v>
      </c>
      <c r="H1654" t="s">
        <v>360</v>
      </c>
      <c r="I1654" t="s">
        <v>661</v>
      </c>
      <c r="J1654" t="str">
        <f>_xlfn.XLOOKUP(Table1[[#This Row],[Course ]], CCF!B:B, CCF!A:A)</f>
        <v>DA202</v>
      </c>
      <c r="K1654" t="s">
        <v>363</v>
      </c>
      <c r="L1654">
        <f>_xlfn.XLOOKUP(K1654, CCF!B:B, CCF!C:C)</f>
        <v>79999</v>
      </c>
      <c r="M1654" t="s">
        <v>9</v>
      </c>
    </row>
    <row r="1655" spans="1:13" x14ac:dyDescent="0.3">
      <c r="A1655">
        <v>1654</v>
      </c>
      <c r="B1655" t="s">
        <v>2315</v>
      </c>
      <c r="C1655" s="3">
        <v>47802</v>
      </c>
      <c r="D1655" t="s">
        <v>667</v>
      </c>
      <c r="E1655">
        <v>42</v>
      </c>
      <c r="F1655" s="1">
        <v>45528</v>
      </c>
      <c r="G1655" s="1" t="str">
        <f>TEXT(Table1[[#This Row],[Enrollment date]], "mmm")</f>
        <v>Aug</v>
      </c>
      <c r="H1655" t="s">
        <v>360</v>
      </c>
      <c r="I1655" t="s">
        <v>661</v>
      </c>
      <c r="J1655" t="str">
        <f>_xlfn.XLOOKUP(Table1[[#This Row],[Course ]], CCF!B:B, CCF!A:A)</f>
        <v>DA202</v>
      </c>
      <c r="K1655" t="s">
        <v>363</v>
      </c>
      <c r="L1655">
        <f>_xlfn.XLOOKUP(K1655, CCF!B:B, CCF!C:C)</f>
        <v>79999</v>
      </c>
      <c r="M1655" t="s">
        <v>9</v>
      </c>
    </row>
    <row r="1656" spans="1:13" x14ac:dyDescent="0.3">
      <c r="A1656">
        <v>1655</v>
      </c>
      <c r="B1656" t="s">
        <v>2316</v>
      </c>
      <c r="C1656" s="3">
        <v>58997</v>
      </c>
      <c r="D1656" t="s">
        <v>667</v>
      </c>
      <c r="E1656">
        <v>62</v>
      </c>
      <c r="F1656" s="1">
        <v>45528</v>
      </c>
      <c r="G1656" s="1" t="str">
        <f>TEXT(Table1[[#This Row],[Enrollment date]], "mmm")</f>
        <v>Aug</v>
      </c>
      <c r="H1656" t="s">
        <v>360</v>
      </c>
      <c r="I1656" t="s">
        <v>661</v>
      </c>
      <c r="J1656" t="str">
        <f>_xlfn.XLOOKUP(Table1[[#This Row],[Course ]], CCF!B:B, CCF!A:A)</f>
        <v>DM101</v>
      </c>
      <c r="K1656" t="s">
        <v>365</v>
      </c>
      <c r="L1656">
        <f>_xlfn.XLOOKUP(K1656, CCF!B:B, CCF!C:C)</f>
        <v>85499</v>
      </c>
      <c r="M1656" t="s">
        <v>75</v>
      </c>
    </row>
    <row r="1657" spans="1:13" x14ac:dyDescent="0.3">
      <c r="A1657">
        <v>1656</v>
      </c>
      <c r="B1657" t="s">
        <v>2317</v>
      </c>
      <c r="C1657" s="3">
        <v>70270</v>
      </c>
      <c r="D1657" t="s">
        <v>667</v>
      </c>
      <c r="E1657">
        <v>32</v>
      </c>
      <c r="F1657" s="1">
        <v>45528</v>
      </c>
      <c r="G1657" s="1" t="str">
        <f>TEXT(Table1[[#This Row],[Enrollment date]], "mmm")</f>
        <v>Aug</v>
      </c>
      <c r="H1657" t="s">
        <v>360</v>
      </c>
      <c r="I1657" t="s">
        <v>663</v>
      </c>
      <c r="J1657" t="str">
        <f>_xlfn.XLOOKUP(Table1[[#This Row],[Course ]], CCF!B:B, CCF!A:A)</f>
        <v>DA202</v>
      </c>
      <c r="K1657" t="s">
        <v>363</v>
      </c>
      <c r="L1657">
        <f>_xlfn.XLOOKUP(K1657, CCF!B:B, CCF!C:C)</f>
        <v>79999</v>
      </c>
      <c r="M1657" t="s">
        <v>131</v>
      </c>
    </row>
    <row r="1658" spans="1:13" x14ac:dyDescent="0.3">
      <c r="A1658">
        <v>1657</v>
      </c>
      <c r="B1658" t="s">
        <v>2318</v>
      </c>
      <c r="C1658" s="3">
        <v>36121</v>
      </c>
      <c r="D1658" t="s">
        <v>667</v>
      </c>
      <c r="E1658">
        <v>74</v>
      </c>
      <c r="F1658" s="1">
        <v>45529</v>
      </c>
      <c r="G1658" s="1" t="str">
        <f>TEXT(Table1[[#This Row],[Enrollment date]], "mmm")</f>
        <v>Aug</v>
      </c>
      <c r="H1658" t="s">
        <v>360</v>
      </c>
      <c r="I1658" t="s">
        <v>660</v>
      </c>
      <c r="J1658" t="str">
        <f>_xlfn.XLOOKUP(Table1[[#This Row],[Course ]], CCF!B:B, CCF!A:A)</f>
        <v>DM101</v>
      </c>
      <c r="K1658" t="s">
        <v>365</v>
      </c>
      <c r="L1658">
        <f>_xlfn.XLOOKUP(K1658, CCF!B:B, CCF!C:C)</f>
        <v>85499</v>
      </c>
      <c r="M1658" t="s">
        <v>9</v>
      </c>
    </row>
    <row r="1659" spans="1:13" x14ac:dyDescent="0.3">
      <c r="A1659">
        <v>1658</v>
      </c>
      <c r="B1659" t="s">
        <v>2319</v>
      </c>
      <c r="C1659" s="3">
        <v>56149</v>
      </c>
      <c r="D1659" t="s">
        <v>666</v>
      </c>
      <c r="E1659">
        <v>26</v>
      </c>
      <c r="F1659" s="1">
        <v>45529</v>
      </c>
      <c r="G1659" s="1" t="str">
        <f>TEXT(Table1[[#This Row],[Enrollment date]], "mmm")</f>
        <v>Aug</v>
      </c>
      <c r="H1659" t="s">
        <v>360</v>
      </c>
      <c r="I1659" t="s">
        <v>660</v>
      </c>
      <c r="J1659" t="str">
        <f>_xlfn.XLOOKUP(Table1[[#This Row],[Course ]], CCF!B:B, CCF!A:A)</f>
        <v>DM101</v>
      </c>
      <c r="K1659" t="s">
        <v>365</v>
      </c>
      <c r="L1659">
        <f>_xlfn.XLOOKUP(K1659, CCF!B:B, CCF!C:C)</f>
        <v>85499</v>
      </c>
      <c r="M1659" t="s">
        <v>16</v>
      </c>
    </row>
    <row r="1660" spans="1:13" x14ac:dyDescent="0.3">
      <c r="A1660">
        <v>1659</v>
      </c>
      <c r="B1660" t="s">
        <v>2320</v>
      </c>
      <c r="C1660" s="3">
        <v>22125</v>
      </c>
      <c r="D1660" t="s">
        <v>666</v>
      </c>
      <c r="E1660">
        <v>34</v>
      </c>
      <c r="F1660" s="1">
        <v>45529</v>
      </c>
      <c r="G1660" s="1" t="str">
        <f>TEXT(Table1[[#This Row],[Enrollment date]], "mmm")</f>
        <v>Aug</v>
      </c>
      <c r="H1660" t="s">
        <v>360</v>
      </c>
      <c r="I1660" t="s">
        <v>659</v>
      </c>
      <c r="J1660" t="str">
        <f>_xlfn.XLOOKUP(Table1[[#This Row],[Course ]], CCF!B:B, CCF!A:A)</f>
        <v>DM101</v>
      </c>
      <c r="K1660" t="s">
        <v>365</v>
      </c>
      <c r="L1660">
        <f>_xlfn.XLOOKUP(K1660, CCF!B:B, CCF!C:C)</f>
        <v>85499</v>
      </c>
      <c r="M1660" t="s">
        <v>43</v>
      </c>
    </row>
    <row r="1661" spans="1:13" x14ac:dyDescent="0.3">
      <c r="A1661">
        <v>1660</v>
      </c>
      <c r="B1661" t="s">
        <v>2321</v>
      </c>
      <c r="C1661" s="3">
        <v>62450</v>
      </c>
      <c r="D1661" t="s">
        <v>666</v>
      </c>
      <c r="E1661">
        <v>27</v>
      </c>
      <c r="F1661" s="1">
        <v>45530</v>
      </c>
      <c r="G1661" s="1" t="str">
        <f>TEXT(Table1[[#This Row],[Enrollment date]], "mmm")</f>
        <v>Aug</v>
      </c>
      <c r="H1661" t="s">
        <v>360</v>
      </c>
      <c r="I1661" t="s">
        <v>661</v>
      </c>
      <c r="J1661" t="str">
        <f>_xlfn.XLOOKUP(Table1[[#This Row],[Course ]], CCF!B:B, CCF!A:A)</f>
        <v>DA202</v>
      </c>
      <c r="K1661" t="s">
        <v>363</v>
      </c>
      <c r="L1661">
        <f>_xlfn.XLOOKUP(K1661, CCF!B:B, CCF!C:C)</f>
        <v>79999</v>
      </c>
      <c r="M1661" t="s">
        <v>27</v>
      </c>
    </row>
    <row r="1662" spans="1:13" x14ac:dyDescent="0.3">
      <c r="A1662">
        <v>1661</v>
      </c>
      <c r="B1662" t="s">
        <v>2322</v>
      </c>
      <c r="C1662" s="3">
        <v>26635</v>
      </c>
      <c r="D1662" t="s">
        <v>667</v>
      </c>
      <c r="E1662">
        <v>22</v>
      </c>
      <c r="F1662" s="1">
        <v>45530</v>
      </c>
      <c r="G1662" s="1" t="str">
        <f>TEXT(Table1[[#This Row],[Enrollment date]], "mmm")</f>
        <v>Aug</v>
      </c>
      <c r="H1662" t="s">
        <v>360</v>
      </c>
      <c r="I1662" t="s">
        <v>659</v>
      </c>
      <c r="J1662" t="str">
        <f>_xlfn.XLOOKUP(Table1[[#This Row],[Course ]], CCF!B:B, CCF!A:A)</f>
        <v>DA202</v>
      </c>
      <c r="K1662" t="s">
        <v>363</v>
      </c>
      <c r="L1662">
        <f>_xlfn.XLOOKUP(K1662, CCF!B:B, CCF!C:C)</f>
        <v>79999</v>
      </c>
      <c r="M1662" t="s">
        <v>62</v>
      </c>
    </row>
    <row r="1663" spans="1:13" x14ac:dyDescent="0.3">
      <c r="A1663">
        <v>1662</v>
      </c>
      <c r="B1663" t="s">
        <v>2323</v>
      </c>
      <c r="C1663" s="3">
        <v>12737</v>
      </c>
      <c r="D1663" t="s">
        <v>666</v>
      </c>
      <c r="E1663">
        <v>31</v>
      </c>
      <c r="F1663" s="1">
        <v>45530</v>
      </c>
      <c r="G1663" s="1" t="str">
        <f>TEXT(Table1[[#This Row],[Enrollment date]], "mmm")</f>
        <v>Aug</v>
      </c>
      <c r="H1663" t="s">
        <v>361</v>
      </c>
      <c r="I1663" t="s">
        <v>661</v>
      </c>
      <c r="J1663" t="str">
        <f>_xlfn.XLOOKUP(Table1[[#This Row],[Course ]], CCF!B:B, CCF!A:A)</f>
        <v>DA202</v>
      </c>
      <c r="K1663" t="s">
        <v>363</v>
      </c>
      <c r="L1663">
        <f>_xlfn.XLOOKUP(K1663, CCF!B:B, CCF!C:C)</f>
        <v>79999</v>
      </c>
      <c r="M1663" t="s">
        <v>16</v>
      </c>
    </row>
    <row r="1664" spans="1:13" x14ac:dyDescent="0.3">
      <c r="A1664">
        <v>1663</v>
      </c>
      <c r="B1664" t="s">
        <v>2324</v>
      </c>
      <c r="C1664" s="3">
        <v>77991</v>
      </c>
      <c r="D1664" t="s">
        <v>666</v>
      </c>
      <c r="E1664">
        <v>39</v>
      </c>
      <c r="F1664" s="1">
        <v>45530</v>
      </c>
      <c r="G1664" s="1" t="str">
        <f>TEXT(Table1[[#This Row],[Enrollment date]], "mmm")</f>
        <v>Aug</v>
      </c>
      <c r="H1664" t="s">
        <v>360</v>
      </c>
      <c r="I1664" t="s">
        <v>665</v>
      </c>
      <c r="J1664" t="str">
        <f>_xlfn.XLOOKUP(Table1[[#This Row],[Course ]], CCF!B:B, CCF!A:A)</f>
        <v>UX401</v>
      </c>
      <c r="K1664" t="s">
        <v>367</v>
      </c>
      <c r="L1664">
        <f>_xlfn.XLOOKUP(K1664, CCF!B:B, CCF!C:C)</f>
        <v>67990</v>
      </c>
      <c r="M1664" t="s">
        <v>550</v>
      </c>
    </row>
    <row r="1665" spans="1:13" x14ac:dyDescent="0.3">
      <c r="A1665">
        <v>1664</v>
      </c>
      <c r="B1665" t="s">
        <v>2325</v>
      </c>
      <c r="C1665" s="3">
        <v>23842</v>
      </c>
      <c r="D1665" t="s">
        <v>667</v>
      </c>
      <c r="E1665">
        <v>32</v>
      </c>
      <c r="F1665" s="1">
        <v>45530</v>
      </c>
      <c r="G1665" s="1" t="str">
        <f>TEXT(Table1[[#This Row],[Enrollment date]], "mmm")</f>
        <v>Aug</v>
      </c>
      <c r="H1665" t="s">
        <v>360</v>
      </c>
      <c r="I1665" t="s">
        <v>665</v>
      </c>
      <c r="J1665" t="str">
        <f>_xlfn.XLOOKUP(Table1[[#This Row],[Course ]], CCF!B:B, CCF!A:A)</f>
        <v>DM101</v>
      </c>
      <c r="K1665" t="s">
        <v>365</v>
      </c>
      <c r="L1665">
        <f>_xlfn.XLOOKUP(K1665, CCF!B:B, CCF!C:C)</f>
        <v>85499</v>
      </c>
      <c r="M1665" t="s">
        <v>284</v>
      </c>
    </row>
    <row r="1666" spans="1:13" x14ac:dyDescent="0.3">
      <c r="A1666">
        <v>1665</v>
      </c>
      <c r="B1666" t="s">
        <v>2326</v>
      </c>
      <c r="C1666" s="3">
        <v>82202</v>
      </c>
      <c r="D1666" t="s">
        <v>667</v>
      </c>
      <c r="E1666">
        <v>40</v>
      </c>
      <c r="F1666" s="1">
        <v>45530</v>
      </c>
      <c r="G1666" s="1" t="str">
        <f>TEXT(Table1[[#This Row],[Enrollment date]], "mmm")</f>
        <v>Aug</v>
      </c>
      <c r="H1666" t="s">
        <v>360</v>
      </c>
      <c r="I1666" t="s">
        <v>661</v>
      </c>
      <c r="J1666" t="str">
        <f>_xlfn.XLOOKUP(Table1[[#This Row],[Course ]], CCF!B:B, CCF!A:A)</f>
        <v>DA202</v>
      </c>
      <c r="K1666" t="s">
        <v>363</v>
      </c>
      <c r="L1666">
        <f>_xlfn.XLOOKUP(K1666, CCF!B:B, CCF!C:C)</f>
        <v>79999</v>
      </c>
      <c r="M1666" t="s">
        <v>64</v>
      </c>
    </row>
    <row r="1667" spans="1:13" x14ac:dyDescent="0.3">
      <c r="A1667">
        <v>1666</v>
      </c>
      <c r="B1667" t="s">
        <v>2327</v>
      </c>
      <c r="C1667" s="3">
        <v>44070</v>
      </c>
      <c r="D1667" t="s">
        <v>667</v>
      </c>
      <c r="E1667">
        <v>54</v>
      </c>
      <c r="F1667" s="1">
        <v>45530</v>
      </c>
      <c r="G1667" s="1" t="str">
        <f>TEXT(Table1[[#This Row],[Enrollment date]], "mmm")</f>
        <v>Aug</v>
      </c>
      <c r="H1667" t="s">
        <v>360</v>
      </c>
      <c r="I1667" t="s">
        <v>660</v>
      </c>
      <c r="J1667" t="str">
        <f>_xlfn.XLOOKUP(Table1[[#This Row],[Course ]], CCF!B:B, CCF!A:A)</f>
        <v>BA301</v>
      </c>
      <c r="K1667" t="s">
        <v>364</v>
      </c>
      <c r="L1667">
        <f>_xlfn.XLOOKUP(K1667, CCF!B:B, CCF!C:C)</f>
        <v>59999</v>
      </c>
      <c r="M1667" t="s">
        <v>27</v>
      </c>
    </row>
    <row r="1668" spans="1:13" x14ac:dyDescent="0.3">
      <c r="A1668">
        <v>1667</v>
      </c>
      <c r="B1668" t="s">
        <v>2328</v>
      </c>
      <c r="C1668" s="3">
        <v>38524</v>
      </c>
      <c r="D1668" t="s">
        <v>666</v>
      </c>
      <c r="E1668">
        <v>18</v>
      </c>
      <c r="F1668" s="1">
        <v>45531</v>
      </c>
      <c r="G1668" s="1" t="str">
        <f>TEXT(Table1[[#This Row],[Enrollment date]], "mmm")</f>
        <v>Aug</v>
      </c>
      <c r="H1668" t="s">
        <v>360</v>
      </c>
      <c r="I1668" t="s">
        <v>659</v>
      </c>
      <c r="J1668" t="str">
        <f>_xlfn.XLOOKUP(Table1[[#This Row],[Course ]], CCF!B:B, CCF!A:A)</f>
        <v>DA202</v>
      </c>
      <c r="K1668" t="s">
        <v>363</v>
      </c>
      <c r="L1668">
        <f>_xlfn.XLOOKUP(K1668, CCF!B:B, CCF!C:C)</f>
        <v>79999</v>
      </c>
      <c r="M1668" t="s">
        <v>12</v>
      </c>
    </row>
    <row r="1669" spans="1:13" x14ac:dyDescent="0.3">
      <c r="A1669">
        <v>1668</v>
      </c>
      <c r="B1669" t="s">
        <v>2329</v>
      </c>
      <c r="C1669" s="3">
        <v>49290</v>
      </c>
      <c r="D1669" t="s">
        <v>666</v>
      </c>
      <c r="E1669">
        <v>36</v>
      </c>
      <c r="F1669" s="1">
        <v>45532</v>
      </c>
      <c r="G1669" s="1" t="str">
        <f>TEXT(Table1[[#This Row],[Enrollment date]], "mmm")</f>
        <v>Aug</v>
      </c>
      <c r="H1669" t="s">
        <v>360</v>
      </c>
      <c r="I1669" t="s">
        <v>659</v>
      </c>
      <c r="J1669" t="str">
        <f>_xlfn.XLOOKUP(Table1[[#This Row],[Course ]], CCF!B:B, CCF!A:A)</f>
        <v>DA202</v>
      </c>
      <c r="K1669" t="s">
        <v>363</v>
      </c>
      <c r="L1669">
        <f>_xlfn.XLOOKUP(K1669, CCF!B:B, CCF!C:C)</f>
        <v>79999</v>
      </c>
      <c r="M1669" t="s">
        <v>20</v>
      </c>
    </row>
    <row r="1670" spans="1:13" x14ac:dyDescent="0.3">
      <c r="A1670">
        <v>1669</v>
      </c>
      <c r="B1670" t="s">
        <v>2330</v>
      </c>
      <c r="C1670" s="3">
        <v>20320</v>
      </c>
      <c r="D1670" t="s">
        <v>667</v>
      </c>
      <c r="E1670">
        <v>39</v>
      </c>
      <c r="F1670" s="1">
        <v>45532</v>
      </c>
      <c r="G1670" s="1" t="str">
        <f>TEXT(Table1[[#This Row],[Enrollment date]], "mmm")</f>
        <v>Aug</v>
      </c>
      <c r="H1670" t="s">
        <v>3</v>
      </c>
      <c r="I1670" t="s">
        <v>659</v>
      </c>
      <c r="J1670" t="str">
        <f>_xlfn.XLOOKUP(Table1[[#This Row],[Course ]], CCF!B:B, CCF!A:A)</f>
        <v>DM101</v>
      </c>
      <c r="K1670" t="s">
        <v>365</v>
      </c>
      <c r="L1670">
        <f>_xlfn.XLOOKUP(K1670, CCF!B:B, CCF!C:C)</f>
        <v>85499</v>
      </c>
      <c r="M1670" t="s">
        <v>27</v>
      </c>
    </row>
    <row r="1671" spans="1:13" x14ac:dyDescent="0.3">
      <c r="A1671">
        <v>1670</v>
      </c>
      <c r="B1671" t="s">
        <v>2331</v>
      </c>
      <c r="C1671" s="3">
        <v>89529</v>
      </c>
      <c r="D1671" t="s">
        <v>666</v>
      </c>
      <c r="E1671">
        <v>40</v>
      </c>
      <c r="F1671" s="1">
        <v>45532</v>
      </c>
      <c r="G1671" s="1" t="str">
        <f>TEXT(Table1[[#This Row],[Enrollment date]], "mmm")</f>
        <v>Aug</v>
      </c>
      <c r="H1671" t="s">
        <v>360</v>
      </c>
      <c r="I1671" t="s">
        <v>660</v>
      </c>
      <c r="J1671" t="str">
        <f>_xlfn.XLOOKUP(Table1[[#This Row],[Course ]], CCF!B:B, CCF!A:A)</f>
        <v>DA202</v>
      </c>
      <c r="K1671" t="s">
        <v>363</v>
      </c>
      <c r="L1671">
        <f>_xlfn.XLOOKUP(K1671, CCF!B:B, CCF!C:C)</f>
        <v>79999</v>
      </c>
      <c r="M1671" t="s">
        <v>80</v>
      </c>
    </row>
    <row r="1672" spans="1:13" x14ac:dyDescent="0.3">
      <c r="A1672">
        <v>1671</v>
      </c>
      <c r="B1672" t="s">
        <v>2332</v>
      </c>
      <c r="C1672" s="3">
        <v>21358</v>
      </c>
      <c r="D1672" t="s">
        <v>666</v>
      </c>
      <c r="E1672">
        <v>24</v>
      </c>
      <c r="F1672" s="1">
        <v>45532</v>
      </c>
      <c r="G1672" s="1" t="str">
        <f>TEXT(Table1[[#This Row],[Enrollment date]], "mmm")</f>
        <v>Aug</v>
      </c>
      <c r="H1672" t="s">
        <v>360</v>
      </c>
      <c r="I1672" t="s">
        <v>660</v>
      </c>
      <c r="J1672" t="str">
        <f>_xlfn.XLOOKUP(Table1[[#This Row],[Course ]], CCF!B:B, CCF!A:A)</f>
        <v>DA202</v>
      </c>
      <c r="K1672" t="s">
        <v>363</v>
      </c>
      <c r="L1672">
        <f>_xlfn.XLOOKUP(K1672, CCF!B:B, CCF!C:C)</f>
        <v>79999</v>
      </c>
      <c r="M1672" t="s">
        <v>150</v>
      </c>
    </row>
    <row r="1673" spans="1:13" x14ac:dyDescent="0.3">
      <c r="A1673">
        <v>1672</v>
      </c>
      <c r="B1673" t="s">
        <v>2333</v>
      </c>
      <c r="C1673" s="3">
        <v>71008</v>
      </c>
      <c r="D1673" t="s">
        <v>666</v>
      </c>
      <c r="E1673">
        <v>44</v>
      </c>
      <c r="F1673" s="1">
        <v>45532</v>
      </c>
      <c r="G1673" s="1" t="str">
        <f>TEXT(Table1[[#This Row],[Enrollment date]], "mmm")</f>
        <v>Aug</v>
      </c>
      <c r="H1673" t="s">
        <v>360</v>
      </c>
      <c r="I1673" t="s">
        <v>661</v>
      </c>
      <c r="J1673" t="str">
        <f>_xlfn.XLOOKUP(Table1[[#This Row],[Course ]], CCF!B:B, CCF!A:A)</f>
        <v>DA202</v>
      </c>
      <c r="K1673" t="s">
        <v>363</v>
      </c>
      <c r="L1673">
        <f>_xlfn.XLOOKUP(K1673, CCF!B:B, CCF!C:C)</f>
        <v>79999</v>
      </c>
      <c r="M1673" t="s">
        <v>9</v>
      </c>
    </row>
    <row r="1674" spans="1:13" x14ac:dyDescent="0.3">
      <c r="A1674">
        <v>1673</v>
      </c>
      <c r="B1674" t="s">
        <v>2334</v>
      </c>
      <c r="C1674" s="3">
        <v>63398</v>
      </c>
      <c r="D1674" t="s">
        <v>667</v>
      </c>
      <c r="E1674">
        <v>27</v>
      </c>
      <c r="F1674" s="1">
        <v>45532</v>
      </c>
      <c r="G1674" s="1" t="str">
        <f>TEXT(Table1[[#This Row],[Enrollment date]], "mmm")</f>
        <v>Aug</v>
      </c>
      <c r="H1674" t="s">
        <v>360</v>
      </c>
      <c r="I1674" t="s">
        <v>660</v>
      </c>
      <c r="J1674" t="str">
        <f>_xlfn.XLOOKUP(Table1[[#This Row],[Course ]], CCF!B:B, CCF!A:A)</f>
        <v>DM101</v>
      </c>
      <c r="K1674" t="s">
        <v>365</v>
      </c>
      <c r="L1674">
        <f>_xlfn.XLOOKUP(K1674, CCF!B:B, CCF!C:C)</f>
        <v>85499</v>
      </c>
      <c r="M1674" t="s">
        <v>95</v>
      </c>
    </row>
    <row r="1675" spans="1:13" x14ac:dyDescent="0.3">
      <c r="A1675">
        <v>1674</v>
      </c>
      <c r="B1675" t="s">
        <v>2335</v>
      </c>
      <c r="C1675" s="3">
        <v>3290</v>
      </c>
      <c r="D1675" t="s">
        <v>667</v>
      </c>
      <c r="E1675">
        <v>43</v>
      </c>
      <c r="F1675" s="1">
        <v>45533</v>
      </c>
      <c r="G1675" s="1" t="str">
        <f>TEXT(Table1[[#This Row],[Enrollment date]], "mmm")</f>
        <v>Aug</v>
      </c>
      <c r="H1675" t="s">
        <v>360</v>
      </c>
      <c r="I1675" t="s">
        <v>659</v>
      </c>
      <c r="J1675" t="str">
        <f>_xlfn.XLOOKUP(Table1[[#This Row],[Course ]], CCF!B:B, CCF!A:A)</f>
        <v>DA202</v>
      </c>
      <c r="K1675" t="s">
        <v>363</v>
      </c>
      <c r="L1675">
        <f>_xlfn.XLOOKUP(K1675, CCF!B:B, CCF!C:C)</f>
        <v>79999</v>
      </c>
      <c r="M1675" t="s">
        <v>180</v>
      </c>
    </row>
    <row r="1676" spans="1:13" x14ac:dyDescent="0.3">
      <c r="A1676">
        <v>1675</v>
      </c>
      <c r="B1676" t="s">
        <v>2336</v>
      </c>
      <c r="C1676" s="3">
        <v>37754</v>
      </c>
      <c r="D1676" t="s">
        <v>666</v>
      </c>
      <c r="E1676">
        <v>37</v>
      </c>
      <c r="F1676" s="1">
        <v>45533</v>
      </c>
      <c r="G1676" s="1" t="str">
        <f>TEXT(Table1[[#This Row],[Enrollment date]], "mmm")</f>
        <v>Aug</v>
      </c>
      <c r="H1676" t="s">
        <v>360</v>
      </c>
      <c r="I1676" t="s">
        <v>659</v>
      </c>
      <c r="J1676" t="str">
        <f>_xlfn.XLOOKUP(Table1[[#This Row],[Course ]], CCF!B:B, CCF!A:A)</f>
        <v>DM101</v>
      </c>
      <c r="K1676" t="s">
        <v>365</v>
      </c>
      <c r="L1676">
        <f>_xlfn.XLOOKUP(K1676, CCF!B:B, CCF!C:C)</f>
        <v>85499</v>
      </c>
      <c r="M1676" t="s">
        <v>9</v>
      </c>
    </row>
    <row r="1677" spans="1:13" x14ac:dyDescent="0.3">
      <c r="A1677">
        <v>1676</v>
      </c>
      <c r="B1677" t="s">
        <v>2337</v>
      </c>
      <c r="C1677" s="3">
        <v>77119</v>
      </c>
      <c r="D1677" t="s">
        <v>667</v>
      </c>
      <c r="E1677">
        <v>26</v>
      </c>
      <c r="F1677" s="1">
        <v>45533</v>
      </c>
      <c r="G1677" s="1" t="str">
        <f>TEXT(Table1[[#This Row],[Enrollment date]], "mmm")</f>
        <v>Aug</v>
      </c>
      <c r="H1677" t="s">
        <v>360</v>
      </c>
      <c r="I1677" t="s">
        <v>659</v>
      </c>
      <c r="J1677" t="str">
        <f>_xlfn.XLOOKUP(Table1[[#This Row],[Course ]], CCF!B:B, CCF!A:A)</f>
        <v>BA301</v>
      </c>
      <c r="K1677" t="s">
        <v>364</v>
      </c>
      <c r="L1677">
        <f>_xlfn.XLOOKUP(K1677, CCF!B:B, CCF!C:C)</f>
        <v>59999</v>
      </c>
      <c r="M1677" t="s">
        <v>175</v>
      </c>
    </row>
    <row r="1678" spans="1:13" x14ac:dyDescent="0.3">
      <c r="A1678">
        <v>1677</v>
      </c>
      <c r="B1678" t="s">
        <v>2338</v>
      </c>
      <c r="C1678" s="3">
        <v>95610</v>
      </c>
      <c r="D1678" t="s">
        <v>666</v>
      </c>
      <c r="E1678">
        <v>30</v>
      </c>
      <c r="F1678" s="1">
        <v>45533</v>
      </c>
      <c r="G1678" s="1" t="str">
        <f>TEXT(Table1[[#This Row],[Enrollment date]], "mmm")</f>
        <v>Aug</v>
      </c>
      <c r="H1678" t="s">
        <v>360</v>
      </c>
      <c r="I1678" t="s">
        <v>660</v>
      </c>
      <c r="J1678" t="str">
        <f>_xlfn.XLOOKUP(Table1[[#This Row],[Course ]], CCF!B:B, CCF!A:A)</f>
        <v>DA202</v>
      </c>
      <c r="K1678" t="s">
        <v>363</v>
      </c>
      <c r="L1678">
        <f>_xlfn.XLOOKUP(K1678, CCF!B:B, CCF!C:C)</f>
        <v>79999</v>
      </c>
      <c r="M1678" t="s">
        <v>58</v>
      </c>
    </row>
    <row r="1679" spans="1:13" x14ac:dyDescent="0.3">
      <c r="A1679">
        <v>1678</v>
      </c>
      <c r="B1679" t="s">
        <v>2339</v>
      </c>
      <c r="C1679" s="3">
        <v>11117</v>
      </c>
      <c r="D1679" t="s">
        <v>666</v>
      </c>
      <c r="E1679">
        <v>45</v>
      </c>
      <c r="F1679" s="1">
        <v>45533</v>
      </c>
      <c r="G1679" s="1" t="str">
        <f>TEXT(Table1[[#This Row],[Enrollment date]], "mmm")</f>
        <v>Aug</v>
      </c>
      <c r="H1679" t="s">
        <v>360</v>
      </c>
      <c r="I1679" t="s">
        <v>661</v>
      </c>
      <c r="J1679" t="str">
        <f>_xlfn.XLOOKUP(Table1[[#This Row],[Course ]], CCF!B:B, CCF!A:A)</f>
        <v>DM101</v>
      </c>
      <c r="K1679" t="s">
        <v>365</v>
      </c>
      <c r="L1679">
        <f>_xlfn.XLOOKUP(K1679, CCF!B:B, CCF!C:C)</f>
        <v>85499</v>
      </c>
      <c r="M1679" t="s">
        <v>579</v>
      </c>
    </row>
    <row r="1680" spans="1:13" x14ac:dyDescent="0.3">
      <c r="A1680">
        <v>1679</v>
      </c>
      <c r="B1680" t="s">
        <v>2340</v>
      </c>
      <c r="C1680" s="3">
        <v>14155</v>
      </c>
      <c r="D1680" t="s">
        <v>666</v>
      </c>
      <c r="E1680">
        <v>46</v>
      </c>
      <c r="F1680" s="1">
        <v>45533</v>
      </c>
      <c r="G1680" s="1" t="str">
        <f>TEXT(Table1[[#This Row],[Enrollment date]], "mmm")</f>
        <v>Aug</v>
      </c>
      <c r="H1680" t="s">
        <v>360</v>
      </c>
      <c r="I1680" t="s">
        <v>661</v>
      </c>
      <c r="J1680" t="str">
        <f>_xlfn.XLOOKUP(Table1[[#This Row],[Course ]], CCF!B:B, CCF!A:A)</f>
        <v>DA202</v>
      </c>
      <c r="K1680" t="s">
        <v>363</v>
      </c>
      <c r="L1680">
        <f>_xlfn.XLOOKUP(K1680, CCF!B:B, CCF!C:C)</f>
        <v>79999</v>
      </c>
      <c r="M1680" t="s">
        <v>580</v>
      </c>
    </row>
    <row r="1681" spans="1:13" x14ac:dyDescent="0.3">
      <c r="A1681">
        <v>1680</v>
      </c>
      <c r="B1681" t="s">
        <v>2341</v>
      </c>
      <c r="C1681" s="3">
        <v>47254</v>
      </c>
      <c r="D1681" t="s">
        <v>666</v>
      </c>
      <c r="E1681">
        <v>42</v>
      </c>
      <c r="F1681" s="1">
        <v>45533</v>
      </c>
      <c r="G1681" s="1" t="str">
        <f>TEXT(Table1[[#This Row],[Enrollment date]], "mmm")</f>
        <v>Aug</v>
      </c>
      <c r="H1681" t="s">
        <v>360</v>
      </c>
      <c r="I1681" t="s">
        <v>663</v>
      </c>
      <c r="J1681" t="str">
        <f>_xlfn.XLOOKUP(Table1[[#This Row],[Course ]], CCF!B:B, CCF!A:A)</f>
        <v>DA202</v>
      </c>
      <c r="K1681" t="s">
        <v>363</v>
      </c>
      <c r="L1681">
        <f>_xlfn.XLOOKUP(K1681, CCF!B:B, CCF!C:C)</f>
        <v>79999</v>
      </c>
      <c r="M1681" t="s">
        <v>49</v>
      </c>
    </row>
    <row r="1682" spans="1:13" x14ac:dyDescent="0.3">
      <c r="A1682">
        <v>1681</v>
      </c>
      <c r="B1682" t="s">
        <v>1403</v>
      </c>
      <c r="C1682" s="3">
        <v>16768</v>
      </c>
      <c r="D1682" t="s">
        <v>666</v>
      </c>
      <c r="E1682">
        <v>19</v>
      </c>
      <c r="F1682" s="1">
        <v>45534</v>
      </c>
      <c r="G1682" s="1" t="str">
        <f>TEXT(Table1[[#This Row],[Enrollment date]], "mmm")</f>
        <v>Aug</v>
      </c>
      <c r="H1682" t="s">
        <v>360</v>
      </c>
      <c r="I1682" t="s">
        <v>660</v>
      </c>
      <c r="J1682" t="str">
        <f>_xlfn.XLOOKUP(Table1[[#This Row],[Course ]], CCF!B:B, CCF!A:A)</f>
        <v>DM101</v>
      </c>
      <c r="K1682" t="s">
        <v>365</v>
      </c>
      <c r="L1682">
        <f>_xlfn.XLOOKUP(K1682, CCF!B:B, CCF!C:C)</f>
        <v>85499</v>
      </c>
      <c r="M1682" t="s">
        <v>581</v>
      </c>
    </row>
    <row r="1683" spans="1:13" x14ac:dyDescent="0.3">
      <c r="A1683">
        <v>1682</v>
      </c>
      <c r="B1683" t="s">
        <v>2342</v>
      </c>
      <c r="C1683" s="3">
        <v>23698</v>
      </c>
      <c r="D1683" t="s">
        <v>666</v>
      </c>
      <c r="E1683">
        <v>19</v>
      </c>
      <c r="F1683" s="1">
        <v>45534</v>
      </c>
      <c r="G1683" s="1" t="str">
        <f>TEXT(Table1[[#This Row],[Enrollment date]], "mmm")</f>
        <v>Aug</v>
      </c>
      <c r="H1683" t="s">
        <v>360</v>
      </c>
      <c r="I1683" t="s">
        <v>661</v>
      </c>
      <c r="J1683" t="str">
        <f>_xlfn.XLOOKUP(Table1[[#This Row],[Course ]], CCF!B:B, CCF!A:A)</f>
        <v>DM101</v>
      </c>
      <c r="K1683" t="s">
        <v>365</v>
      </c>
      <c r="L1683">
        <f>_xlfn.XLOOKUP(K1683, CCF!B:B, CCF!C:C)</f>
        <v>85499</v>
      </c>
      <c r="M1683" t="s">
        <v>47</v>
      </c>
    </row>
    <row r="1684" spans="1:13" x14ac:dyDescent="0.3">
      <c r="A1684">
        <v>1683</v>
      </c>
      <c r="B1684" t="s">
        <v>2343</v>
      </c>
      <c r="C1684" s="3">
        <v>81164</v>
      </c>
      <c r="D1684" t="s">
        <v>666</v>
      </c>
      <c r="E1684">
        <v>70</v>
      </c>
      <c r="F1684" s="1">
        <v>45534</v>
      </c>
      <c r="G1684" s="1" t="str">
        <f>TEXT(Table1[[#This Row],[Enrollment date]], "mmm")</f>
        <v>Aug</v>
      </c>
      <c r="H1684" t="s">
        <v>360</v>
      </c>
      <c r="I1684" t="s">
        <v>661</v>
      </c>
      <c r="J1684" t="str">
        <f>_xlfn.XLOOKUP(Table1[[#This Row],[Course ]], CCF!B:B, CCF!A:A)</f>
        <v>DM101</v>
      </c>
      <c r="K1684" t="s">
        <v>365</v>
      </c>
      <c r="L1684">
        <f>_xlfn.XLOOKUP(K1684, CCF!B:B, CCF!C:C)</f>
        <v>85499</v>
      </c>
      <c r="M1684" t="s">
        <v>20</v>
      </c>
    </row>
    <row r="1685" spans="1:13" x14ac:dyDescent="0.3">
      <c r="A1685">
        <v>1684</v>
      </c>
      <c r="B1685" t="s">
        <v>2344</v>
      </c>
      <c r="C1685" s="3">
        <v>36432</v>
      </c>
      <c r="D1685" t="s">
        <v>666</v>
      </c>
      <c r="E1685">
        <v>47</v>
      </c>
      <c r="F1685" s="1">
        <v>45534</v>
      </c>
      <c r="G1685" s="1" t="str">
        <f>TEXT(Table1[[#This Row],[Enrollment date]], "mmm")</f>
        <v>Aug</v>
      </c>
      <c r="H1685" t="s">
        <v>360</v>
      </c>
      <c r="I1685" t="s">
        <v>661</v>
      </c>
      <c r="J1685" t="str">
        <f>_xlfn.XLOOKUP(Table1[[#This Row],[Course ]], CCF!B:B, CCF!A:A)</f>
        <v>DA202</v>
      </c>
      <c r="K1685" t="s">
        <v>363</v>
      </c>
      <c r="L1685">
        <f>_xlfn.XLOOKUP(K1685, CCF!B:B, CCF!C:C)</f>
        <v>79999</v>
      </c>
      <c r="M1685" t="s">
        <v>169</v>
      </c>
    </row>
    <row r="1686" spans="1:13" x14ac:dyDescent="0.3">
      <c r="A1686">
        <v>1685</v>
      </c>
      <c r="B1686" t="s">
        <v>2345</v>
      </c>
      <c r="C1686" s="3">
        <v>14943</v>
      </c>
      <c r="D1686" t="s">
        <v>666</v>
      </c>
      <c r="E1686">
        <v>35</v>
      </c>
      <c r="F1686" s="1">
        <v>45534</v>
      </c>
      <c r="G1686" s="1" t="str">
        <f>TEXT(Table1[[#This Row],[Enrollment date]], "mmm")</f>
        <v>Aug</v>
      </c>
      <c r="H1686" t="s">
        <v>360</v>
      </c>
      <c r="I1686" t="s">
        <v>660</v>
      </c>
      <c r="J1686" t="str">
        <f>_xlfn.XLOOKUP(Table1[[#This Row],[Course ]], CCF!B:B, CCF!A:A)</f>
        <v>DM101</v>
      </c>
      <c r="K1686" t="s">
        <v>365</v>
      </c>
      <c r="L1686">
        <f>_xlfn.XLOOKUP(K1686, CCF!B:B, CCF!C:C)</f>
        <v>85499</v>
      </c>
      <c r="M1686" t="s">
        <v>582</v>
      </c>
    </row>
    <row r="1687" spans="1:13" x14ac:dyDescent="0.3">
      <c r="A1687">
        <v>1686</v>
      </c>
      <c r="B1687" t="s">
        <v>2346</v>
      </c>
      <c r="C1687" s="3">
        <v>46989</v>
      </c>
      <c r="D1687" t="s">
        <v>667</v>
      </c>
      <c r="E1687">
        <v>22</v>
      </c>
      <c r="F1687" s="1">
        <v>45534</v>
      </c>
      <c r="G1687" s="1" t="str">
        <f>TEXT(Table1[[#This Row],[Enrollment date]], "mmm")</f>
        <v>Aug</v>
      </c>
      <c r="H1687" t="s">
        <v>360</v>
      </c>
      <c r="I1687" t="s">
        <v>661</v>
      </c>
      <c r="J1687" t="str">
        <f>_xlfn.XLOOKUP(Table1[[#This Row],[Course ]], CCF!B:B, CCF!A:A)</f>
        <v>DA202</v>
      </c>
      <c r="K1687" t="s">
        <v>363</v>
      </c>
      <c r="L1687">
        <f>_xlfn.XLOOKUP(K1687, CCF!B:B, CCF!C:C)</f>
        <v>79999</v>
      </c>
      <c r="M1687" t="s">
        <v>20</v>
      </c>
    </row>
    <row r="1688" spans="1:13" x14ac:dyDescent="0.3">
      <c r="A1688">
        <v>1687</v>
      </c>
      <c r="B1688" t="s">
        <v>2347</v>
      </c>
      <c r="C1688" s="3">
        <v>93189</v>
      </c>
      <c r="D1688" t="s">
        <v>666</v>
      </c>
      <c r="E1688">
        <v>19</v>
      </c>
      <c r="F1688" s="1">
        <v>45534</v>
      </c>
      <c r="G1688" s="1" t="str">
        <f>TEXT(Table1[[#This Row],[Enrollment date]], "mmm")</f>
        <v>Aug</v>
      </c>
      <c r="H1688" t="s">
        <v>360</v>
      </c>
      <c r="I1688" t="s">
        <v>659</v>
      </c>
      <c r="J1688" t="str">
        <f>_xlfn.XLOOKUP(Table1[[#This Row],[Course ]], CCF!B:B, CCF!A:A)</f>
        <v>DM101</v>
      </c>
      <c r="K1688" t="s">
        <v>365</v>
      </c>
      <c r="L1688">
        <f>_xlfn.XLOOKUP(K1688, CCF!B:B, CCF!C:C)</f>
        <v>85499</v>
      </c>
      <c r="M1688" t="s">
        <v>48</v>
      </c>
    </row>
    <row r="1689" spans="1:13" x14ac:dyDescent="0.3">
      <c r="A1689">
        <v>1688</v>
      </c>
      <c r="B1689" t="s">
        <v>2348</v>
      </c>
      <c r="C1689" s="3">
        <v>12338</v>
      </c>
      <c r="D1689" t="s">
        <v>666</v>
      </c>
      <c r="E1689">
        <v>35</v>
      </c>
      <c r="F1689" s="1">
        <v>45534</v>
      </c>
      <c r="G1689" s="1" t="str">
        <f>TEXT(Table1[[#This Row],[Enrollment date]], "mmm")</f>
        <v>Aug</v>
      </c>
      <c r="H1689" t="s">
        <v>360</v>
      </c>
      <c r="I1689" t="s">
        <v>660</v>
      </c>
      <c r="J1689" t="str">
        <f>_xlfn.XLOOKUP(Table1[[#This Row],[Course ]], CCF!B:B, CCF!A:A)</f>
        <v>DM101</v>
      </c>
      <c r="K1689" t="s">
        <v>365</v>
      </c>
      <c r="L1689">
        <f>_xlfn.XLOOKUP(K1689, CCF!B:B, CCF!C:C)</f>
        <v>85499</v>
      </c>
      <c r="M1689" t="s">
        <v>18</v>
      </c>
    </row>
    <row r="1690" spans="1:13" x14ac:dyDescent="0.3">
      <c r="A1690">
        <v>1689</v>
      </c>
      <c r="B1690" t="s">
        <v>2349</v>
      </c>
      <c r="C1690" s="3">
        <v>98228</v>
      </c>
      <c r="D1690" t="s">
        <v>666</v>
      </c>
      <c r="E1690">
        <v>41</v>
      </c>
      <c r="F1690" s="1">
        <v>45534</v>
      </c>
      <c r="G1690" s="1" t="str">
        <f>TEXT(Table1[[#This Row],[Enrollment date]], "mmm")</f>
        <v>Aug</v>
      </c>
      <c r="H1690" t="s">
        <v>360</v>
      </c>
      <c r="I1690" t="s">
        <v>661</v>
      </c>
      <c r="J1690" t="str">
        <f>_xlfn.XLOOKUP(Table1[[#This Row],[Course ]], CCF!B:B, CCF!A:A)</f>
        <v>DM101</v>
      </c>
      <c r="K1690" t="s">
        <v>365</v>
      </c>
      <c r="L1690">
        <f>_xlfn.XLOOKUP(K1690, CCF!B:B, CCF!C:C)</f>
        <v>85499</v>
      </c>
      <c r="M1690" t="s">
        <v>295</v>
      </c>
    </row>
    <row r="1691" spans="1:13" x14ac:dyDescent="0.3">
      <c r="A1691">
        <v>1690</v>
      </c>
      <c r="B1691" t="s">
        <v>2350</v>
      </c>
      <c r="C1691" s="3">
        <v>94186</v>
      </c>
      <c r="D1691" t="s">
        <v>666</v>
      </c>
      <c r="E1691">
        <v>32</v>
      </c>
      <c r="F1691" s="1">
        <v>45535</v>
      </c>
      <c r="G1691" s="1" t="str">
        <f>TEXT(Table1[[#This Row],[Enrollment date]], "mmm")</f>
        <v>Aug</v>
      </c>
      <c r="H1691" t="s">
        <v>360</v>
      </c>
      <c r="I1691" t="s">
        <v>659</v>
      </c>
      <c r="J1691" t="str">
        <f>_xlfn.XLOOKUP(Table1[[#This Row],[Course ]], CCF!B:B, CCF!A:A)</f>
        <v>BA301</v>
      </c>
      <c r="K1691" t="s">
        <v>364</v>
      </c>
      <c r="L1691">
        <f>_xlfn.XLOOKUP(K1691, CCF!B:B, CCF!C:C)</f>
        <v>59999</v>
      </c>
      <c r="M1691" t="s">
        <v>48</v>
      </c>
    </row>
    <row r="1692" spans="1:13" x14ac:dyDescent="0.3">
      <c r="A1692">
        <v>1691</v>
      </c>
      <c r="B1692" t="s">
        <v>2351</v>
      </c>
      <c r="C1692" s="3">
        <v>68105</v>
      </c>
      <c r="D1692" t="s">
        <v>666</v>
      </c>
      <c r="E1692">
        <v>35</v>
      </c>
      <c r="F1692" s="1">
        <v>45535</v>
      </c>
      <c r="G1692" s="1" t="str">
        <f>TEXT(Table1[[#This Row],[Enrollment date]], "mmm")</f>
        <v>Aug</v>
      </c>
      <c r="H1692" t="s">
        <v>360</v>
      </c>
      <c r="I1692" t="s">
        <v>660</v>
      </c>
      <c r="J1692" t="str">
        <f>_xlfn.XLOOKUP(Table1[[#This Row],[Course ]], CCF!B:B, CCF!A:A)</f>
        <v>DM101</v>
      </c>
      <c r="K1692" t="s">
        <v>365</v>
      </c>
      <c r="L1692">
        <f>_xlfn.XLOOKUP(K1692, CCF!B:B, CCF!C:C)</f>
        <v>85499</v>
      </c>
      <c r="M1692" t="s">
        <v>65</v>
      </c>
    </row>
    <row r="1693" spans="1:13" x14ac:dyDescent="0.3">
      <c r="A1693">
        <v>1692</v>
      </c>
      <c r="B1693" t="s">
        <v>2352</v>
      </c>
      <c r="C1693" s="3">
        <v>34989</v>
      </c>
      <c r="D1693" t="s">
        <v>666</v>
      </c>
      <c r="E1693">
        <v>78</v>
      </c>
      <c r="F1693" s="1">
        <v>45535</v>
      </c>
      <c r="G1693" s="1" t="str">
        <f>TEXT(Table1[[#This Row],[Enrollment date]], "mmm")</f>
        <v>Aug</v>
      </c>
      <c r="H1693" t="s">
        <v>360</v>
      </c>
      <c r="I1693" t="s">
        <v>660</v>
      </c>
      <c r="J1693" t="str">
        <f>_xlfn.XLOOKUP(Table1[[#This Row],[Course ]], CCF!B:B, CCF!A:A)</f>
        <v>FSD103</v>
      </c>
      <c r="K1693" t="s">
        <v>366</v>
      </c>
      <c r="L1693">
        <f>_xlfn.XLOOKUP(K1693, CCF!B:B, CCF!C:C)</f>
        <v>109990</v>
      </c>
      <c r="M1693" t="s">
        <v>9</v>
      </c>
    </row>
    <row r="1694" spans="1:13" x14ac:dyDescent="0.3">
      <c r="A1694">
        <v>1693</v>
      </c>
      <c r="B1694" t="s">
        <v>2353</v>
      </c>
      <c r="C1694" s="3">
        <v>26517</v>
      </c>
      <c r="D1694" t="s">
        <v>667</v>
      </c>
      <c r="E1694">
        <v>44</v>
      </c>
      <c r="F1694" s="1">
        <v>45536</v>
      </c>
      <c r="G1694" s="1" t="str">
        <f>TEXT(Table1[[#This Row],[Enrollment date]], "mmm")</f>
        <v>Sep</v>
      </c>
      <c r="H1694" t="s">
        <v>360</v>
      </c>
      <c r="I1694" t="s">
        <v>664</v>
      </c>
      <c r="J1694" t="str">
        <f>_xlfn.XLOOKUP(Table1[[#This Row],[Course ]], CCF!B:B, CCF!A:A)</f>
        <v>DA202</v>
      </c>
      <c r="K1694" t="s">
        <v>363</v>
      </c>
      <c r="L1694">
        <f>_xlfn.XLOOKUP(K1694, CCF!B:B, CCF!C:C)</f>
        <v>79999</v>
      </c>
      <c r="M1694" t="s">
        <v>2</v>
      </c>
    </row>
    <row r="1695" spans="1:13" x14ac:dyDescent="0.3">
      <c r="A1695">
        <v>1694</v>
      </c>
      <c r="B1695" t="s">
        <v>2354</v>
      </c>
      <c r="C1695" s="3">
        <v>97035</v>
      </c>
      <c r="D1695" t="s">
        <v>666</v>
      </c>
      <c r="E1695">
        <v>46</v>
      </c>
      <c r="F1695" s="1">
        <v>45536</v>
      </c>
      <c r="G1695" s="1" t="str">
        <f>TEXT(Table1[[#This Row],[Enrollment date]], "mmm")</f>
        <v>Sep</v>
      </c>
      <c r="H1695" t="s">
        <v>360</v>
      </c>
      <c r="I1695" t="s">
        <v>659</v>
      </c>
      <c r="J1695" t="str">
        <f>_xlfn.XLOOKUP(Table1[[#This Row],[Course ]], CCF!B:B, CCF!A:A)</f>
        <v>BA301</v>
      </c>
      <c r="K1695" t="s">
        <v>364</v>
      </c>
      <c r="L1695">
        <f>_xlfn.XLOOKUP(K1695, CCF!B:B, CCF!C:C)</f>
        <v>59999</v>
      </c>
      <c r="M1695" t="s">
        <v>20</v>
      </c>
    </row>
    <row r="1696" spans="1:13" x14ac:dyDescent="0.3">
      <c r="A1696">
        <v>1695</v>
      </c>
      <c r="B1696" t="s">
        <v>2355</v>
      </c>
      <c r="C1696" s="3">
        <v>42432</v>
      </c>
      <c r="D1696" t="s">
        <v>666</v>
      </c>
      <c r="E1696">
        <v>33</v>
      </c>
      <c r="F1696" s="1">
        <v>45536</v>
      </c>
      <c r="G1696" s="1" t="str">
        <f>TEXT(Table1[[#This Row],[Enrollment date]], "mmm")</f>
        <v>Sep</v>
      </c>
      <c r="H1696" t="s">
        <v>360</v>
      </c>
      <c r="I1696" t="s">
        <v>660</v>
      </c>
      <c r="J1696" t="str">
        <f>_xlfn.XLOOKUP(Table1[[#This Row],[Course ]], CCF!B:B, CCF!A:A)</f>
        <v>UX401</v>
      </c>
      <c r="K1696" t="s">
        <v>367</v>
      </c>
      <c r="L1696">
        <f>_xlfn.XLOOKUP(K1696, CCF!B:B, CCF!C:C)</f>
        <v>67990</v>
      </c>
      <c r="M1696" t="s">
        <v>207</v>
      </c>
    </row>
    <row r="1697" spans="1:13" x14ac:dyDescent="0.3">
      <c r="A1697">
        <v>1696</v>
      </c>
      <c r="B1697" t="s">
        <v>2356</v>
      </c>
      <c r="C1697" s="3">
        <v>55154</v>
      </c>
      <c r="D1697" t="s">
        <v>666</v>
      </c>
      <c r="E1697">
        <v>19</v>
      </c>
      <c r="F1697" s="1">
        <v>45537</v>
      </c>
      <c r="G1697" s="1" t="str">
        <f>TEXT(Table1[[#This Row],[Enrollment date]], "mmm")</f>
        <v>Sep</v>
      </c>
      <c r="H1697" t="s">
        <v>360</v>
      </c>
      <c r="I1697" t="s">
        <v>660</v>
      </c>
      <c r="J1697" t="str">
        <f>_xlfn.XLOOKUP(Table1[[#This Row],[Course ]], CCF!B:B, CCF!A:A)</f>
        <v>DM101</v>
      </c>
      <c r="K1697" t="s">
        <v>365</v>
      </c>
      <c r="L1697">
        <f>_xlfn.XLOOKUP(K1697, CCF!B:B, CCF!C:C)</f>
        <v>85499</v>
      </c>
      <c r="M1697" t="s">
        <v>134</v>
      </c>
    </row>
    <row r="1698" spans="1:13" x14ac:dyDescent="0.3">
      <c r="A1698">
        <v>1697</v>
      </c>
      <c r="B1698" t="s">
        <v>2357</v>
      </c>
      <c r="C1698" s="3">
        <v>55126</v>
      </c>
      <c r="D1698" t="s">
        <v>666</v>
      </c>
      <c r="E1698">
        <v>19</v>
      </c>
      <c r="F1698" s="1">
        <v>45537</v>
      </c>
      <c r="G1698" s="1" t="str">
        <f>TEXT(Table1[[#This Row],[Enrollment date]], "mmm")</f>
        <v>Sep</v>
      </c>
      <c r="H1698" t="s">
        <v>360</v>
      </c>
      <c r="I1698" t="s">
        <v>665</v>
      </c>
      <c r="J1698" t="str">
        <f>_xlfn.XLOOKUP(Table1[[#This Row],[Course ]], CCF!B:B, CCF!A:A)</f>
        <v>DA202</v>
      </c>
      <c r="K1698" t="s">
        <v>363</v>
      </c>
      <c r="L1698">
        <f>_xlfn.XLOOKUP(K1698, CCF!B:B, CCF!C:C)</f>
        <v>79999</v>
      </c>
      <c r="M1698" t="s">
        <v>182</v>
      </c>
    </row>
    <row r="1699" spans="1:13" x14ac:dyDescent="0.3">
      <c r="A1699">
        <v>1698</v>
      </c>
      <c r="B1699" t="s">
        <v>2358</v>
      </c>
      <c r="C1699" s="3">
        <v>21404</v>
      </c>
      <c r="D1699" t="s">
        <v>667</v>
      </c>
      <c r="E1699">
        <v>27</v>
      </c>
      <c r="F1699" s="1">
        <v>45537</v>
      </c>
      <c r="G1699" s="1" t="str">
        <f>TEXT(Table1[[#This Row],[Enrollment date]], "mmm")</f>
        <v>Sep</v>
      </c>
      <c r="H1699" t="s">
        <v>360</v>
      </c>
      <c r="I1699" t="s">
        <v>660</v>
      </c>
      <c r="J1699" t="str">
        <f>_xlfn.XLOOKUP(Table1[[#This Row],[Course ]], CCF!B:B, CCF!A:A)</f>
        <v>DM101</v>
      </c>
      <c r="K1699" t="s">
        <v>365</v>
      </c>
      <c r="L1699">
        <f>_xlfn.XLOOKUP(K1699, CCF!B:B, CCF!C:C)</f>
        <v>85499</v>
      </c>
      <c r="M1699" t="s">
        <v>91</v>
      </c>
    </row>
    <row r="1700" spans="1:13" x14ac:dyDescent="0.3">
      <c r="A1700">
        <v>1699</v>
      </c>
      <c r="B1700" t="s">
        <v>2359</v>
      </c>
      <c r="C1700" s="3">
        <v>94404</v>
      </c>
      <c r="D1700" t="s">
        <v>667</v>
      </c>
      <c r="E1700">
        <v>50</v>
      </c>
      <c r="F1700" s="1">
        <v>45537</v>
      </c>
      <c r="G1700" s="1" t="str">
        <f>TEXT(Table1[[#This Row],[Enrollment date]], "mmm")</f>
        <v>Sep</v>
      </c>
      <c r="H1700" t="s">
        <v>360</v>
      </c>
      <c r="I1700" t="s">
        <v>661</v>
      </c>
      <c r="J1700" t="str">
        <f>_xlfn.XLOOKUP(Table1[[#This Row],[Course ]], CCF!B:B, CCF!A:A)</f>
        <v>DA202</v>
      </c>
      <c r="K1700" t="s">
        <v>363</v>
      </c>
      <c r="L1700">
        <f>_xlfn.XLOOKUP(K1700, CCF!B:B, CCF!C:C)</f>
        <v>79999</v>
      </c>
      <c r="M1700" t="s">
        <v>27</v>
      </c>
    </row>
    <row r="1701" spans="1:13" x14ac:dyDescent="0.3">
      <c r="A1701">
        <v>1700</v>
      </c>
      <c r="B1701" t="s">
        <v>2360</v>
      </c>
      <c r="C1701" s="3">
        <v>56144</v>
      </c>
      <c r="D1701" t="s">
        <v>666</v>
      </c>
      <c r="E1701">
        <v>20</v>
      </c>
      <c r="F1701" s="1">
        <v>45537</v>
      </c>
      <c r="G1701" s="1" t="str">
        <f>TEXT(Table1[[#This Row],[Enrollment date]], "mmm")</f>
        <v>Sep</v>
      </c>
      <c r="H1701" t="s">
        <v>360</v>
      </c>
      <c r="I1701" t="s">
        <v>659</v>
      </c>
      <c r="J1701" t="str">
        <f>_xlfn.XLOOKUP(Table1[[#This Row],[Course ]], CCF!B:B, CCF!A:A)</f>
        <v>DA202</v>
      </c>
      <c r="K1701" t="s">
        <v>363</v>
      </c>
      <c r="L1701">
        <f>_xlfn.XLOOKUP(K1701, CCF!B:B, CCF!C:C)</f>
        <v>79999</v>
      </c>
      <c r="M1701" t="s">
        <v>16</v>
      </c>
    </row>
    <row r="1702" spans="1:13" x14ac:dyDescent="0.3">
      <c r="A1702">
        <v>1701</v>
      </c>
      <c r="B1702" t="s">
        <v>2361</v>
      </c>
      <c r="C1702" s="3">
        <v>65255</v>
      </c>
      <c r="D1702" t="s">
        <v>667</v>
      </c>
      <c r="E1702">
        <v>40</v>
      </c>
      <c r="F1702" s="1">
        <v>45537</v>
      </c>
      <c r="G1702" s="1" t="str">
        <f>TEXT(Table1[[#This Row],[Enrollment date]], "mmm")</f>
        <v>Sep</v>
      </c>
      <c r="H1702" t="s">
        <v>360</v>
      </c>
      <c r="I1702" t="s">
        <v>662</v>
      </c>
      <c r="J1702" t="str">
        <f>_xlfn.XLOOKUP(Table1[[#This Row],[Course ]], CCF!B:B, CCF!A:A)</f>
        <v>DA202</v>
      </c>
      <c r="K1702" t="s">
        <v>363</v>
      </c>
      <c r="L1702">
        <f>_xlfn.XLOOKUP(K1702, CCF!B:B, CCF!C:C)</f>
        <v>79999</v>
      </c>
      <c r="M1702" t="s">
        <v>253</v>
      </c>
    </row>
    <row r="1703" spans="1:13" x14ac:dyDescent="0.3">
      <c r="A1703">
        <v>1702</v>
      </c>
      <c r="B1703" t="s">
        <v>2362</v>
      </c>
      <c r="C1703" s="3">
        <v>27424</v>
      </c>
      <c r="D1703" t="s">
        <v>666</v>
      </c>
      <c r="E1703">
        <v>47</v>
      </c>
      <c r="F1703" s="1">
        <v>45537</v>
      </c>
      <c r="G1703" s="1" t="str">
        <f>TEXT(Table1[[#This Row],[Enrollment date]], "mmm")</f>
        <v>Sep</v>
      </c>
      <c r="H1703" t="s">
        <v>360</v>
      </c>
      <c r="I1703" t="s">
        <v>661</v>
      </c>
      <c r="J1703" t="str">
        <f>_xlfn.XLOOKUP(Table1[[#This Row],[Course ]], CCF!B:B, CCF!A:A)</f>
        <v>DM101</v>
      </c>
      <c r="K1703" t="s">
        <v>365</v>
      </c>
      <c r="L1703">
        <f>_xlfn.XLOOKUP(K1703, CCF!B:B, CCF!C:C)</f>
        <v>85499</v>
      </c>
      <c r="M1703" t="s">
        <v>86</v>
      </c>
    </row>
    <row r="1704" spans="1:13" x14ac:dyDescent="0.3">
      <c r="A1704">
        <v>1703</v>
      </c>
      <c r="B1704" t="s">
        <v>2363</v>
      </c>
      <c r="C1704" s="3">
        <v>85806</v>
      </c>
      <c r="D1704" t="s">
        <v>666</v>
      </c>
      <c r="E1704">
        <v>48</v>
      </c>
      <c r="F1704" s="1">
        <v>45537</v>
      </c>
      <c r="G1704" s="1" t="str">
        <f>TEXT(Table1[[#This Row],[Enrollment date]], "mmm")</f>
        <v>Sep</v>
      </c>
      <c r="H1704" t="s">
        <v>360</v>
      </c>
      <c r="I1704" t="s">
        <v>660</v>
      </c>
      <c r="J1704" t="str">
        <f>_xlfn.XLOOKUP(Table1[[#This Row],[Course ]], CCF!B:B, CCF!A:A)</f>
        <v>DA202</v>
      </c>
      <c r="K1704" t="s">
        <v>363</v>
      </c>
      <c r="L1704">
        <f>_xlfn.XLOOKUP(K1704, CCF!B:B, CCF!C:C)</f>
        <v>79999</v>
      </c>
      <c r="M1704" t="s">
        <v>27</v>
      </c>
    </row>
    <row r="1705" spans="1:13" x14ac:dyDescent="0.3">
      <c r="A1705">
        <v>1704</v>
      </c>
      <c r="B1705" t="s">
        <v>2364</v>
      </c>
      <c r="C1705" s="3">
        <v>60383</v>
      </c>
      <c r="D1705" t="s">
        <v>667</v>
      </c>
      <c r="E1705">
        <v>76</v>
      </c>
      <c r="F1705" s="1">
        <v>45537</v>
      </c>
      <c r="G1705" s="1" t="str">
        <f>TEXT(Table1[[#This Row],[Enrollment date]], "mmm")</f>
        <v>Sep</v>
      </c>
      <c r="H1705" t="s">
        <v>360</v>
      </c>
      <c r="I1705" t="s">
        <v>665</v>
      </c>
      <c r="J1705" t="str">
        <f>_xlfn.XLOOKUP(Table1[[#This Row],[Course ]], CCF!B:B, CCF!A:A)</f>
        <v>DA202</v>
      </c>
      <c r="K1705" t="s">
        <v>363</v>
      </c>
      <c r="L1705">
        <f>_xlfn.XLOOKUP(K1705, CCF!B:B, CCF!C:C)</f>
        <v>79999</v>
      </c>
      <c r="M1705" t="s">
        <v>100</v>
      </c>
    </row>
    <row r="1706" spans="1:13" x14ac:dyDescent="0.3">
      <c r="A1706">
        <v>1705</v>
      </c>
      <c r="B1706" t="s">
        <v>2365</v>
      </c>
      <c r="C1706" s="3">
        <v>73551</v>
      </c>
      <c r="D1706" t="s">
        <v>666</v>
      </c>
      <c r="E1706">
        <v>24</v>
      </c>
      <c r="F1706" s="1">
        <v>45537</v>
      </c>
      <c r="G1706" s="1" t="str">
        <f>TEXT(Table1[[#This Row],[Enrollment date]], "mmm")</f>
        <v>Sep</v>
      </c>
      <c r="H1706" t="s">
        <v>360</v>
      </c>
      <c r="I1706" t="s">
        <v>659</v>
      </c>
      <c r="J1706" t="str">
        <f>_xlfn.XLOOKUP(Table1[[#This Row],[Course ]], CCF!B:B, CCF!A:A)</f>
        <v>DM101</v>
      </c>
      <c r="K1706" t="s">
        <v>365</v>
      </c>
      <c r="L1706">
        <f>_xlfn.XLOOKUP(K1706, CCF!B:B, CCF!C:C)</f>
        <v>85499</v>
      </c>
      <c r="M1706" t="s">
        <v>109</v>
      </c>
    </row>
    <row r="1707" spans="1:13" x14ac:dyDescent="0.3">
      <c r="A1707">
        <v>1706</v>
      </c>
      <c r="B1707" t="s">
        <v>2366</v>
      </c>
      <c r="C1707" s="3">
        <v>49399</v>
      </c>
      <c r="D1707" t="s">
        <v>667</v>
      </c>
      <c r="E1707">
        <v>32</v>
      </c>
      <c r="F1707" s="1">
        <v>45537</v>
      </c>
      <c r="G1707" s="1" t="str">
        <f>TEXT(Table1[[#This Row],[Enrollment date]], "mmm")</f>
        <v>Sep</v>
      </c>
      <c r="H1707" t="s">
        <v>360</v>
      </c>
      <c r="I1707" t="s">
        <v>660</v>
      </c>
      <c r="J1707" t="str">
        <f>_xlfn.XLOOKUP(Table1[[#This Row],[Course ]], CCF!B:B, CCF!A:A)</f>
        <v>FSD103</v>
      </c>
      <c r="K1707" t="s">
        <v>366</v>
      </c>
      <c r="L1707">
        <f>_xlfn.XLOOKUP(K1707, CCF!B:B, CCF!C:C)</f>
        <v>109990</v>
      </c>
      <c r="M1707" t="s">
        <v>86</v>
      </c>
    </row>
    <row r="1708" spans="1:13" x14ac:dyDescent="0.3">
      <c r="A1708">
        <v>1707</v>
      </c>
      <c r="B1708" t="s">
        <v>2367</v>
      </c>
      <c r="C1708" s="3">
        <v>20750</v>
      </c>
      <c r="D1708" t="s">
        <v>666</v>
      </c>
      <c r="E1708">
        <v>35</v>
      </c>
      <c r="F1708" s="1">
        <v>45537</v>
      </c>
      <c r="G1708" s="1" t="str">
        <f>TEXT(Table1[[#This Row],[Enrollment date]], "mmm")</f>
        <v>Sep</v>
      </c>
      <c r="H1708" t="s">
        <v>360</v>
      </c>
      <c r="I1708" t="s">
        <v>659</v>
      </c>
      <c r="J1708" t="str">
        <f>_xlfn.XLOOKUP(Table1[[#This Row],[Course ]], CCF!B:B, CCF!A:A)</f>
        <v>DA202</v>
      </c>
      <c r="K1708" t="s">
        <v>363</v>
      </c>
      <c r="L1708">
        <f>_xlfn.XLOOKUP(K1708, CCF!B:B, CCF!C:C)</f>
        <v>79999</v>
      </c>
      <c r="M1708" t="s">
        <v>227</v>
      </c>
    </row>
    <row r="1709" spans="1:13" x14ac:dyDescent="0.3">
      <c r="A1709">
        <v>1708</v>
      </c>
      <c r="B1709" t="s">
        <v>2368</v>
      </c>
      <c r="C1709" s="3">
        <v>61676</v>
      </c>
      <c r="D1709" t="s">
        <v>666</v>
      </c>
      <c r="E1709">
        <v>66</v>
      </c>
      <c r="F1709" s="1">
        <v>45538</v>
      </c>
      <c r="G1709" s="1" t="str">
        <f>TEXT(Table1[[#This Row],[Enrollment date]], "mmm")</f>
        <v>Sep</v>
      </c>
      <c r="H1709" t="s">
        <v>360</v>
      </c>
      <c r="I1709" t="s">
        <v>665</v>
      </c>
      <c r="J1709" t="str">
        <f>_xlfn.XLOOKUP(Table1[[#This Row],[Course ]], CCF!B:B, CCF!A:A)</f>
        <v>DM101</v>
      </c>
      <c r="K1709" t="s">
        <v>365</v>
      </c>
      <c r="L1709">
        <f>_xlfn.XLOOKUP(K1709, CCF!B:B, CCF!C:C)</f>
        <v>85499</v>
      </c>
      <c r="M1709" t="s">
        <v>86</v>
      </c>
    </row>
    <row r="1710" spans="1:13" x14ac:dyDescent="0.3">
      <c r="A1710">
        <v>1709</v>
      </c>
      <c r="B1710" t="s">
        <v>2369</v>
      </c>
      <c r="C1710" s="3">
        <v>54003</v>
      </c>
      <c r="D1710" t="s">
        <v>667</v>
      </c>
      <c r="E1710">
        <v>23</v>
      </c>
      <c r="F1710" s="1">
        <v>45538</v>
      </c>
      <c r="G1710" s="1" t="str">
        <f>TEXT(Table1[[#This Row],[Enrollment date]], "mmm")</f>
        <v>Sep</v>
      </c>
      <c r="H1710" t="s">
        <v>360</v>
      </c>
      <c r="I1710" t="s">
        <v>661</v>
      </c>
      <c r="J1710" t="str">
        <f>_xlfn.XLOOKUP(Table1[[#This Row],[Course ]], CCF!B:B, CCF!A:A)</f>
        <v>DA202</v>
      </c>
      <c r="K1710" t="s">
        <v>363</v>
      </c>
      <c r="L1710">
        <f>_xlfn.XLOOKUP(K1710, CCF!B:B, CCF!C:C)</f>
        <v>79999</v>
      </c>
      <c r="M1710" t="s">
        <v>65</v>
      </c>
    </row>
    <row r="1711" spans="1:13" x14ac:dyDescent="0.3">
      <c r="A1711">
        <v>1710</v>
      </c>
      <c r="B1711" t="s">
        <v>2370</v>
      </c>
      <c r="C1711" s="3">
        <v>37296</v>
      </c>
      <c r="D1711" t="s">
        <v>666</v>
      </c>
      <c r="E1711">
        <v>40</v>
      </c>
      <c r="F1711" s="1">
        <v>45538</v>
      </c>
      <c r="G1711" s="1" t="str">
        <f>TEXT(Table1[[#This Row],[Enrollment date]], "mmm")</f>
        <v>Sep</v>
      </c>
      <c r="H1711" t="s">
        <v>360</v>
      </c>
      <c r="I1711" t="s">
        <v>660</v>
      </c>
      <c r="J1711" t="str">
        <f>_xlfn.XLOOKUP(Table1[[#This Row],[Course ]], CCF!B:B, CCF!A:A)</f>
        <v>DA202</v>
      </c>
      <c r="K1711" t="s">
        <v>363</v>
      </c>
      <c r="L1711">
        <f>_xlfn.XLOOKUP(K1711, CCF!B:B, CCF!C:C)</f>
        <v>79999</v>
      </c>
      <c r="M1711" t="s">
        <v>27</v>
      </c>
    </row>
    <row r="1712" spans="1:13" x14ac:dyDescent="0.3">
      <c r="A1712">
        <v>1711</v>
      </c>
      <c r="B1712" t="s">
        <v>2371</v>
      </c>
      <c r="C1712" s="3">
        <v>65226</v>
      </c>
      <c r="D1712" t="s">
        <v>666</v>
      </c>
      <c r="E1712">
        <v>29</v>
      </c>
      <c r="F1712" s="1">
        <v>45538</v>
      </c>
      <c r="G1712" s="1" t="str">
        <f>TEXT(Table1[[#This Row],[Enrollment date]], "mmm")</f>
        <v>Sep</v>
      </c>
      <c r="H1712" t="s">
        <v>360</v>
      </c>
      <c r="I1712" t="s">
        <v>661</v>
      </c>
      <c r="J1712" t="str">
        <f>_xlfn.XLOOKUP(Table1[[#This Row],[Course ]], CCF!B:B, CCF!A:A)</f>
        <v>DA202</v>
      </c>
      <c r="K1712" t="s">
        <v>363</v>
      </c>
      <c r="L1712">
        <f>_xlfn.XLOOKUP(K1712, CCF!B:B, CCF!C:C)</f>
        <v>79999</v>
      </c>
      <c r="M1712" t="s">
        <v>80</v>
      </c>
    </row>
    <row r="1713" spans="1:13" x14ac:dyDescent="0.3">
      <c r="A1713">
        <v>1712</v>
      </c>
      <c r="B1713" t="s">
        <v>2372</v>
      </c>
      <c r="C1713" s="3">
        <v>69598</v>
      </c>
      <c r="D1713" t="s">
        <v>667</v>
      </c>
      <c r="E1713">
        <v>18</v>
      </c>
      <c r="F1713" s="1">
        <v>45538</v>
      </c>
      <c r="G1713" s="1" t="str">
        <f>TEXT(Table1[[#This Row],[Enrollment date]], "mmm")</f>
        <v>Sep</v>
      </c>
      <c r="H1713" t="s">
        <v>360</v>
      </c>
      <c r="I1713" t="s">
        <v>659</v>
      </c>
      <c r="J1713" t="str">
        <f>_xlfn.XLOOKUP(Table1[[#This Row],[Course ]], CCF!B:B, CCF!A:A)</f>
        <v>DM101</v>
      </c>
      <c r="K1713" t="s">
        <v>365</v>
      </c>
      <c r="L1713">
        <f>_xlfn.XLOOKUP(K1713, CCF!B:B, CCF!C:C)</f>
        <v>85499</v>
      </c>
      <c r="M1713" t="s">
        <v>2</v>
      </c>
    </row>
    <row r="1714" spans="1:13" x14ac:dyDescent="0.3">
      <c r="A1714">
        <v>1713</v>
      </c>
      <c r="B1714" t="s">
        <v>2373</v>
      </c>
      <c r="C1714" s="3">
        <v>58444</v>
      </c>
      <c r="D1714" t="s">
        <v>666</v>
      </c>
      <c r="E1714">
        <v>32</v>
      </c>
      <c r="F1714" s="1">
        <v>45538</v>
      </c>
      <c r="G1714" s="1" t="str">
        <f>TEXT(Table1[[#This Row],[Enrollment date]], "mmm")</f>
        <v>Sep</v>
      </c>
      <c r="H1714" t="s">
        <v>360</v>
      </c>
      <c r="I1714" t="s">
        <v>660</v>
      </c>
      <c r="J1714" t="str">
        <f>_xlfn.XLOOKUP(Table1[[#This Row],[Course ]], CCF!B:B, CCF!A:A)</f>
        <v>DM101</v>
      </c>
      <c r="K1714" t="s">
        <v>365</v>
      </c>
      <c r="L1714">
        <f>_xlfn.XLOOKUP(K1714, CCF!B:B, CCF!C:C)</f>
        <v>85499</v>
      </c>
      <c r="M1714" t="s">
        <v>530</v>
      </c>
    </row>
    <row r="1715" spans="1:13" x14ac:dyDescent="0.3">
      <c r="A1715">
        <v>1714</v>
      </c>
      <c r="B1715" t="s">
        <v>2374</v>
      </c>
      <c r="C1715" s="3">
        <v>24203</v>
      </c>
      <c r="D1715" t="s">
        <v>666</v>
      </c>
      <c r="E1715">
        <v>41</v>
      </c>
      <c r="F1715" s="1">
        <v>45538</v>
      </c>
      <c r="G1715" s="1" t="str">
        <f>TEXT(Table1[[#This Row],[Enrollment date]], "mmm")</f>
        <v>Sep</v>
      </c>
      <c r="H1715" t="s">
        <v>360</v>
      </c>
      <c r="I1715" t="s">
        <v>660</v>
      </c>
      <c r="J1715" t="str">
        <f>_xlfn.XLOOKUP(Table1[[#This Row],[Course ]], CCF!B:B, CCF!A:A)</f>
        <v>DM101</v>
      </c>
      <c r="K1715" t="s">
        <v>365</v>
      </c>
      <c r="L1715">
        <f>_xlfn.XLOOKUP(K1715, CCF!B:B, CCF!C:C)</f>
        <v>85499</v>
      </c>
      <c r="M1715" t="s">
        <v>18</v>
      </c>
    </row>
    <row r="1716" spans="1:13" x14ac:dyDescent="0.3">
      <c r="A1716">
        <v>1715</v>
      </c>
      <c r="B1716" t="s">
        <v>2375</v>
      </c>
      <c r="C1716" s="3">
        <v>86431</v>
      </c>
      <c r="D1716" t="s">
        <v>666</v>
      </c>
      <c r="E1716">
        <v>75</v>
      </c>
      <c r="F1716" s="1">
        <v>45538</v>
      </c>
      <c r="G1716" s="1" t="str">
        <f>TEXT(Table1[[#This Row],[Enrollment date]], "mmm")</f>
        <v>Sep</v>
      </c>
      <c r="H1716" t="s">
        <v>360</v>
      </c>
      <c r="I1716" t="s">
        <v>661</v>
      </c>
      <c r="J1716" t="str">
        <f>_xlfn.XLOOKUP(Table1[[#This Row],[Course ]], CCF!B:B, CCF!A:A)</f>
        <v>DA202</v>
      </c>
      <c r="K1716" t="s">
        <v>363</v>
      </c>
      <c r="L1716">
        <f>_xlfn.XLOOKUP(K1716, CCF!B:B, CCF!C:C)</f>
        <v>79999</v>
      </c>
      <c r="M1716" t="s">
        <v>6</v>
      </c>
    </row>
    <row r="1717" spans="1:13" x14ac:dyDescent="0.3">
      <c r="A1717">
        <v>1716</v>
      </c>
      <c r="B1717" t="s">
        <v>2376</v>
      </c>
      <c r="C1717" s="3">
        <v>43155</v>
      </c>
      <c r="D1717" t="s">
        <v>666</v>
      </c>
      <c r="E1717">
        <v>31</v>
      </c>
      <c r="F1717" s="1">
        <v>45538</v>
      </c>
      <c r="G1717" s="1" t="str">
        <f>TEXT(Table1[[#This Row],[Enrollment date]], "mmm")</f>
        <v>Sep</v>
      </c>
      <c r="H1717" t="s">
        <v>360</v>
      </c>
      <c r="I1717" t="s">
        <v>660</v>
      </c>
      <c r="J1717" t="str">
        <f>_xlfn.XLOOKUP(Table1[[#This Row],[Course ]], CCF!B:B, CCF!A:A)</f>
        <v>DM101</v>
      </c>
      <c r="K1717" t="s">
        <v>365</v>
      </c>
      <c r="L1717">
        <f>_xlfn.XLOOKUP(K1717, CCF!B:B, CCF!C:C)</f>
        <v>85499</v>
      </c>
      <c r="M1717" t="s">
        <v>2</v>
      </c>
    </row>
    <row r="1718" spans="1:13" x14ac:dyDescent="0.3">
      <c r="A1718">
        <v>1717</v>
      </c>
      <c r="B1718" t="s">
        <v>2377</v>
      </c>
      <c r="C1718" s="3">
        <v>75192</v>
      </c>
      <c r="D1718" t="s">
        <v>666</v>
      </c>
      <c r="E1718">
        <v>31</v>
      </c>
      <c r="F1718" s="1">
        <v>45538</v>
      </c>
      <c r="G1718" s="1" t="str">
        <f>TEXT(Table1[[#This Row],[Enrollment date]], "mmm")</f>
        <v>Sep</v>
      </c>
      <c r="H1718" t="s">
        <v>360</v>
      </c>
      <c r="I1718" t="s">
        <v>660</v>
      </c>
      <c r="J1718" t="str">
        <f>_xlfn.XLOOKUP(Table1[[#This Row],[Course ]], CCF!B:B, CCF!A:A)</f>
        <v>DM101</v>
      </c>
      <c r="K1718" t="s">
        <v>365</v>
      </c>
      <c r="L1718">
        <f>_xlfn.XLOOKUP(K1718, CCF!B:B, CCF!C:C)</f>
        <v>85499</v>
      </c>
      <c r="M1718" t="s">
        <v>144</v>
      </c>
    </row>
    <row r="1719" spans="1:13" x14ac:dyDescent="0.3">
      <c r="A1719">
        <v>1718</v>
      </c>
      <c r="B1719" t="s">
        <v>2378</v>
      </c>
      <c r="C1719" s="3">
        <v>20610</v>
      </c>
      <c r="D1719" t="s">
        <v>667</v>
      </c>
      <c r="E1719">
        <v>31</v>
      </c>
      <c r="F1719" s="1">
        <v>45538</v>
      </c>
      <c r="G1719" s="1" t="str">
        <f>TEXT(Table1[[#This Row],[Enrollment date]], "mmm")</f>
        <v>Sep</v>
      </c>
      <c r="H1719" t="s">
        <v>360</v>
      </c>
      <c r="I1719" t="s">
        <v>663</v>
      </c>
      <c r="J1719" t="str">
        <f>_xlfn.XLOOKUP(Table1[[#This Row],[Course ]], CCF!B:B, CCF!A:A)</f>
        <v>DA202</v>
      </c>
      <c r="K1719" t="s">
        <v>363</v>
      </c>
      <c r="L1719">
        <f>_xlfn.XLOOKUP(K1719, CCF!B:B, CCF!C:C)</f>
        <v>79999</v>
      </c>
      <c r="M1719" t="s">
        <v>17</v>
      </c>
    </row>
    <row r="1720" spans="1:13" x14ac:dyDescent="0.3">
      <c r="A1720">
        <v>1719</v>
      </c>
      <c r="B1720" t="s">
        <v>2379</v>
      </c>
      <c r="C1720" s="3">
        <v>40142</v>
      </c>
      <c r="D1720" t="s">
        <v>666</v>
      </c>
      <c r="E1720">
        <v>25</v>
      </c>
      <c r="F1720" s="1">
        <v>45538</v>
      </c>
      <c r="G1720" s="1" t="str">
        <f>TEXT(Table1[[#This Row],[Enrollment date]], "mmm")</f>
        <v>Sep</v>
      </c>
      <c r="H1720" t="s">
        <v>360</v>
      </c>
      <c r="I1720" t="s">
        <v>660</v>
      </c>
      <c r="J1720" t="str">
        <f>_xlfn.XLOOKUP(Table1[[#This Row],[Course ]], CCF!B:B, CCF!A:A)</f>
        <v>FSD103</v>
      </c>
      <c r="K1720" t="s">
        <v>366</v>
      </c>
      <c r="L1720">
        <f>_xlfn.XLOOKUP(K1720, CCF!B:B, CCF!C:C)</f>
        <v>109990</v>
      </c>
      <c r="M1720" t="s">
        <v>91</v>
      </c>
    </row>
    <row r="1721" spans="1:13" x14ac:dyDescent="0.3">
      <c r="A1721">
        <v>1720</v>
      </c>
      <c r="B1721" t="s">
        <v>2380</v>
      </c>
      <c r="C1721" s="3">
        <v>75724</v>
      </c>
      <c r="D1721" t="s">
        <v>667</v>
      </c>
      <c r="E1721">
        <v>49</v>
      </c>
      <c r="F1721" s="1">
        <v>45539</v>
      </c>
      <c r="G1721" s="1" t="str">
        <f>TEXT(Table1[[#This Row],[Enrollment date]], "mmm")</f>
        <v>Sep</v>
      </c>
      <c r="H1721" t="s">
        <v>360</v>
      </c>
      <c r="I1721" t="s">
        <v>660</v>
      </c>
      <c r="J1721" t="str">
        <f>_xlfn.XLOOKUP(Table1[[#This Row],[Course ]], CCF!B:B, CCF!A:A)</f>
        <v>BA301</v>
      </c>
      <c r="K1721" t="s">
        <v>364</v>
      </c>
      <c r="L1721">
        <f>_xlfn.XLOOKUP(K1721, CCF!B:B, CCF!C:C)</f>
        <v>59999</v>
      </c>
      <c r="M1721" t="s">
        <v>14</v>
      </c>
    </row>
    <row r="1722" spans="1:13" x14ac:dyDescent="0.3">
      <c r="A1722">
        <v>1721</v>
      </c>
      <c r="B1722" t="s">
        <v>2381</v>
      </c>
      <c r="C1722" s="3">
        <v>79087</v>
      </c>
      <c r="D1722" t="s">
        <v>666</v>
      </c>
      <c r="E1722">
        <v>47</v>
      </c>
      <c r="F1722" s="1">
        <v>45539</v>
      </c>
      <c r="G1722" s="1" t="str">
        <f>TEXT(Table1[[#This Row],[Enrollment date]], "mmm")</f>
        <v>Sep</v>
      </c>
      <c r="H1722" t="s">
        <v>360</v>
      </c>
      <c r="I1722" t="s">
        <v>660</v>
      </c>
      <c r="J1722" t="str">
        <f>_xlfn.XLOOKUP(Table1[[#This Row],[Course ]], CCF!B:B, CCF!A:A)</f>
        <v>DM101</v>
      </c>
      <c r="K1722" t="s">
        <v>365</v>
      </c>
      <c r="L1722">
        <f>_xlfn.XLOOKUP(K1722, CCF!B:B, CCF!C:C)</f>
        <v>85499</v>
      </c>
      <c r="M1722" t="s">
        <v>583</v>
      </c>
    </row>
    <row r="1723" spans="1:13" x14ac:dyDescent="0.3">
      <c r="A1723">
        <v>1722</v>
      </c>
      <c r="B1723" t="s">
        <v>2382</v>
      </c>
      <c r="C1723" s="3">
        <v>33534</v>
      </c>
      <c r="D1723" t="s">
        <v>667</v>
      </c>
      <c r="E1723">
        <v>45</v>
      </c>
      <c r="F1723" s="1">
        <v>45539</v>
      </c>
      <c r="G1723" s="1" t="str">
        <f>TEXT(Table1[[#This Row],[Enrollment date]], "mmm")</f>
        <v>Sep</v>
      </c>
      <c r="H1723" t="s">
        <v>360</v>
      </c>
      <c r="I1723" t="s">
        <v>664</v>
      </c>
      <c r="J1723" t="str">
        <f>_xlfn.XLOOKUP(Table1[[#This Row],[Course ]], CCF!B:B, CCF!A:A)</f>
        <v>FSD103</v>
      </c>
      <c r="K1723" t="s">
        <v>366</v>
      </c>
      <c r="L1723">
        <f>_xlfn.XLOOKUP(K1723, CCF!B:B, CCF!C:C)</f>
        <v>109990</v>
      </c>
      <c r="M1723" t="s">
        <v>18</v>
      </c>
    </row>
    <row r="1724" spans="1:13" x14ac:dyDescent="0.3">
      <c r="A1724">
        <v>1723</v>
      </c>
      <c r="B1724" t="s">
        <v>2383</v>
      </c>
      <c r="C1724" s="3">
        <v>42333</v>
      </c>
      <c r="D1724" t="s">
        <v>666</v>
      </c>
      <c r="E1724">
        <v>32</v>
      </c>
      <c r="F1724" s="1">
        <v>45539</v>
      </c>
      <c r="G1724" s="1" t="str">
        <f>TEXT(Table1[[#This Row],[Enrollment date]], "mmm")</f>
        <v>Sep</v>
      </c>
      <c r="H1724" t="s">
        <v>360</v>
      </c>
      <c r="I1724" t="s">
        <v>660</v>
      </c>
      <c r="J1724" t="str">
        <f>_xlfn.XLOOKUP(Table1[[#This Row],[Course ]], CCF!B:B, CCF!A:A)</f>
        <v>DA202</v>
      </c>
      <c r="K1724" t="s">
        <v>363</v>
      </c>
      <c r="L1724">
        <f>_xlfn.XLOOKUP(K1724, CCF!B:B, CCF!C:C)</f>
        <v>79999</v>
      </c>
      <c r="M1724" t="s">
        <v>20</v>
      </c>
    </row>
    <row r="1725" spans="1:13" x14ac:dyDescent="0.3">
      <c r="A1725">
        <v>1724</v>
      </c>
      <c r="B1725" t="s">
        <v>2384</v>
      </c>
      <c r="C1725" s="3">
        <v>70020</v>
      </c>
      <c r="D1725" t="s">
        <v>666</v>
      </c>
      <c r="E1725">
        <v>22</v>
      </c>
      <c r="F1725" s="1">
        <v>45539</v>
      </c>
      <c r="G1725" s="1" t="str">
        <f>TEXT(Table1[[#This Row],[Enrollment date]], "mmm")</f>
        <v>Sep</v>
      </c>
      <c r="H1725" t="s">
        <v>360</v>
      </c>
      <c r="I1725" t="s">
        <v>661</v>
      </c>
      <c r="J1725" t="str">
        <f>_xlfn.XLOOKUP(Table1[[#This Row],[Course ]], CCF!B:B, CCF!A:A)</f>
        <v>DM101</v>
      </c>
      <c r="K1725" t="s">
        <v>365</v>
      </c>
      <c r="L1725">
        <f>_xlfn.XLOOKUP(K1725, CCF!B:B, CCF!C:C)</f>
        <v>85499</v>
      </c>
      <c r="M1725" t="s">
        <v>490</v>
      </c>
    </row>
    <row r="1726" spans="1:13" x14ac:dyDescent="0.3">
      <c r="A1726">
        <v>1725</v>
      </c>
      <c r="B1726" t="s">
        <v>2385</v>
      </c>
      <c r="C1726" s="3">
        <v>56163</v>
      </c>
      <c r="D1726" t="s">
        <v>667</v>
      </c>
      <c r="E1726">
        <v>63</v>
      </c>
      <c r="F1726" s="1">
        <v>45539</v>
      </c>
      <c r="G1726" s="1" t="str">
        <f>TEXT(Table1[[#This Row],[Enrollment date]], "mmm")</f>
        <v>Sep</v>
      </c>
      <c r="H1726" t="s">
        <v>360</v>
      </c>
      <c r="I1726" t="s">
        <v>662</v>
      </c>
      <c r="J1726" t="str">
        <f>_xlfn.XLOOKUP(Table1[[#This Row],[Course ]], CCF!B:B, CCF!A:A)</f>
        <v>DA202</v>
      </c>
      <c r="K1726" t="s">
        <v>363</v>
      </c>
      <c r="L1726">
        <f>_xlfn.XLOOKUP(K1726, CCF!B:B, CCF!C:C)</f>
        <v>79999</v>
      </c>
      <c r="M1726" t="s">
        <v>15</v>
      </c>
    </row>
    <row r="1727" spans="1:13" x14ac:dyDescent="0.3">
      <c r="A1727">
        <v>1726</v>
      </c>
      <c r="B1727" t="s">
        <v>2386</v>
      </c>
      <c r="C1727" s="3">
        <v>67410</v>
      </c>
      <c r="D1727" t="s">
        <v>666</v>
      </c>
      <c r="E1727">
        <v>30</v>
      </c>
      <c r="F1727" s="1">
        <v>45539</v>
      </c>
      <c r="G1727" s="1" t="str">
        <f>TEXT(Table1[[#This Row],[Enrollment date]], "mmm")</f>
        <v>Sep</v>
      </c>
      <c r="H1727" t="s">
        <v>360</v>
      </c>
      <c r="I1727" t="s">
        <v>660</v>
      </c>
      <c r="J1727" t="str">
        <f>_xlfn.XLOOKUP(Table1[[#This Row],[Course ]], CCF!B:B, CCF!A:A)</f>
        <v>AI001</v>
      </c>
      <c r="K1727" t="s">
        <v>368</v>
      </c>
      <c r="L1727">
        <f>_xlfn.XLOOKUP(K1727, CCF!B:B, CCF!C:C)</f>
        <v>119990</v>
      </c>
      <c r="M1727" t="s">
        <v>16</v>
      </c>
    </row>
    <row r="1728" spans="1:13" x14ac:dyDescent="0.3">
      <c r="A1728">
        <v>1727</v>
      </c>
      <c r="B1728" t="s">
        <v>2387</v>
      </c>
      <c r="C1728" s="3">
        <v>67432</v>
      </c>
      <c r="D1728" t="s">
        <v>666</v>
      </c>
      <c r="E1728">
        <v>36</v>
      </c>
      <c r="F1728" s="1">
        <v>45539</v>
      </c>
      <c r="G1728" s="1" t="str">
        <f>TEXT(Table1[[#This Row],[Enrollment date]], "mmm")</f>
        <v>Sep</v>
      </c>
      <c r="H1728" t="s">
        <v>360</v>
      </c>
      <c r="I1728" t="s">
        <v>665</v>
      </c>
      <c r="J1728" t="str">
        <f>_xlfn.XLOOKUP(Table1[[#This Row],[Course ]], CCF!B:B, CCF!A:A)</f>
        <v>DA202</v>
      </c>
      <c r="K1728" t="s">
        <v>363</v>
      </c>
      <c r="L1728">
        <f>_xlfn.XLOOKUP(K1728, CCF!B:B, CCF!C:C)</f>
        <v>79999</v>
      </c>
      <c r="M1728" t="s">
        <v>18</v>
      </c>
    </row>
    <row r="1729" spans="1:13" x14ac:dyDescent="0.3">
      <c r="A1729">
        <v>1728</v>
      </c>
      <c r="B1729" t="s">
        <v>2388</v>
      </c>
      <c r="C1729" s="3">
        <v>81592</v>
      </c>
      <c r="D1729" t="s">
        <v>667</v>
      </c>
      <c r="E1729">
        <v>20</v>
      </c>
      <c r="F1729" s="1">
        <v>45540</v>
      </c>
      <c r="G1729" s="1" t="str">
        <f>TEXT(Table1[[#This Row],[Enrollment date]], "mmm")</f>
        <v>Sep</v>
      </c>
      <c r="H1729" t="s">
        <v>360</v>
      </c>
      <c r="I1729" t="s">
        <v>659</v>
      </c>
      <c r="J1729" t="str">
        <f>_xlfn.XLOOKUP(Table1[[#This Row],[Course ]], CCF!B:B, CCF!A:A)</f>
        <v>BA301</v>
      </c>
      <c r="K1729" t="s">
        <v>364</v>
      </c>
      <c r="L1729">
        <f>_xlfn.XLOOKUP(K1729, CCF!B:B, CCF!C:C)</f>
        <v>59999</v>
      </c>
      <c r="M1729" t="s">
        <v>584</v>
      </c>
    </row>
    <row r="1730" spans="1:13" x14ac:dyDescent="0.3">
      <c r="A1730">
        <v>1729</v>
      </c>
      <c r="B1730" t="s">
        <v>2389</v>
      </c>
      <c r="C1730" s="3">
        <v>17013</v>
      </c>
      <c r="D1730" t="s">
        <v>666</v>
      </c>
      <c r="E1730">
        <v>74</v>
      </c>
      <c r="F1730" s="1">
        <v>45540</v>
      </c>
      <c r="G1730" s="1" t="str">
        <f>TEXT(Table1[[#This Row],[Enrollment date]], "mmm")</f>
        <v>Sep</v>
      </c>
      <c r="H1730" t="s">
        <v>361</v>
      </c>
      <c r="I1730" t="s">
        <v>661</v>
      </c>
      <c r="J1730" t="str">
        <f>_xlfn.XLOOKUP(Table1[[#This Row],[Course ]], CCF!B:B, CCF!A:A)</f>
        <v>DA202</v>
      </c>
      <c r="K1730" t="s">
        <v>363</v>
      </c>
      <c r="L1730">
        <f>_xlfn.XLOOKUP(K1730, CCF!B:B, CCF!C:C)</f>
        <v>79999</v>
      </c>
      <c r="M1730" t="s">
        <v>190</v>
      </c>
    </row>
    <row r="1731" spans="1:13" x14ac:dyDescent="0.3">
      <c r="A1731">
        <v>1730</v>
      </c>
      <c r="B1731" t="s">
        <v>2390</v>
      </c>
      <c r="C1731" s="3">
        <v>30249</v>
      </c>
      <c r="D1731" t="s">
        <v>666</v>
      </c>
      <c r="E1731">
        <v>34</v>
      </c>
      <c r="F1731" s="1">
        <v>45540</v>
      </c>
      <c r="G1731" s="1" t="str">
        <f>TEXT(Table1[[#This Row],[Enrollment date]], "mmm")</f>
        <v>Sep</v>
      </c>
      <c r="H1731" t="s">
        <v>360</v>
      </c>
      <c r="I1731" t="s">
        <v>663</v>
      </c>
      <c r="J1731" t="str">
        <f>_xlfn.XLOOKUP(Table1[[#This Row],[Course ]], CCF!B:B, CCF!A:A)</f>
        <v>FSD103</v>
      </c>
      <c r="K1731" t="s">
        <v>366</v>
      </c>
      <c r="L1731">
        <f>_xlfn.XLOOKUP(K1731, CCF!B:B, CCF!C:C)</f>
        <v>109990</v>
      </c>
      <c r="M1731" t="s">
        <v>144</v>
      </c>
    </row>
    <row r="1732" spans="1:13" x14ac:dyDescent="0.3">
      <c r="A1732">
        <v>1731</v>
      </c>
      <c r="B1732" t="s">
        <v>2391</v>
      </c>
      <c r="C1732" s="3">
        <v>26636</v>
      </c>
      <c r="D1732" t="s">
        <v>667</v>
      </c>
      <c r="E1732">
        <v>75</v>
      </c>
      <c r="F1732" s="1">
        <v>45540</v>
      </c>
      <c r="G1732" s="1" t="str">
        <f>TEXT(Table1[[#This Row],[Enrollment date]], "mmm")</f>
        <v>Sep</v>
      </c>
      <c r="H1732" t="s">
        <v>360</v>
      </c>
      <c r="I1732" t="s">
        <v>660</v>
      </c>
      <c r="J1732" t="str">
        <f>_xlfn.XLOOKUP(Table1[[#This Row],[Course ]], CCF!B:B, CCF!A:A)</f>
        <v>DM101</v>
      </c>
      <c r="K1732" t="s">
        <v>365</v>
      </c>
      <c r="L1732">
        <f>_xlfn.XLOOKUP(K1732, CCF!B:B, CCF!C:C)</f>
        <v>85499</v>
      </c>
      <c r="M1732" t="s">
        <v>29</v>
      </c>
    </row>
    <row r="1733" spans="1:13" x14ac:dyDescent="0.3">
      <c r="A1733">
        <v>1732</v>
      </c>
      <c r="B1733" t="s">
        <v>2392</v>
      </c>
      <c r="C1733" s="3">
        <v>18812</v>
      </c>
      <c r="D1733" t="s">
        <v>666</v>
      </c>
      <c r="E1733">
        <v>32</v>
      </c>
      <c r="F1733" s="1">
        <v>45540</v>
      </c>
      <c r="G1733" s="1" t="str">
        <f>TEXT(Table1[[#This Row],[Enrollment date]], "mmm")</f>
        <v>Sep</v>
      </c>
      <c r="H1733" t="s">
        <v>360</v>
      </c>
      <c r="I1733" t="s">
        <v>660</v>
      </c>
      <c r="J1733" t="str">
        <f>_xlfn.XLOOKUP(Table1[[#This Row],[Course ]], CCF!B:B, CCF!A:A)</f>
        <v>DM101</v>
      </c>
      <c r="K1733" t="s">
        <v>365</v>
      </c>
      <c r="L1733">
        <f>_xlfn.XLOOKUP(K1733, CCF!B:B, CCF!C:C)</f>
        <v>85499</v>
      </c>
      <c r="M1733" t="s">
        <v>90</v>
      </c>
    </row>
    <row r="1734" spans="1:13" x14ac:dyDescent="0.3">
      <c r="A1734">
        <v>1733</v>
      </c>
      <c r="B1734" t="s">
        <v>2393</v>
      </c>
      <c r="C1734" s="3">
        <v>75313</v>
      </c>
      <c r="D1734" t="s">
        <v>666</v>
      </c>
      <c r="E1734">
        <v>30</v>
      </c>
      <c r="F1734" s="1">
        <v>45540</v>
      </c>
      <c r="G1734" s="1" t="str">
        <f>TEXT(Table1[[#This Row],[Enrollment date]], "mmm")</f>
        <v>Sep</v>
      </c>
      <c r="H1734" t="s">
        <v>360</v>
      </c>
      <c r="I1734" t="s">
        <v>660</v>
      </c>
      <c r="J1734" t="str">
        <f>_xlfn.XLOOKUP(Table1[[#This Row],[Course ]], CCF!B:B, CCF!A:A)</f>
        <v>DA202</v>
      </c>
      <c r="K1734" t="s">
        <v>363</v>
      </c>
      <c r="L1734">
        <f>_xlfn.XLOOKUP(K1734, CCF!B:B, CCF!C:C)</f>
        <v>79999</v>
      </c>
      <c r="M1734" t="s">
        <v>30</v>
      </c>
    </row>
    <row r="1735" spans="1:13" x14ac:dyDescent="0.3">
      <c r="A1735">
        <v>1734</v>
      </c>
      <c r="B1735" t="s">
        <v>2394</v>
      </c>
      <c r="C1735" s="3">
        <v>82802</v>
      </c>
      <c r="D1735" t="s">
        <v>667</v>
      </c>
      <c r="E1735">
        <v>26</v>
      </c>
      <c r="F1735" s="1">
        <v>45540</v>
      </c>
      <c r="G1735" s="1" t="str">
        <f>TEXT(Table1[[#This Row],[Enrollment date]], "mmm")</f>
        <v>Sep</v>
      </c>
      <c r="H1735" t="s">
        <v>3</v>
      </c>
      <c r="I1735" t="s">
        <v>660</v>
      </c>
      <c r="J1735" t="str">
        <f>_xlfn.XLOOKUP(Table1[[#This Row],[Course ]], CCF!B:B, CCF!A:A)</f>
        <v>DM101</v>
      </c>
      <c r="K1735" t="s">
        <v>365</v>
      </c>
      <c r="L1735">
        <f>_xlfn.XLOOKUP(K1735, CCF!B:B, CCF!C:C)</f>
        <v>85499</v>
      </c>
      <c r="M1735" t="s">
        <v>12</v>
      </c>
    </row>
    <row r="1736" spans="1:13" x14ac:dyDescent="0.3">
      <c r="A1736">
        <v>1735</v>
      </c>
      <c r="B1736" t="s">
        <v>2395</v>
      </c>
      <c r="C1736" s="3">
        <v>91123</v>
      </c>
      <c r="D1736" t="s">
        <v>666</v>
      </c>
      <c r="E1736">
        <v>68</v>
      </c>
      <c r="F1736" s="1">
        <v>45540</v>
      </c>
      <c r="G1736" s="1" t="str">
        <f>TEXT(Table1[[#This Row],[Enrollment date]], "mmm")</f>
        <v>Sep</v>
      </c>
      <c r="H1736" t="s">
        <v>361</v>
      </c>
      <c r="I1736" t="s">
        <v>660</v>
      </c>
      <c r="J1736" t="str">
        <f>_xlfn.XLOOKUP(Table1[[#This Row],[Course ]], CCF!B:B, CCF!A:A)</f>
        <v>DM101</v>
      </c>
      <c r="K1736" t="s">
        <v>365</v>
      </c>
      <c r="L1736">
        <f>_xlfn.XLOOKUP(K1736, CCF!B:B, CCF!C:C)</f>
        <v>85499</v>
      </c>
      <c r="M1736" t="s">
        <v>159</v>
      </c>
    </row>
    <row r="1737" spans="1:13" x14ac:dyDescent="0.3">
      <c r="A1737">
        <v>1736</v>
      </c>
      <c r="B1737" t="s">
        <v>2396</v>
      </c>
      <c r="C1737" s="3">
        <v>30997</v>
      </c>
      <c r="D1737" t="s">
        <v>666</v>
      </c>
      <c r="E1737">
        <v>19</v>
      </c>
      <c r="F1737" s="1">
        <v>45540</v>
      </c>
      <c r="G1737" s="1" t="str">
        <f>TEXT(Table1[[#This Row],[Enrollment date]], "mmm")</f>
        <v>Sep</v>
      </c>
      <c r="H1737" t="s">
        <v>360</v>
      </c>
      <c r="I1737" t="s">
        <v>659</v>
      </c>
      <c r="J1737" t="str">
        <f>_xlfn.XLOOKUP(Table1[[#This Row],[Course ]], CCF!B:B, CCF!A:A)</f>
        <v>DA202</v>
      </c>
      <c r="K1737" t="s">
        <v>363</v>
      </c>
      <c r="L1737">
        <f>_xlfn.XLOOKUP(K1737, CCF!B:B, CCF!C:C)</f>
        <v>79999</v>
      </c>
      <c r="M1737" t="s">
        <v>52</v>
      </c>
    </row>
    <row r="1738" spans="1:13" x14ac:dyDescent="0.3">
      <c r="A1738">
        <v>1737</v>
      </c>
      <c r="B1738" t="s">
        <v>2397</v>
      </c>
      <c r="C1738" s="3">
        <v>78434</v>
      </c>
      <c r="D1738" t="s">
        <v>666</v>
      </c>
      <c r="E1738">
        <v>23</v>
      </c>
      <c r="F1738" s="1">
        <v>45540</v>
      </c>
      <c r="G1738" s="1" t="str">
        <f>TEXT(Table1[[#This Row],[Enrollment date]], "mmm")</f>
        <v>Sep</v>
      </c>
      <c r="H1738" t="s">
        <v>360</v>
      </c>
      <c r="I1738" t="s">
        <v>665</v>
      </c>
      <c r="J1738" t="str">
        <f>_xlfn.XLOOKUP(Table1[[#This Row],[Course ]], CCF!B:B, CCF!A:A)</f>
        <v>DM101</v>
      </c>
      <c r="K1738" t="s">
        <v>365</v>
      </c>
      <c r="L1738">
        <f>_xlfn.XLOOKUP(K1738, CCF!B:B, CCF!C:C)</f>
        <v>85499</v>
      </c>
      <c r="M1738" t="s">
        <v>303</v>
      </c>
    </row>
    <row r="1739" spans="1:13" x14ac:dyDescent="0.3">
      <c r="A1739">
        <v>1738</v>
      </c>
      <c r="B1739" t="s">
        <v>2398</v>
      </c>
      <c r="C1739" s="3">
        <v>65794</v>
      </c>
      <c r="D1739" t="s">
        <v>667</v>
      </c>
      <c r="E1739">
        <v>38</v>
      </c>
      <c r="F1739" s="1">
        <v>45540</v>
      </c>
      <c r="G1739" s="1" t="str">
        <f>TEXT(Table1[[#This Row],[Enrollment date]], "mmm")</f>
        <v>Sep</v>
      </c>
      <c r="H1739" t="s">
        <v>360</v>
      </c>
      <c r="I1739" t="s">
        <v>661</v>
      </c>
      <c r="J1739" t="str">
        <f>_xlfn.XLOOKUP(Table1[[#This Row],[Course ]], CCF!B:B, CCF!A:A)</f>
        <v>DM101</v>
      </c>
      <c r="K1739" t="s">
        <v>365</v>
      </c>
      <c r="L1739">
        <f>_xlfn.XLOOKUP(K1739, CCF!B:B, CCF!C:C)</f>
        <v>85499</v>
      </c>
      <c r="M1739" t="s">
        <v>9</v>
      </c>
    </row>
    <row r="1740" spans="1:13" x14ac:dyDescent="0.3">
      <c r="A1740">
        <v>1739</v>
      </c>
      <c r="B1740" t="s">
        <v>2399</v>
      </c>
      <c r="C1740" s="3">
        <v>71169</v>
      </c>
      <c r="D1740" t="s">
        <v>667</v>
      </c>
      <c r="E1740">
        <v>18</v>
      </c>
      <c r="F1740" s="1">
        <v>45540</v>
      </c>
      <c r="G1740" s="1" t="str">
        <f>TEXT(Table1[[#This Row],[Enrollment date]], "mmm")</f>
        <v>Sep</v>
      </c>
      <c r="H1740" t="s">
        <v>3</v>
      </c>
      <c r="I1740" t="s">
        <v>660</v>
      </c>
      <c r="J1740" t="str">
        <f>_xlfn.XLOOKUP(Table1[[#This Row],[Course ]], CCF!B:B, CCF!A:A)</f>
        <v>DA202</v>
      </c>
      <c r="K1740" t="s">
        <v>363</v>
      </c>
      <c r="L1740">
        <f>_xlfn.XLOOKUP(K1740, CCF!B:B, CCF!C:C)</f>
        <v>79999</v>
      </c>
      <c r="M1740" t="s">
        <v>9</v>
      </c>
    </row>
    <row r="1741" spans="1:13" x14ac:dyDescent="0.3">
      <c r="A1741">
        <v>1740</v>
      </c>
      <c r="B1741" t="s">
        <v>2400</v>
      </c>
      <c r="C1741" s="3">
        <v>59277</v>
      </c>
      <c r="D1741" t="s">
        <v>666</v>
      </c>
      <c r="E1741">
        <v>21</v>
      </c>
      <c r="F1741" s="1">
        <v>45541</v>
      </c>
      <c r="G1741" s="1" t="str">
        <f>TEXT(Table1[[#This Row],[Enrollment date]], "mmm")</f>
        <v>Sep</v>
      </c>
      <c r="H1741" t="s">
        <v>360</v>
      </c>
      <c r="I1741" t="s">
        <v>659</v>
      </c>
      <c r="J1741" t="str">
        <f>_xlfn.XLOOKUP(Table1[[#This Row],[Course ]], CCF!B:B, CCF!A:A)</f>
        <v>FSD103</v>
      </c>
      <c r="K1741" t="s">
        <v>366</v>
      </c>
      <c r="L1741">
        <f>_xlfn.XLOOKUP(K1741, CCF!B:B, CCF!C:C)</f>
        <v>109990</v>
      </c>
      <c r="M1741" t="s">
        <v>17</v>
      </c>
    </row>
    <row r="1742" spans="1:13" x14ac:dyDescent="0.3">
      <c r="A1742">
        <v>1741</v>
      </c>
      <c r="B1742" t="s">
        <v>2401</v>
      </c>
      <c r="C1742" s="3">
        <v>73975</v>
      </c>
      <c r="D1742" t="s">
        <v>666</v>
      </c>
      <c r="E1742">
        <v>67</v>
      </c>
      <c r="F1742" s="1">
        <v>45541</v>
      </c>
      <c r="G1742" s="1" t="str">
        <f>TEXT(Table1[[#This Row],[Enrollment date]], "mmm")</f>
        <v>Sep</v>
      </c>
      <c r="H1742" t="s">
        <v>360</v>
      </c>
      <c r="I1742" t="s">
        <v>661</v>
      </c>
      <c r="J1742" t="str">
        <f>_xlfn.XLOOKUP(Table1[[#This Row],[Course ]], CCF!B:B, CCF!A:A)</f>
        <v>DM101</v>
      </c>
      <c r="K1742" t="s">
        <v>365</v>
      </c>
      <c r="L1742">
        <f>_xlfn.XLOOKUP(K1742, CCF!B:B, CCF!C:C)</f>
        <v>85499</v>
      </c>
      <c r="M1742" t="s">
        <v>74</v>
      </c>
    </row>
    <row r="1743" spans="1:13" x14ac:dyDescent="0.3">
      <c r="A1743">
        <v>1742</v>
      </c>
      <c r="B1743" t="s">
        <v>2402</v>
      </c>
      <c r="C1743" s="3">
        <v>34462</v>
      </c>
      <c r="D1743" t="s">
        <v>667</v>
      </c>
      <c r="E1743">
        <v>31</v>
      </c>
      <c r="F1743" s="1">
        <v>45541</v>
      </c>
      <c r="G1743" s="1" t="str">
        <f>TEXT(Table1[[#This Row],[Enrollment date]], "mmm")</f>
        <v>Sep</v>
      </c>
      <c r="H1743" t="s">
        <v>360</v>
      </c>
      <c r="I1743" t="s">
        <v>663</v>
      </c>
      <c r="J1743" t="str">
        <f>_xlfn.XLOOKUP(Table1[[#This Row],[Course ]], CCF!B:B, CCF!A:A)</f>
        <v>DA202</v>
      </c>
      <c r="K1743" t="s">
        <v>363</v>
      </c>
      <c r="L1743">
        <f>_xlfn.XLOOKUP(K1743, CCF!B:B, CCF!C:C)</f>
        <v>79999</v>
      </c>
      <c r="M1743" t="s">
        <v>30</v>
      </c>
    </row>
    <row r="1744" spans="1:13" x14ac:dyDescent="0.3">
      <c r="A1744">
        <v>1743</v>
      </c>
      <c r="B1744" t="s">
        <v>2403</v>
      </c>
      <c r="C1744" s="3">
        <v>34422</v>
      </c>
      <c r="D1744" t="s">
        <v>666</v>
      </c>
      <c r="E1744">
        <v>32</v>
      </c>
      <c r="F1744" s="1">
        <v>45541</v>
      </c>
      <c r="G1744" s="1" t="str">
        <f>TEXT(Table1[[#This Row],[Enrollment date]], "mmm")</f>
        <v>Sep</v>
      </c>
      <c r="H1744" t="s">
        <v>360</v>
      </c>
      <c r="I1744" t="s">
        <v>659</v>
      </c>
      <c r="J1744" t="str">
        <f>_xlfn.XLOOKUP(Table1[[#This Row],[Course ]], CCF!B:B, CCF!A:A)</f>
        <v>DA202</v>
      </c>
      <c r="K1744" t="s">
        <v>363</v>
      </c>
      <c r="L1744">
        <f>_xlfn.XLOOKUP(K1744, CCF!B:B, CCF!C:C)</f>
        <v>79999</v>
      </c>
      <c r="M1744" t="s">
        <v>47</v>
      </c>
    </row>
    <row r="1745" spans="1:13" x14ac:dyDescent="0.3">
      <c r="A1745">
        <v>1744</v>
      </c>
      <c r="B1745" t="s">
        <v>2404</v>
      </c>
      <c r="C1745" s="3">
        <v>57657</v>
      </c>
      <c r="D1745" t="s">
        <v>666</v>
      </c>
      <c r="E1745">
        <v>19</v>
      </c>
      <c r="F1745" s="1">
        <v>45541</v>
      </c>
      <c r="G1745" s="1" t="str">
        <f>TEXT(Table1[[#This Row],[Enrollment date]], "mmm")</f>
        <v>Sep</v>
      </c>
      <c r="H1745" t="s">
        <v>360</v>
      </c>
      <c r="I1745" t="s">
        <v>662</v>
      </c>
      <c r="J1745" t="str">
        <f>_xlfn.XLOOKUP(Table1[[#This Row],[Course ]], CCF!B:B, CCF!A:A)</f>
        <v>UX401</v>
      </c>
      <c r="K1745" t="s">
        <v>367</v>
      </c>
      <c r="L1745">
        <f>_xlfn.XLOOKUP(K1745, CCF!B:B, CCF!C:C)</f>
        <v>67990</v>
      </c>
      <c r="M1745" t="s">
        <v>585</v>
      </c>
    </row>
    <row r="1746" spans="1:13" x14ac:dyDescent="0.3">
      <c r="A1746">
        <v>1745</v>
      </c>
      <c r="B1746" t="s">
        <v>2405</v>
      </c>
      <c r="C1746" s="3">
        <v>62764</v>
      </c>
      <c r="D1746" t="s">
        <v>667</v>
      </c>
      <c r="E1746">
        <v>31</v>
      </c>
      <c r="F1746" s="1">
        <v>45541</v>
      </c>
      <c r="G1746" s="1" t="str">
        <f>TEXT(Table1[[#This Row],[Enrollment date]], "mmm")</f>
        <v>Sep</v>
      </c>
      <c r="H1746" t="s">
        <v>360</v>
      </c>
      <c r="I1746" t="s">
        <v>660</v>
      </c>
      <c r="J1746" t="str">
        <f>_xlfn.XLOOKUP(Table1[[#This Row],[Course ]], CCF!B:B, CCF!A:A)</f>
        <v>BA301</v>
      </c>
      <c r="K1746" t="s">
        <v>364</v>
      </c>
      <c r="L1746">
        <f>_xlfn.XLOOKUP(K1746, CCF!B:B, CCF!C:C)</f>
        <v>59999</v>
      </c>
      <c r="M1746" t="s">
        <v>80</v>
      </c>
    </row>
    <row r="1747" spans="1:13" x14ac:dyDescent="0.3">
      <c r="A1747">
        <v>1746</v>
      </c>
      <c r="B1747" t="s">
        <v>2406</v>
      </c>
      <c r="C1747" s="3">
        <v>47250</v>
      </c>
      <c r="D1747" t="s">
        <v>666</v>
      </c>
      <c r="E1747">
        <v>26</v>
      </c>
      <c r="F1747" s="1">
        <v>45541</v>
      </c>
      <c r="G1747" s="1" t="str">
        <f>TEXT(Table1[[#This Row],[Enrollment date]], "mmm")</f>
        <v>Sep</v>
      </c>
      <c r="H1747" t="s">
        <v>360</v>
      </c>
      <c r="I1747" t="s">
        <v>659</v>
      </c>
      <c r="J1747" t="str">
        <f>_xlfn.XLOOKUP(Table1[[#This Row],[Course ]], CCF!B:B, CCF!A:A)</f>
        <v>AI001</v>
      </c>
      <c r="K1747" t="s">
        <v>368</v>
      </c>
      <c r="L1747">
        <f>_xlfn.XLOOKUP(K1747, CCF!B:B, CCF!C:C)</f>
        <v>119990</v>
      </c>
      <c r="M1747" t="s">
        <v>27</v>
      </c>
    </row>
    <row r="1748" spans="1:13" x14ac:dyDescent="0.3">
      <c r="A1748">
        <v>1747</v>
      </c>
      <c r="B1748" t="s">
        <v>2407</v>
      </c>
      <c r="C1748" s="3">
        <v>62818</v>
      </c>
      <c r="D1748" t="s">
        <v>666</v>
      </c>
      <c r="E1748">
        <v>35</v>
      </c>
      <c r="F1748" s="1">
        <v>45541</v>
      </c>
      <c r="G1748" s="1" t="str">
        <f>TEXT(Table1[[#This Row],[Enrollment date]], "mmm")</f>
        <v>Sep</v>
      </c>
      <c r="H1748" t="s">
        <v>360</v>
      </c>
      <c r="I1748" t="s">
        <v>660</v>
      </c>
      <c r="J1748" t="str">
        <f>_xlfn.XLOOKUP(Table1[[#This Row],[Course ]], CCF!B:B, CCF!A:A)</f>
        <v>DM101</v>
      </c>
      <c r="K1748" t="s">
        <v>365</v>
      </c>
      <c r="L1748">
        <f>_xlfn.XLOOKUP(K1748, CCF!B:B, CCF!C:C)</f>
        <v>85499</v>
      </c>
      <c r="M1748" t="s">
        <v>16</v>
      </c>
    </row>
    <row r="1749" spans="1:13" x14ac:dyDescent="0.3">
      <c r="A1749">
        <v>1748</v>
      </c>
      <c r="B1749" t="s">
        <v>2408</v>
      </c>
      <c r="C1749" s="3">
        <v>46176</v>
      </c>
      <c r="D1749" t="s">
        <v>666</v>
      </c>
      <c r="E1749">
        <v>23</v>
      </c>
      <c r="F1749" s="1">
        <v>45542</v>
      </c>
      <c r="G1749" s="1" t="str">
        <f>TEXT(Table1[[#This Row],[Enrollment date]], "mmm")</f>
        <v>Sep</v>
      </c>
      <c r="H1749" t="s">
        <v>360</v>
      </c>
      <c r="I1749" t="s">
        <v>661</v>
      </c>
      <c r="J1749" t="str">
        <f>_xlfn.XLOOKUP(Table1[[#This Row],[Course ]], CCF!B:B, CCF!A:A)</f>
        <v>DA202</v>
      </c>
      <c r="K1749" t="s">
        <v>363</v>
      </c>
      <c r="L1749">
        <f>_xlfn.XLOOKUP(K1749, CCF!B:B, CCF!C:C)</f>
        <v>79999</v>
      </c>
      <c r="M1749" t="s">
        <v>65</v>
      </c>
    </row>
    <row r="1750" spans="1:13" x14ac:dyDescent="0.3">
      <c r="A1750">
        <v>1749</v>
      </c>
      <c r="B1750" t="s">
        <v>2409</v>
      </c>
      <c r="C1750" s="3">
        <v>70620</v>
      </c>
      <c r="D1750" t="s">
        <v>666</v>
      </c>
      <c r="E1750">
        <v>49</v>
      </c>
      <c r="F1750" s="1">
        <v>45542</v>
      </c>
      <c r="G1750" s="1" t="str">
        <f>TEXT(Table1[[#This Row],[Enrollment date]], "mmm")</f>
        <v>Sep</v>
      </c>
      <c r="H1750" t="s">
        <v>360</v>
      </c>
      <c r="I1750" t="s">
        <v>661</v>
      </c>
      <c r="J1750" t="str">
        <f>_xlfn.XLOOKUP(Table1[[#This Row],[Course ]], CCF!B:B, CCF!A:A)</f>
        <v>DM101</v>
      </c>
      <c r="K1750" t="s">
        <v>365</v>
      </c>
      <c r="L1750">
        <f>_xlfn.XLOOKUP(K1750, CCF!B:B, CCF!C:C)</f>
        <v>85499</v>
      </c>
      <c r="M1750" t="s">
        <v>82</v>
      </c>
    </row>
    <row r="1751" spans="1:13" x14ac:dyDescent="0.3">
      <c r="A1751">
        <v>1750</v>
      </c>
      <c r="B1751" t="s">
        <v>2410</v>
      </c>
      <c r="C1751" s="3">
        <v>97063</v>
      </c>
      <c r="D1751" t="s">
        <v>666</v>
      </c>
      <c r="E1751">
        <v>39</v>
      </c>
      <c r="F1751" s="1">
        <v>45542</v>
      </c>
      <c r="G1751" s="1" t="str">
        <f>TEXT(Table1[[#This Row],[Enrollment date]], "mmm")</f>
        <v>Sep</v>
      </c>
      <c r="H1751" t="s">
        <v>360</v>
      </c>
      <c r="I1751" t="s">
        <v>660</v>
      </c>
      <c r="J1751" t="str">
        <f>_xlfn.XLOOKUP(Table1[[#This Row],[Course ]], CCF!B:B, CCF!A:A)</f>
        <v>DA202</v>
      </c>
      <c r="K1751" t="s">
        <v>363</v>
      </c>
      <c r="L1751">
        <f>_xlfn.XLOOKUP(K1751, CCF!B:B, CCF!C:C)</f>
        <v>79999</v>
      </c>
      <c r="M1751" t="s">
        <v>586</v>
      </c>
    </row>
    <row r="1752" spans="1:13" x14ac:dyDescent="0.3">
      <c r="A1752">
        <v>1751</v>
      </c>
      <c r="B1752" t="s">
        <v>2411</v>
      </c>
      <c r="C1752" s="3">
        <v>42639</v>
      </c>
      <c r="D1752" t="s">
        <v>666</v>
      </c>
      <c r="E1752">
        <v>72</v>
      </c>
      <c r="F1752" s="1">
        <v>45542</v>
      </c>
      <c r="G1752" s="1" t="str">
        <f>TEXT(Table1[[#This Row],[Enrollment date]], "mmm")</f>
        <v>Sep</v>
      </c>
      <c r="H1752" t="s">
        <v>360</v>
      </c>
      <c r="I1752" t="s">
        <v>661</v>
      </c>
      <c r="J1752" t="str">
        <f>_xlfn.XLOOKUP(Table1[[#This Row],[Course ]], CCF!B:B, CCF!A:A)</f>
        <v>BA301</v>
      </c>
      <c r="K1752" t="s">
        <v>364</v>
      </c>
      <c r="L1752">
        <f>_xlfn.XLOOKUP(K1752, CCF!B:B, CCF!C:C)</f>
        <v>59999</v>
      </c>
      <c r="M1752" t="s">
        <v>246</v>
      </c>
    </row>
    <row r="1753" spans="1:13" x14ac:dyDescent="0.3">
      <c r="A1753">
        <v>1752</v>
      </c>
      <c r="B1753" t="s">
        <v>2412</v>
      </c>
      <c r="C1753" s="3">
        <v>29593</v>
      </c>
      <c r="D1753" t="s">
        <v>666</v>
      </c>
      <c r="E1753">
        <v>38</v>
      </c>
      <c r="F1753" s="1">
        <v>45542</v>
      </c>
      <c r="G1753" s="1" t="str">
        <f>TEXT(Table1[[#This Row],[Enrollment date]], "mmm")</f>
        <v>Sep</v>
      </c>
      <c r="H1753" t="s">
        <v>360</v>
      </c>
      <c r="I1753" t="s">
        <v>661</v>
      </c>
      <c r="J1753" t="str">
        <f>_xlfn.XLOOKUP(Table1[[#This Row],[Course ]], CCF!B:B, CCF!A:A)</f>
        <v>DA202</v>
      </c>
      <c r="K1753" t="s">
        <v>363</v>
      </c>
      <c r="L1753">
        <f>_xlfn.XLOOKUP(K1753, CCF!B:B, CCF!C:C)</f>
        <v>79999</v>
      </c>
      <c r="M1753" t="s">
        <v>10</v>
      </c>
    </row>
    <row r="1754" spans="1:13" x14ac:dyDescent="0.3">
      <c r="A1754">
        <v>1753</v>
      </c>
      <c r="B1754" t="s">
        <v>2413</v>
      </c>
      <c r="C1754" s="3">
        <v>29227</v>
      </c>
      <c r="D1754" t="s">
        <v>666</v>
      </c>
      <c r="E1754">
        <v>34</v>
      </c>
      <c r="F1754" s="1">
        <v>45542</v>
      </c>
      <c r="G1754" s="1" t="str">
        <f>TEXT(Table1[[#This Row],[Enrollment date]], "mmm")</f>
        <v>Sep</v>
      </c>
      <c r="H1754" t="s">
        <v>360</v>
      </c>
      <c r="I1754" t="s">
        <v>660</v>
      </c>
      <c r="J1754" t="str">
        <f>_xlfn.XLOOKUP(Table1[[#This Row],[Course ]], CCF!B:B, CCF!A:A)</f>
        <v>DA202</v>
      </c>
      <c r="K1754" t="s">
        <v>363</v>
      </c>
      <c r="L1754">
        <f>_xlfn.XLOOKUP(K1754, CCF!B:B, CCF!C:C)</f>
        <v>79999</v>
      </c>
      <c r="M1754" t="s">
        <v>16</v>
      </c>
    </row>
    <row r="1755" spans="1:13" x14ac:dyDescent="0.3">
      <c r="A1755">
        <v>1754</v>
      </c>
      <c r="B1755" t="s">
        <v>2414</v>
      </c>
      <c r="C1755" s="3">
        <v>65241</v>
      </c>
      <c r="D1755" t="s">
        <v>666</v>
      </c>
      <c r="E1755">
        <v>30</v>
      </c>
      <c r="F1755" s="1">
        <v>45542</v>
      </c>
      <c r="G1755" s="1" t="str">
        <f>TEXT(Table1[[#This Row],[Enrollment date]], "mmm")</f>
        <v>Sep</v>
      </c>
      <c r="H1755" t="s">
        <v>360</v>
      </c>
      <c r="I1755" t="s">
        <v>659</v>
      </c>
      <c r="J1755" t="str">
        <f>_xlfn.XLOOKUP(Table1[[#This Row],[Course ]], CCF!B:B, CCF!A:A)</f>
        <v>DM101</v>
      </c>
      <c r="K1755" t="s">
        <v>365</v>
      </c>
      <c r="L1755">
        <f>_xlfn.XLOOKUP(K1755, CCF!B:B, CCF!C:C)</f>
        <v>85499</v>
      </c>
      <c r="M1755" t="s">
        <v>16</v>
      </c>
    </row>
    <row r="1756" spans="1:13" x14ac:dyDescent="0.3">
      <c r="A1756">
        <v>1755</v>
      </c>
      <c r="B1756" t="s">
        <v>2415</v>
      </c>
      <c r="C1756" s="3">
        <v>45311</v>
      </c>
      <c r="D1756" t="s">
        <v>666</v>
      </c>
      <c r="E1756">
        <v>32</v>
      </c>
      <c r="F1756" s="1">
        <v>45542</v>
      </c>
      <c r="G1756" s="1" t="str">
        <f>TEXT(Table1[[#This Row],[Enrollment date]], "mmm")</f>
        <v>Sep</v>
      </c>
      <c r="H1756" t="s">
        <v>360</v>
      </c>
      <c r="I1756" t="s">
        <v>661</v>
      </c>
      <c r="J1756" t="str">
        <f>_xlfn.XLOOKUP(Table1[[#This Row],[Course ]], CCF!B:B, CCF!A:A)</f>
        <v>DA202</v>
      </c>
      <c r="K1756" t="s">
        <v>363</v>
      </c>
      <c r="L1756">
        <f>_xlfn.XLOOKUP(K1756, CCF!B:B, CCF!C:C)</f>
        <v>79999</v>
      </c>
      <c r="M1756" t="s">
        <v>180</v>
      </c>
    </row>
    <row r="1757" spans="1:13" x14ac:dyDescent="0.3">
      <c r="A1757">
        <v>1756</v>
      </c>
      <c r="B1757" t="s">
        <v>2416</v>
      </c>
      <c r="C1757" s="3">
        <v>72100</v>
      </c>
      <c r="D1757" t="s">
        <v>667</v>
      </c>
      <c r="E1757">
        <v>57</v>
      </c>
      <c r="F1757" s="1">
        <v>45543</v>
      </c>
      <c r="G1757" s="1" t="str">
        <f>TEXT(Table1[[#This Row],[Enrollment date]], "mmm")</f>
        <v>Sep</v>
      </c>
      <c r="H1757" t="s">
        <v>360</v>
      </c>
      <c r="I1757" t="s">
        <v>660</v>
      </c>
      <c r="J1757" t="str">
        <f>_xlfn.XLOOKUP(Table1[[#This Row],[Course ]], CCF!B:B, CCF!A:A)</f>
        <v>DM101</v>
      </c>
      <c r="K1757" t="s">
        <v>365</v>
      </c>
      <c r="L1757">
        <f>_xlfn.XLOOKUP(K1757, CCF!B:B, CCF!C:C)</f>
        <v>85499</v>
      </c>
      <c r="M1757" t="s">
        <v>18</v>
      </c>
    </row>
    <row r="1758" spans="1:13" x14ac:dyDescent="0.3">
      <c r="A1758">
        <v>1757</v>
      </c>
      <c r="B1758" t="s">
        <v>2417</v>
      </c>
      <c r="C1758" s="3">
        <v>68162</v>
      </c>
      <c r="D1758" t="s">
        <v>666</v>
      </c>
      <c r="E1758">
        <v>60</v>
      </c>
      <c r="F1758" s="1">
        <v>45543</v>
      </c>
      <c r="G1758" s="1" t="str">
        <f>TEXT(Table1[[#This Row],[Enrollment date]], "mmm")</f>
        <v>Sep</v>
      </c>
      <c r="H1758" t="s">
        <v>360</v>
      </c>
      <c r="I1758" t="s">
        <v>663</v>
      </c>
      <c r="J1758" t="str">
        <f>_xlfn.XLOOKUP(Table1[[#This Row],[Course ]], CCF!B:B, CCF!A:A)</f>
        <v>DM101</v>
      </c>
      <c r="K1758" t="s">
        <v>365</v>
      </c>
      <c r="L1758">
        <f>_xlfn.XLOOKUP(K1758, CCF!B:B, CCF!C:C)</f>
        <v>85499</v>
      </c>
      <c r="M1758" t="s">
        <v>284</v>
      </c>
    </row>
    <row r="1759" spans="1:13" x14ac:dyDescent="0.3">
      <c r="A1759">
        <v>1758</v>
      </c>
      <c r="B1759" t="s">
        <v>2418</v>
      </c>
      <c r="C1759" s="3">
        <v>34552</v>
      </c>
      <c r="D1759" t="s">
        <v>666</v>
      </c>
      <c r="E1759">
        <v>36</v>
      </c>
      <c r="F1759" s="1">
        <v>45543</v>
      </c>
      <c r="G1759" s="1" t="str">
        <f>TEXT(Table1[[#This Row],[Enrollment date]], "mmm")</f>
        <v>Sep</v>
      </c>
      <c r="H1759" t="s">
        <v>360</v>
      </c>
      <c r="I1759" t="s">
        <v>660</v>
      </c>
      <c r="J1759" t="str">
        <f>_xlfn.XLOOKUP(Table1[[#This Row],[Course ]], CCF!B:B, CCF!A:A)</f>
        <v>DM101</v>
      </c>
      <c r="K1759" t="s">
        <v>365</v>
      </c>
      <c r="L1759">
        <f>_xlfn.XLOOKUP(K1759, CCF!B:B, CCF!C:C)</f>
        <v>85499</v>
      </c>
      <c r="M1759" t="s">
        <v>9</v>
      </c>
    </row>
    <row r="1760" spans="1:13" x14ac:dyDescent="0.3">
      <c r="A1760">
        <v>1759</v>
      </c>
      <c r="B1760" t="s">
        <v>2419</v>
      </c>
      <c r="C1760" s="3">
        <v>38890</v>
      </c>
      <c r="D1760" t="s">
        <v>666</v>
      </c>
      <c r="E1760">
        <v>75</v>
      </c>
      <c r="F1760" s="1">
        <v>45543</v>
      </c>
      <c r="G1760" s="1" t="str">
        <f>TEXT(Table1[[#This Row],[Enrollment date]], "mmm")</f>
        <v>Sep</v>
      </c>
      <c r="H1760" t="s">
        <v>360</v>
      </c>
      <c r="I1760" t="s">
        <v>664</v>
      </c>
      <c r="J1760" t="str">
        <f>_xlfn.XLOOKUP(Table1[[#This Row],[Course ]], CCF!B:B, CCF!A:A)</f>
        <v>DA202</v>
      </c>
      <c r="K1760" t="s">
        <v>363</v>
      </c>
      <c r="L1760">
        <f>_xlfn.XLOOKUP(K1760, CCF!B:B, CCF!C:C)</f>
        <v>79999</v>
      </c>
      <c r="M1760" t="s">
        <v>16</v>
      </c>
    </row>
    <row r="1761" spans="1:13" x14ac:dyDescent="0.3">
      <c r="A1761">
        <v>1760</v>
      </c>
      <c r="B1761" t="s">
        <v>2420</v>
      </c>
      <c r="C1761" s="3">
        <v>55501</v>
      </c>
      <c r="D1761" t="s">
        <v>666</v>
      </c>
      <c r="E1761">
        <v>29</v>
      </c>
      <c r="F1761" s="1">
        <v>45543</v>
      </c>
      <c r="G1761" s="1" t="str">
        <f>TEXT(Table1[[#This Row],[Enrollment date]], "mmm")</f>
        <v>Sep</v>
      </c>
      <c r="H1761" t="s">
        <v>360</v>
      </c>
      <c r="I1761" t="s">
        <v>662</v>
      </c>
      <c r="J1761" t="str">
        <f>_xlfn.XLOOKUP(Table1[[#This Row],[Course ]], CCF!B:B, CCF!A:A)</f>
        <v>DM101</v>
      </c>
      <c r="K1761" t="s">
        <v>365</v>
      </c>
      <c r="L1761">
        <f>_xlfn.XLOOKUP(K1761, CCF!B:B, CCF!C:C)</f>
        <v>85499</v>
      </c>
      <c r="M1761" t="s">
        <v>84</v>
      </c>
    </row>
    <row r="1762" spans="1:13" x14ac:dyDescent="0.3">
      <c r="A1762">
        <v>1761</v>
      </c>
      <c r="B1762" t="s">
        <v>2421</v>
      </c>
      <c r="C1762" s="3">
        <v>16538</v>
      </c>
      <c r="D1762" t="s">
        <v>666</v>
      </c>
      <c r="E1762">
        <v>38</v>
      </c>
      <c r="F1762" s="1">
        <v>45543</v>
      </c>
      <c r="G1762" s="1" t="str">
        <f>TEXT(Table1[[#This Row],[Enrollment date]], "mmm")</f>
        <v>Sep</v>
      </c>
      <c r="H1762" t="s">
        <v>360</v>
      </c>
      <c r="I1762" t="s">
        <v>661</v>
      </c>
      <c r="J1762" t="str">
        <f>_xlfn.XLOOKUP(Table1[[#This Row],[Course ]], CCF!B:B, CCF!A:A)</f>
        <v>DA202</v>
      </c>
      <c r="K1762" t="s">
        <v>363</v>
      </c>
      <c r="L1762">
        <f>_xlfn.XLOOKUP(K1762, CCF!B:B, CCF!C:C)</f>
        <v>79999</v>
      </c>
      <c r="M1762" t="s">
        <v>9</v>
      </c>
    </row>
    <row r="1763" spans="1:13" x14ac:dyDescent="0.3">
      <c r="A1763">
        <v>1762</v>
      </c>
      <c r="B1763" t="s">
        <v>2422</v>
      </c>
      <c r="C1763" s="3">
        <v>35174</v>
      </c>
      <c r="D1763" t="s">
        <v>666</v>
      </c>
      <c r="E1763">
        <v>35</v>
      </c>
      <c r="F1763" s="1">
        <v>45543</v>
      </c>
      <c r="G1763" s="1" t="str">
        <f>TEXT(Table1[[#This Row],[Enrollment date]], "mmm")</f>
        <v>Sep</v>
      </c>
      <c r="H1763" t="s">
        <v>360</v>
      </c>
      <c r="I1763" t="s">
        <v>662</v>
      </c>
      <c r="J1763" t="str">
        <f>_xlfn.XLOOKUP(Table1[[#This Row],[Course ]], CCF!B:B, CCF!A:A)</f>
        <v>DM101</v>
      </c>
      <c r="K1763" t="s">
        <v>365</v>
      </c>
      <c r="L1763">
        <f>_xlfn.XLOOKUP(K1763, CCF!B:B, CCF!C:C)</f>
        <v>85499</v>
      </c>
      <c r="M1763" t="s">
        <v>76</v>
      </c>
    </row>
    <row r="1764" spans="1:13" x14ac:dyDescent="0.3">
      <c r="A1764">
        <v>1763</v>
      </c>
      <c r="B1764" t="s">
        <v>2423</v>
      </c>
      <c r="C1764" s="3">
        <v>89366</v>
      </c>
      <c r="D1764" t="s">
        <v>666</v>
      </c>
      <c r="E1764">
        <v>50</v>
      </c>
      <c r="F1764" s="1">
        <v>45544</v>
      </c>
      <c r="G1764" s="1" t="str">
        <f>TEXT(Table1[[#This Row],[Enrollment date]], "mmm")</f>
        <v>Sep</v>
      </c>
      <c r="H1764" t="s">
        <v>360</v>
      </c>
      <c r="I1764" t="s">
        <v>659</v>
      </c>
      <c r="J1764" t="str">
        <f>_xlfn.XLOOKUP(Table1[[#This Row],[Course ]], CCF!B:B, CCF!A:A)</f>
        <v>DA202</v>
      </c>
      <c r="K1764" t="s">
        <v>363</v>
      </c>
      <c r="L1764">
        <f>_xlfn.XLOOKUP(K1764, CCF!B:B, CCF!C:C)</f>
        <v>79999</v>
      </c>
      <c r="M1764" t="s">
        <v>29</v>
      </c>
    </row>
    <row r="1765" spans="1:13" x14ac:dyDescent="0.3">
      <c r="A1765">
        <v>1764</v>
      </c>
      <c r="B1765" t="s">
        <v>2424</v>
      </c>
      <c r="C1765" s="3">
        <v>80691</v>
      </c>
      <c r="D1765" t="s">
        <v>667</v>
      </c>
      <c r="E1765">
        <v>20</v>
      </c>
      <c r="F1765" s="1">
        <v>45544</v>
      </c>
      <c r="G1765" s="1" t="str">
        <f>TEXT(Table1[[#This Row],[Enrollment date]], "mmm")</f>
        <v>Sep</v>
      </c>
      <c r="H1765" t="s">
        <v>360</v>
      </c>
      <c r="I1765" t="s">
        <v>660</v>
      </c>
      <c r="J1765" t="str">
        <f>_xlfn.XLOOKUP(Table1[[#This Row],[Course ]], CCF!B:B, CCF!A:A)</f>
        <v>BA301</v>
      </c>
      <c r="K1765" t="s">
        <v>364</v>
      </c>
      <c r="L1765">
        <f>_xlfn.XLOOKUP(K1765, CCF!B:B, CCF!C:C)</f>
        <v>59999</v>
      </c>
      <c r="M1765" t="s">
        <v>27</v>
      </c>
    </row>
    <row r="1766" spans="1:13" x14ac:dyDescent="0.3">
      <c r="A1766">
        <v>1765</v>
      </c>
      <c r="B1766" t="s">
        <v>2425</v>
      </c>
      <c r="C1766" s="3">
        <v>19446</v>
      </c>
      <c r="D1766" t="s">
        <v>666</v>
      </c>
      <c r="E1766">
        <v>42</v>
      </c>
      <c r="F1766" s="1">
        <v>45544</v>
      </c>
      <c r="G1766" s="1" t="str">
        <f>TEXT(Table1[[#This Row],[Enrollment date]], "mmm")</f>
        <v>Sep</v>
      </c>
      <c r="H1766" t="s">
        <v>360</v>
      </c>
      <c r="I1766" t="s">
        <v>662</v>
      </c>
      <c r="J1766" t="str">
        <f>_xlfn.XLOOKUP(Table1[[#This Row],[Course ]], CCF!B:B, CCF!A:A)</f>
        <v>DA202</v>
      </c>
      <c r="K1766" t="s">
        <v>363</v>
      </c>
      <c r="L1766">
        <f>_xlfn.XLOOKUP(K1766, CCF!B:B, CCF!C:C)</f>
        <v>79999</v>
      </c>
      <c r="M1766" t="s">
        <v>587</v>
      </c>
    </row>
    <row r="1767" spans="1:13" x14ac:dyDescent="0.3">
      <c r="A1767">
        <v>1766</v>
      </c>
      <c r="B1767" t="s">
        <v>2426</v>
      </c>
      <c r="C1767" s="3">
        <v>63410</v>
      </c>
      <c r="D1767" t="s">
        <v>666</v>
      </c>
      <c r="E1767">
        <v>44</v>
      </c>
      <c r="F1767" s="1">
        <v>45544</v>
      </c>
      <c r="G1767" s="1" t="str">
        <f>TEXT(Table1[[#This Row],[Enrollment date]], "mmm")</f>
        <v>Sep</v>
      </c>
      <c r="H1767" t="s">
        <v>360</v>
      </c>
      <c r="I1767" t="s">
        <v>660</v>
      </c>
      <c r="J1767" t="str">
        <f>_xlfn.XLOOKUP(Table1[[#This Row],[Course ]], CCF!B:B, CCF!A:A)</f>
        <v>DA202</v>
      </c>
      <c r="K1767" t="s">
        <v>363</v>
      </c>
      <c r="L1767">
        <f>_xlfn.XLOOKUP(K1767, CCF!B:B, CCF!C:C)</f>
        <v>79999</v>
      </c>
      <c r="M1767" t="s">
        <v>588</v>
      </c>
    </row>
    <row r="1768" spans="1:13" x14ac:dyDescent="0.3">
      <c r="A1768">
        <v>1767</v>
      </c>
      <c r="B1768" t="s">
        <v>2427</v>
      </c>
      <c r="C1768" s="3">
        <v>86550</v>
      </c>
      <c r="D1768" t="s">
        <v>667</v>
      </c>
      <c r="E1768">
        <v>77</v>
      </c>
      <c r="F1768" s="1">
        <v>45544</v>
      </c>
      <c r="G1768" s="1" t="str">
        <f>TEXT(Table1[[#This Row],[Enrollment date]], "mmm")</f>
        <v>Sep</v>
      </c>
      <c r="H1768" t="s">
        <v>360</v>
      </c>
      <c r="I1768" t="s">
        <v>662</v>
      </c>
      <c r="J1768" t="str">
        <f>_xlfn.XLOOKUP(Table1[[#This Row],[Course ]], CCF!B:B, CCF!A:A)</f>
        <v>DM101</v>
      </c>
      <c r="K1768" t="s">
        <v>365</v>
      </c>
      <c r="L1768">
        <f>_xlfn.XLOOKUP(K1768, CCF!B:B, CCF!C:C)</f>
        <v>85499</v>
      </c>
      <c r="M1768" t="s">
        <v>9</v>
      </c>
    </row>
    <row r="1769" spans="1:13" x14ac:dyDescent="0.3">
      <c r="A1769">
        <v>1768</v>
      </c>
      <c r="B1769" t="s">
        <v>2428</v>
      </c>
      <c r="C1769" s="3">
        <v>49011</v>
      </c>
      <c r="D1769" t="s">
        <v>666</v>
      </c>
      <c r="E1769">
        <v>32</v>
      </c>
      <c r="F1769" s="1">
        <v>45544</v>
      </c>
      <c r="G1769" s="1" t="str">
        <f>TEXT(Table1[[#This Row],[Enrollment date]], "mmm")</f>
        <v>Sep</v>
      </c>
      <c r="H1769" t="s">
        <v>360</v>
      </c>
      <c r="I1769" t="s">
        <v>660</v>
      </c>
      <c r="J1769" t="str">
        <f>_xlfn.XLOOKUP(Table1[[#This Row],[Course ]], CCF!B:B, CCF!A:A)</f>
        <v>DM101</v>
      </c>
      <c r="K1769" t="s">
        <v>365</v>
      </c>
      <c r="L1769">
        <f>_xlfn.XLOOKUP(K1769, CCF!B:B, CCF!C:C)</f>
        <v>85499</v>
      </c>
      <c r="M1769" t="s">
        <v>27</v>
      </c>
    </row>
    <row r="1770" spans="1:13" x14ac:dyDescent="0.3">
      <c r="A1770">
        <v>1769</v>
      </c>
      <c r="B1770" t="s">
        <v>2429</v>
      </c>
      <c r="C1770" s="3">
        <v>69435</v>
      </c>
      <c r="D1770" t="s">
        <v>666</v>
      </c>
      <c r="E1770">
        <v>19</v>
      </c>
      <c r="F1770" s="1">
        <v>45544</v>
      </c>
      <c r="G1770" s="1" t="str">
        <f>TEXT(Table1[[#This Row],[Enrollment date]], "mmm")</f>
        <v>Sep</v>
      </c>
      <c r="H1770" t="s">
        <v>360</v>
      </c>
      <c r="I1770" t="s">
        <v>660</v>
      </c>
      <c r="J1770" t="str">
        <f>_xlfn.XLOOKUP(Table1[[#This Row],[Course ]], CCF!B:B, CCF!A:A)</f>
        <v>DM101</v>
      </c>
      <c r="K1770" t="s">
        <v>365</v>
      </c>
      <c r="L1770">
        <f>_xlfn.XLOOKUP(K1770, CCF!B:B, CCF!C:C)</f>
        <v>85499</v>
      </c>
      <c r="M1770" t="s">
        <v>20</v>
      </c>
    </row>
    <row r="1771" spans="1:13" x14ac:dyDescent="0.3">
      <c r="A1771">
        <v>1770</v>
      </c>
      <c r="B1771" t="s">
        <v>2430</v>
      </c>
      <c r="C1771" s="3">
        <v>25232</v>
      </c>
      <c r="D1771" t="s">
        <v>666</v>
      </c>
      <c r="E1771">
        <v>18</v>
      </c>
      <c r="F1771" s="1">
        <v>45545</v>
      </c>
      <c r="G1771" s="1" t="str">
        <f>TEXT(Table1[[#This Row],[Enrollment date]], "mmm")</f>
        <v>Sep</v>
      </c>
      <c r="H1771" t="s">
        <v>360</v>
      </c>
      <c r="I1771" t="s">
        <v>661</v>
      </c>
      <c r="J1771" t="str">
        <f>_xlfn.XLOOKUP(Table1[[#This Row],[Course ]], CCF!B:B, CCF!A:A)</f>
        <v>DA202</v>
      </c>
      <c r="K1771" t="s">
        <v>363</v>
      </c>
      <c r="L1771">
        <f>_xlfn.XLOOKUP(K1771, CCF!B:B, CCF!C:C)</f>
        <v>79999</v>
      </c>
      <c r="M1771" t="s">
        <v>80</v>
      </c>
    </row>
    <row r="1772" spans="1:13" x14ac:dyDescent="0.3">
      <c r="A1772">
        <v>1771</v>
      </c>
      <c r="B1772" t="s">
        <v>2431</v>
      </c>
      <c r="C1772" s="3">
        <v>14954</v>
      </c>
      <c r="D1772" t="s">
        <v>666</v>
      </c>
      <c r="E1772">
        <v>54</v>
      </c>
      <c r="F1772" s="1">
        <v>45545</v>
      </c>
      <c r="G1772" s="1" t="str">
        <f>TEXT(Table1[[#This Row],[Enrollment date]], "mmm")</f>
        <v>Sep</v>
      </c>
      <c r="H1772" t="s">
        <v>360</v>
      </c>
      <c r="I1772" t="s">
        <v>660</v>
      </c>
      <c r="J1772" t="str">
        <f>_xlfn.XLOOKUP(Table1[[#This Row],[Course ]], CCF!B:B, CCF!A:A)</f>
        <v>DM101</v>
      </c>
      <c r="K1772" t="s">
        <v>365</v>
      </c>
      <c r="L1772">
        <f>_xlfn.XLOOKUP(K1772, CCF!B:B, CCF!C:C)</f>
        <v>85499</v>
      </c>
      <c r="M1772" t="s">
        <v>12</v>
      </c>
    </row>
    <row r="1773" spans="1:13" x14ac:dyDescent="0.3">
      <c r="A1773">
        <v>1772</v>
      </c>
      <c r="B1773" t="s">
        <v>2432</v>
      </c>
      <c r="C1773" s="3">
        <v>29352</v>
      </c>
      <c r="D1773" t="s">
        <v>666</v>
      </c>
      <c r="E1773">
        <v>75</v>
      </c>
      <c r="F1773" s="1">
        <v>45546</v>
      </c>
      <c r="G1773" s="1" t="str">
        <f>TEXT(Table1[[#This Row],[Enrollment date]], "mmm")</f>
        <v>Sep</v>
      </c>
      <c r="H1773" t="s">
        <v>360</v>
      </c>
      <c r="I1773" t="s">
        <v>660</v>
      </c>
      <c r="J1773" t="str">
        <f>_xlfn.XLOOKUP(Table1[[#This Row],[Course ]], CCF!B:B, CCF!A:A)</f>
        <v>HR201</v>
      </c>
      <c r="K1773" t="s">
        <v>3152</v>
      </c>
      <c r="L1773">
        <f>_xlfn.XLOOKUP(K1773, CCF!B:B, CCF!C:C)</f>
        <v>41999</v>
      </c>
      <c r="M1773" t="s">
        <v>9</v>
      </c>
    </row>
    <row r="1774" spans="1:13" x14ac:dyDescent="0.3">
      <c r="A1774">
        <v>1773</v>
      </c>
      <c r="B1774" t="s">
        <v>2433</v>
      </c>
      <c r="C1774" s="3">
        <v>55029</v>
      </c>
      <c r="D1774" t="s">
        <v>666</v>
      </c>
      <c r="E1774">
        <v>31</v>
      </c>
      <c r="F1774" s="1">
        <v>45546</v>
      </c>
      <c r="G1774" s="1" t="str">
        <f>TEXT(Table1[[#This Row],[Enrollment date]], "mmm")</f>
        <v>Sep</v>
      </c>
      <c r="H1774" t="s">
        <v>360</v>
      </c>
      <c r="I1774" t="s">
        <v>662</v>
      </c>
      <c r="J1774" t="str">
        <f>_xlfn.XLOOKUP(Table1[[#This Row],[Course ]], CCF!B:B, CCF!A:A)</f>
        <v>UX401</v>
      </c>
      <c r="K1774" t="s">
        <v>367</v>
      </c>
      <c r="L1774">
        <f>_xlfn.XLOOKUP(K1774, CCF!B:B, CCF!C:C)</f>
        <v>67990</v>
      </c>
      <c r="M1774" t="s">
        <v>104</v>
      </c>
    </row>
    <row r="1775" spans="1:13" x14ac:dyDescent="0.3">
      <c r="A1775">
        <v>1774</v>
      </c>
      <c r="B1775" t="s">
        <v>2434</v>
      </c>
      <c r="C1775" s="3">
        <v>57858</v>
      </c>
      <c r="D1775" t="s">
        <v>666</v>
      </c>
      <c r="E1775">
        <v>22</v>
      </c>
      <c r="F1775" s="1">
        <v>45546</v>
      </c>
      <c r="G1775" s="1" t="str">
        <f>TEXT(Table1[[#This Row],[Enrollment date]], "mmm")</f>
        <v>Sep</v>
      </c>
      <c r="H1775" t="s">
        <v>360</v>
      </c>
      <c r="I1775" t="s">
        <v>662</v>
      </c>
      <c r="J1775" t="str">
        <f>_xlfn.XLOOKUP(Table1[[#This Row],[Course ]], CCF!B:B, CCF!A:A)</f>
        <v>FSD103</v>
      </c>
      <c r="K1775" t="s">
        <v>366</v>
      </c>
      <c r="L1775">
        <f>_xlfn.XLOOKUP(K1775, CCF!B:B, CCF!C:C)</f>
        <v>109990</v>
      </c>
      <c r="M1775" t="s">
        <v>522</v>
      </c>
    </row>
    <row r="1776" spans="1:13" x14ac:dyDescent="0.3">
      <c r="A1776">
        <v>1775</v>
      </c>
      <c r="B1776" t="s">
        <v>2435</v>
      </c>
      <c r="C1776" s="3">
        <v>39659</v>
      </c>
      <c r="D1776" t="s">
        <v>666</v>
      </c>
      <c r="E1776">
        <v>30</v>
      </c>
      <c r="F1776" s="1">
        <v>45546</v>
      </c>
      <c r="G1776" s="1" t="str">
        <f>TEXT(Table1[[#This Row],[Enrollment date]], "mmm")</f>
        <v>Sep</v>
      </c>
      <c r="H1776" t="s">
        <v>360</v>
      </c>
      <c r="I1776" t="s">
        <v>660</v>
      </c>
      <c r="J1776" t="str">
        <f>_xlfn.XLOOKUP(Table1[[#This Row],[Course ]], CCF!B:B, CCF!A:A)</f>
        <v>DA202</v>
      </c>
      <c r="K1776" t="s">
        <v>363</v>
      </c>
      <c r="L1776">
        <f>_xlfn.XLOOKUP(K1776, CCF!B:B, CCF!C:C)</f>
        <v>79999</v>
      </c>
      <c r="M1776" t="s">
        <v>27</v>
      </c>
    </row>
    <row r="1777" spans="1:13" x14ac:dyDescent="0.3">
      <c r="A1777">
        <v>1776</v>
      </c>
      <c r="B1777" t="s">
        <v>2436</v>
      </c>
      <c r="C1777" s="3">
        <v>36342</v>
      </c>
      <c r="D1777" t="s">
        <v>667</v>
      </c>
      <c r="E1777">
        <v>36</v>
      </c>
      <c r="F1777" s="1">
        <v>45546</v>
      </c>
      <c r="G1777" s="1" t="str">
        <f>TEXT(Table1[[#This Row],[Enrollment date]], "mmm")</f>
        <v>Sep</v>
      </c>
      <c r="H1777" t="s">
        <v>3</v>
      </c>
      <c r="I1777" t="s">
        <v>661</v>
      </c>
      <c r="J1777" t="str">
        <f>_xlfn.XLOOKUP(Table1[[#This Row],[Course ]], CCF!B:B, CCF!A:A)</f>
        <v>DA202</v>
      </c>
      <c r="K1777" t="s">
        <v>363</v>
      </c>
      <c r="L1777">
        <f>_xlfn.XLOOKUP(K1777, CCF!B:B, CCF!C:C)</f>
        <v>79999</v>
      </c>
      <c r="M1777" t="s">
        <v>16</v>
      </c>
    </row>
    <row r="1778" spans="1:13" x14ac:dyDescent="0.3">
      <c r="A1778">
        <v>1777</v>
      </c>
      <c r="B1778" t="s">
        <v>2437</v>
      </c>
      <c r="C1778" s="3">
        <v>28632</v>
      </c>
      <c r="D1778" t="s">
        <v>666</v>
      </c>
      <c r="E1778">
        <v>64</v>
      </c>
      <c r="F1778" s="1">
        <v>45546</v>
      </c>
      <c r="G1778" s="1" t="str">
        <f>TEXT(Table1[[#This Row],[Enrollment date]], "mmm")</f>
        <v>Sep</v>
      </c>
      <c r="H1778" t="s">
        <v>360</v>
      </c>
      <c r="I1778" t="s">
        <v>663</v>
      </c>
      <c r="J1778" t="str">
        <f>_xlfn.XLOOKUP(Table1[[#This Row],[Course ]], CCF!B:B, CCF!A:A)</f>
        <v>BA301</v>
      </c>
      <c r="K1778" t="s">
        <v>364</v>
      </c>
      <c r="L1778">
        <f>_xlfn.XLOOKUP(K1778, CCF!B:B, CCF!C:C)</f>
        <v>59999</v>
      </c>
      <c r="M1778" t="s">
        <v>30</v>
      </c>
    </row>
    <row r="1779" spans="1:13" x14ac:dyDescent="0.3">
      <c r="A1779">
        <v>1778</v>
      </c>
      <c r="B1779" t="s">
        <v>2438</v>
      </c>
      <c r="C1779" s="3">
        <v>85265</v>
      </c>
      <c r="D1779" t="s">
        <v>666</v>
      </c>
      <c r="E1779">
        <v>18</v>
      </c>
      <c r="F1779" s="1">
        <v>45547</v>
      </c>
      <c r="G1779" s="1" t="str">
        <f>TEXT(Table1[[#This Row],[Enrollment date]], "mmm")</f>
        <v>Sep</v>
      </c>
      <c r="H1779" t="s">
        <v>360</v>
      </c>
      <c r="I1779" t="s">
        <v>660</v>
      </c>
      <c r="J1779" t="str">
        <f>_xlfn.XLOOKUP(Table1[[#This Row],[Course ]], CCF!B:B, CCF!A:A)</f>
        <v>BA301</v>
      </c>
      <c r="K1779" t="s">
        <v>364</v>
      </c>
      <c r="L1779">
        <f>_xlfn.XLOOKUP(K1779, CCF!B:B, CCF!C:C)</f>
        <v>59999</v>
      </c>
      <c r="M1779" t="s">
        <v>589</v>
      </c>
    </row>
    <row r="1780" spans="1:13" x14ac:dyDescent="0.3">
      <c r="A1780">
        <v>1779</v>
      </c>
      <c r="B1780" t="s">
        <v>2439</v>
      </c>
      <c r="C1780" s="3">
        <v>42688</v>
      </c>
      <c r="D1780" t="s">
        <v>667</v>
      </c>
      <c r="E1780">
        <v>40</v>
      </c>
      <c r="F1780" s="1">
        <v>45547</v>
      </c>
      <c r="G1780" s="1" t="str">
        <f>TEXT(Table1[[#This Row],[Enrollment date]], "mmm")</f>
        <v>Sep</v>
      </c>
      <c r="H1780" t="s">
        <v>360</v>
      </c>
      <c r="I1780" t="s">
        <v>660</v>
      </c>
      <c r="J1780" t="str">
        <f>_xlfn.XLOOKUP(Table1[[#This Row],[Course ]], CCF!B:B, CCF!A:A)</f>
        <v>DM101</v>
      </c>
      <c r="K1780" t="s">
        <v>365</v>
      </c>
      <c r="L1780">
        <f>_xlfn.XLOOKUP(K1780, CCF!B:B, CCF!C:C)</f>
        <v>85499</v>
      </c>
      <c r="M1780" t="s">
        <v>25</v>
      </c>
    </row>
    <row r="1781" spans="1:13" x14ac:dyDescent="0.3">
      <c r="A1781">
        <v>1780</v>
      </c>
      <c r="B1781" t="s">
        <v>2440</v>
      </c>
      <c r="C1781" s="3">
        <v>93508</v>
      </c>
      <c r="D1781" t="s">
        <v>666</v>
      </c>
      <c r="E1781">
        <v>19</v>
      </c>
      <c r="F1781" s="1">
        <v>45547</v>
      </c>
      <c r="G1781" s="1" t="str">
        <f>TEXT(Table1[[#This Row],[Enrollment date]], "mmm")</f>
        <v>Sep</v>
      </c>
      <c r="H1781" t="s">
        <v>360</v>
      </c>
      <c r="I1781" t="s">
        <v>660</v>
      </c>
      <c r="J1781" t="str">
        <f>_xlfn.XLOOKUP(Table1[[#This Row],[Course ]], CCF!B:B, CCF!A:A)</f>
        <v>DA202</v>
      </c>
      <c r="K1781" t="s">
        <v>363</v>
      </c>
      <c r="L1781">
        <f>_xlfn.XLOOKUP(K1781, CCF!B:B, CCF!C:C)</f>
        <v>79999</v>
      </c>
      <c r="M1781" t="s">
        <v>203</v>
      </c>
    </row>
    <row r="1782" spans="1:13" x14ac:dyDescent="0.3">
      <c r="A1782">
        <v>1781</v>
      </c>
      <c r="B1782" t="s">
        <v>2441</v>
      </c>
      <c r="C1782" s="3">
        <v>14275</v>
      </c>
      <c r="D1782" t="s">
        <v>667</v>
      </c>
      <c r="E1782">
        <v>35</v>
      </c>
      <c r="F1782" s="1">
        <v>45547</v>
      </c>
      <c r="G1782" s="1" t="str">
        <f>TEXT(Table1[[#This Row],[Enrollment date]], "mmm")</f>
        <v>Sep</v>
      </c>
      <c r="H1782" t="s">
        <v>360</v>
      </c>
      <c r="I1782" t="s">
        <v>659</v>
      </c>
      <c r="J1782" t="str">
        <f>_xlfn.XLOOKUP(Table1[[#This Row],[Course ]], CCF!B:B, CCF!A:A)</f>
        <v>UX401</v>
      </c>
      <c r="K1782" t="s">
        <v>367</v>
      </c>
      <c r="L1782">
        <f>_xlfn.XLOOKUP(K1782, CCF!B:B, CCF!C:C)</f>
        <v>67990</v>
      </c>
      <c r="M1782" t="s">
        <v>86</v>
      </c>
    </row>
    <row r="1783" spans="1:13" x14ac:dyDescent="0.3">
      <c r="A1783">
        <v>1782</v>
      </c>
      <c r="B1783" t="s">
        <v>2442</v>
      </c>
      <c r="C1783" s="3">
        <v>17650</v>
      </c>
      <c r="D1783" t="s">
        <v>667</v>
      </c>
      <c r="E1783">
        <v>54</v>
      </c>
      <c r="F1783" s="1">
        <v>45547</v>
      </c>
      <c r="G1783" s="1" t="str">
        <f>TEXT(Table1[[#This Row],[Enrollment date]], "mmm")</f>
        <v>Sep</v>
      </c>
      <c r="H1783" t="s">
        <v>361</v>
      </c>
      <c r="I1783" t="s">
        <v>664</v>
      </c>
      <c r="J1783" t="str">
        <f>_xlfn.XLOOKUP(Table1[[#This Row],[Course ]], CCF!B:B, CCF!A:A)</f>
        <v>DA202</v>
      </c>
      <c r="K1783" t="s">
        <v>363</v>
      </c>
      <c r="L1783">
        <f>_xlfn.XLOOKUP(K1783, CCF!B:B, CCF!C:C)</f>
        <v>79999</v>
      </c>
      <c r="M1783" t="s">
        <v>148</v>
      </c>
    </row>
    <row r="1784" spans="1:13" x14ac:dyDescent="0.3">
      <c r="A1784">
        <v>1783</v>
      </c>
      <c r="B1784" t="s">
        <v>2443</v>
      </c>
      <c r="C1784" s="3">
        <v>60997</v>
      </c>
      <c r="D1784" t="s">
        <v>666</v>
      </c>
      <c r="E1784">
        <v>46</v>
      </c>
      <c r="F1784" s="1">
        <v>45547</v>
      </c>
      <c r="G1784" s="1" t="str">
        <f>TEXT(Table1[[#This Row],[Enrollment date]], "mmm")</f>
        <v>Sep</v>
      </c>
      <c r="H1784" t="s">
        <v>360</v>
      </c>
      <c r="I1784" t="s">
        <v>660</v>
      </c>
      <c r="J1784" t="str">
        <f>_xlfn.XLOOKUP(Table1[[#This Row],[Course ]], CCF!B:B, CCF!A:A)</f>
        <v>DA202</v>
      </c>
      <c r="K1784" t="s">
        <v>363</v>
      </c>
      <c r="L1784">
        <f>_xlfn.XLOOKUP(K1784, CCF!B:B, CCF!C:C)</f>
        <v>79999</v>
      </c>
      <c r="M1784" t="s">
        <v>30</v>
      </c>
    </row>
    <row r="1785" spans="1:13" x14ac:dyDescent="0.3">
      <c r="A1785">
        <v>1784</v>
      </c>
      <c r="B1785" t="s">
        <v>2444</v>
      </c>
      <c r="C1785" s="3">
        <v>95155</v>
      </c>
      <c r="D1785" t="s">
        <v>667</v>
      </c>
      <c r="E1785">
        <v>77</v>
      </c>
      <c r="F1785" s="1">
        <v>45548</v>
      </c>
      <c r="G1785" s="1" t="str">
        <f>TEXT(Table1[[#This Row],[Enrollment date]], "mmm")</f>
        <v>Sep</v>
      </c>
      <c r="H1785" t="s">
        <v>360</v>
      </c>
      <c r="I1785" t="s">
        <v>659</v>
      </c>
      <c r="J1785" t="str">
        <f>_xlfn.XLOOKUP(Table1[[#This Row],[Course ]], CCF!B:B, CCF!A:A)</f>
        <v>BA301</v>
      </c>
      <c r="K1785" t="s">
        <v>364</v>
      </c>
      <c r="L1785">
        <f>_xlfn.XLOOKUP(K1785, CCF!B:B, CCF!C:C)</f>
        <v>59999</v>
      </c>
      <c r="M1785" t="s">
        <v>27</v>
      </c>
    </row>
    <row r="1786" spans="1:13" x14ac:dyDescent="0.3">
      <c r="A1786">
        <v>1785</v>
      </c>
      <c r="B1786" t="s">
        <v>2445</v>
      </c>
      <c r="C1786" s="3">
        <v>69248</v>
      </c>
      <c r="D1786" t="s">
        <v>666</v>
      </c>
      <c r="E1786">
        <v>36</v>
      </c>
      <c r="F1786" s="1">
        <v>45548</v>
      </c>
      <c r="G1786" s="1" t="str">
        <f>TEXT(Table1[[#This Row],[Enrollment date]], "mmm")</f>
        <v>Sep</v>
      </c>
      <c r="H1786" t="s">
        <v>360</v>
      </c>
      <c r="I1786" t="s">
        <v>660</v>
      </c>
      <c r="J1786" t="str">
        <f>_xlfn.XLOOKUP(Table1[[#This Row],[Course ]], CCF!B:B, CCF!A:A)</f>
        <v>DM101</v>
      </c>
      <c r="K1786" t="s">
        <v>365</v>
      </c>
      <c r="L1786">
        <f>_xlfn.XLOOKUP(K1786, CCF!B:B, CCF!C:C)</f>
        <v>85499</v>
      </c>
      <c r="M1786" t="s">
        <v>175</v>
      </c>
    </row>
    <row r="1787" spans="1:13" x14ac:dyDescent="0.3">
      <c r="A1787">
        <v>1786</v>
      </c>
      <c r="B1787" t="s">
        <v>2446</v>
      </c>
      <c r="C1787" s="3">
        <v>23327</v>
      </c>
      <c r="D1787" t="s">
        <v>666</v>
      </c>
      <c r="E1787">
        <v>54</v>
      </c>
      <c r="F1787" s="1">
        <v>45548</v>
      </c>
      <c r="G1787" s="1" t="str">
        <f>TEXT(Table1[[#This Row],[Enrollment date]], "mmm")</f>
        <v>Sep</v>
      </c>
      <c r="H1787" t="s">
        <v>360</v>
      </c>
      <c r="I1787" t="s">
        <v>659</v>
      </c>
      <c r="J1787" t="str">
        <f>_xlfn.XLOOKUP(Table1[[#This Row],[Course ]], CCF!B:B, CCF!A:A)</f>
        <v>DM101</v>
      </c>
      <c r="K1787" t="s">
        <v>365</v>
      </c>
      <c r="L1787">
        <f>_xlfn.XLOOKUP(K1787, CCF!B:B, CCF!C:C)</f>
        <v>85499</v>
      </c>
      <c r="M1787" t="s">
        <v>43</v>
      </c>
    </row>
    <row r="1788" spans="1:13" x14ac:dyDescent="0.3">
      <c r="A1788">
        <v>1787</v>
      </c>
      <c r="B1788" t="s">
        <v>2447</v>
      </c>
      <c r="C1788" s="3">
        <v>34061</v>
      </c>
      <c r="D1788" t="s">
        <v>666</v>
      </c>
      <c r="E1788">
        <v>33</v>
      </c>
      <c r="F1788" s="1">
        <v>45548</v>
      </c>
      <c r="G1788" s="1" t="str">
        <f>TEXT(Table1[[#This Row],[Enrollment date]], "mmm")</f>
        <v>Sep</v>
      </c>
      <c r="H1788" t="s">
        <v>360</v>
      </c>
      <c r="I1788" t="s">
        <v>660</v>
      </c>
      <c r="J1788" t="str">
        <f>_xlfn.XLOOKUP(Table1[[#This Row],[Course ]], CCF!B:B, CCF!A:A)</f>
        <v>DA202</v>
      </c>
      <c r="K1788" t="s">
        <v>363</v>
      </c>
      <c r="L1788">
        <f>_xlfn.XLOOKUP(K1788, CCF!B:B, CCF!C:C)</f>
        <v>79999</v>
      </c>
      <c r="M1788" t="s">
        <v>136</v>
      </c>
    </row>
    <row r="1789" spans="1:13" x14ac:dyDescent="0.3">
      <c r="A1789">
        <v>1788</v>
      </c>
      <c r="B1789" t="s">
        <v>2448</v>
      </c>
      <c r="C1789" s="3">
        <v>19937</v>
      </c>
      <c r="D1789" t="s">
        <v>667</v>
      </c>
      <c r="E1789">
        <v>67</v>
      </c>
      <c r="F1789" s="1">
        <v>45548</v>
      </c>
      <c r="G1789" s="1" t="str">
        <f>TEXT(Table1[[#This Row],[Enrollment date]], "mmm")</f>
        <v>Sep</v>
      </c>
      <c r="H1789" t="s">
        <v>360</v>
      </c>
      <c r="I1789" t="s">
        <v>660</v>
      </c>
      <c r="J1789" t="str">
        <f>_xlfn.XLOOKUP(Table1[[#This Row],[Course ]], CCF!B:B, CCF!A:A)</f>
        <v>DM101</v>
      </c>
      <c r="K1789" t="s">
        <v>365</v>
      </c>
      <c r="L1789">
        <f>_xlfn.XLOOKUP(K1789, CCF!B:B, CCF!C:C)</f>
        <v>85499</v>
      </c>
      <c r="M1789" t="s">
        <v>27</v>
      </c>
    </row>
    <row r="1790" spans="1:13" x14ac:dyDescent="0.3">
      <c r="A1790">
        <v>1789</v>
      </c>
      <c r="B1790" t="s">
        <v>2449</v>
      </c>
      <c r="C1790" s="3">
        <v>74669</v>
      </c>
      <c r="D1790" t="s">
        <v>667</v>
      </c>
      <c r="E1790">
        <v>39</v>
      </c>
      <c r="F1790" s="1">
        <v>45549</v>
      </c>
      <c r="G1790" s="1" t="str">
        <f>TEXT(Table1[[#This Row],[Enrollment date]], "mmm")</f>
        <v>Sep</v>
      </c>
      <c r="H1790" t="s">
        <v>360</v>
      </c>
      <c r="I1790" t="s">
        <v>661</v>
      </c>
      <c r="J1790" t="str">
        <f>_xlfn.XLOOKUP(Table1[[#This Row],[Course ]], CCF!B:B, CCF!A:A)</f>
        <v>DM101</v>
      </c>
      <c r="K1790" t="s">
        <v>365</v>
      </c>
      <c r="L1790">
        <f>_xlfn.XLOOKUP(K1790, CCF!B:B, CCF!C:C)</f>
        <v>85499</v>
      </c>
      <c r="M1790" t="s">
        <v>529</v>
      </c>
    </row>
    <row r="1791" spans="1:13" x14ac:dyDescent="0.3">
      <c r="A1791">
        <v>1790</v>
      </c>
      <c r="B1791" t="s">
        <v>2450</v>
      </c>
      <c r="C1791" s="3">
        <v>74848</v>
      </c>
      <c r="D1791" t="s">
        <v>666</v>
      </c>
      <c r="E1791">
        <v>47</v>
      </c>
      <c r="F1791" s="1">
        <v>45549</v>
      </c>
      <c r="G1791" s="1" t="str">
        <f>TEXT(Table1[[#This Row],[Enrollment date]], "mmm")</f>
        <v>Sep</v>
      </c>
      <c r="H1791" t="s">
        <v>360</v>
      </c>
      <c r="I1791" t="s">
        <v>663</v>
      </c>
      <c r="J1791" t="str">
        <f>_xlfn.XLOOKUP(Table1[[#This Row],[Course ]], CCF!B:B, CCF!A:A)</f>
        <v>DA202</v>
      </c>
      <c r="K1791" t="s">
        <v>363</v>
      </c>
      <c r="L1791">
        <f>_xlfn.XLOOKUP(K1791, CCF!B:B, CCF!C:C)</f>
        <v>79999</v>
      </c>
      <c r="M1791" t="s">
        <v>297</v>
      </c>
    </row>
    <row r="1792" spans="1:13" x14ac:dyDescent="0.3">
      <c r="A1792">
        <v>1791</v>
      </c>
      <c r="B1792" t="s">
        <v>2451</v>
      </c>
      <c r="C1792" s="3">
        <v>55046</v>
      </c>
      <c r="D1792" t="s">
        <v>666</v>
      </c>
      <c r="E1792">
        <v>44</v>
      </c>
      <c r="F1792" s="1">
        <v>45549</v>
      </c>
      <c r="G1792" s="1" t="str">
        <f>TEXT(Table1[[#This Row],[Enrollment date]], "mmm")</f>
        <v>Sep</v>
      </c>
      <c r="H1792" t="s">
        <v>360</v>
      </c>
      <c r="I1792" t="s">
        <v>659</v>
      </c>
      <c r="J1792" t="str">
        <f>_xlfn.XLOOKUP(Table1[[#This Row],[Course ]], CCF!B:B, CCF!A:A)</f>
        <v>DA202</v>
      </c>
      <c r="K1792" t="s">
        <v>363</v>
      </c>
      <c r="L1792">
        <f>_xlfn.XLOOKUP(K1792, CCF!B:B, CCF!C:C)</f>
        <v>79999</v>
      </c>
      <c r="M1792" t="s">
        <v>16</v>
      </c>
    </row>
    <row r="1793" spans="1:13" x14ac:dyDescent="0.3">
      <c r="A1793">
        <v>1792</v>
      </c>
      <c r="B1793" t="s">
        <v>2452</v>
      </c>
      <c r="C1793" s="3">
        <v>23873</v>
      </c>
      <c r="D1793" t="s">
        <v>667</v>
      </c>
      <c r="E1793">
        <v>45</v>
      </c>
      <c r="F1793" s="1">
        <v>45549</v>
      </c>
      <c r="G1793" s="1" t="str">
        <f>TEXT(Table1[[#This Row],[Enrollment date]], "mmm")</f>
        <v>Sep</v>
      </c>
      <c r="H1793" t="s">
        <v>360</v>
      </c>
      <c r="I1793" t="s">
        <v>659</v>
      </c>
      <c r="J1793" t="str">
        <f>_xlfn.XLOOKUP(Table1[[#This Row],[Course ]], CCF!B:B, CCF!A:A)</f>
        <v>DA202</v>
      </c>
      <c r="K1793" t="s">
        <v>363</v>
      </c>
      <c r="L1793">
        <f>_xlfn.XLOOKUP(K1793, CCF!B:B, CCF!C:C)</f>
        <v>79999</v>
      </c>
      <c r="M1793" t="s">
        <v>168</v>
      </c>
    </row>
    <row r="1794" spans="1:13" x14ac:dyDescent="0.3">
      <c r="A1794">
        <v>1793</v>
      </c>
      <c r="B1794" t="s">
        <v>2453</v>
      </c>
      <c r="C1794" s="3">
        <v>96302</v>
      </c>
      <c r="D1794" t="s">
        <v>667</v>
      </c>
      <c r="E1794">
        <v>35</v>
      </c>
      <c r="F1794" s="1">
        <v>45549</v>
      </c>
      <c r="G1794" s="1" t="str">
        <f>TEXT(Table1[[#This Row],[Enrollment date]], "mmm")</f>
        <v>Sep</v>
      </c>
      <c r="H1794" t="s">
        <v>360</v>
      </c>
      <c r="I1794" t="s">
        <v>660</v>
      </c>
      <c r="J1794" t="str">
        <f>_xlfn.XLOOKUP(Table1[[#This Row],[Course ]], CCF!B:B, CCF!A:A)</f>
        <v>DM101</v>
      </c>
      <c r="K1794" t="s">
        <v>365</v>
      </c>
      <c r="L1794">
        <f>_xlfn.XLOOKUP(K1794, CCF!B:B, CCF!C:C)</f>
        <v>85499</v>
      </c>
      <c r="M1794" t="s">
        <v>140</v>
      </c>
    </row>
    <row r="1795" spans="1:13" x14ac:dyDescent="0.3">
      <c r="A1795">
        <v>1794</v>
      </c>
      <c r="B1795" t="s">
        <v>2454</v>
      </c>
      <c r="C1795" s="3">
        <v>86228</v>
      </c>
      <c r="D1795" t="s">
        <v>666</v>
      </c>
      <c r="E1795">
        <v>37</v>
      </c>
      <c r="F1795" s="1">
        <v>45549</v>
      </c>
      <c r="G1795" s="1" t="str">
        <f>TEXT(Table1[[#This Row],[Enrollment date]], "mmm")</f>
        <v>Sep</v>
      </c>
      <c r="H1795" t="s">
        <v>360</v>
      </c>
      <c r="I1795" t="s">
        <v>663</v>
      </c>
      <c r="J1795" t="str">
        <f>_xlfn.XLOOKUP(Table1[[#This Row],[Course ]], CCF!B:B, CCF!A:A)</f>
        <v>BA301</v>
      </c>
      <c r="K1795" t="s">
        <v>364</v>
      </c>
      <c r="L1795">
        <f>_xlfn.XLOOKUP(K1795, CCF!B:B, CCF!C:C)</f>
        <v>59999</v>
      </c>
      <c r="M1795" t="s">
        <v>53</v>
      </c>
    </row>
    <row r="1796" spans="1:13" x14ac:dyDescent="0.3">
      <c r="A1796">
        <v>1795</v>
      </c>
      <c r="B1796" t="s">
        <v>2455</v>
      </c>
      <c r="C1796" s="3">
        <v>47825</v>
      </c>
      <c r="D1796" t="s">
        <v>666</v>
      </c>
      <c r="E1796">
        <v>25</v>
      </c>
      <c r="F1796" s="1">
        <v>45549</v>
      </c>
      <c r="G1796" s="1" t="str">
        <f>TEXT(Table1[[#This Row],[Enrollment date]], "mmm")</f>
        <v>Sep</v>
      </c>
      <c r="H1796" t="s">
        <v>360</v>
      </c>
      <c r="I1796" t="s">
        <v>660</v>
      </c>
      <c r="J1796" t="str">
        <f>_xlfn.XLOOKUP(Table1[[#This Row],[Course ]], CCF!B:B, CCF!A:A)</f>
        <v>DM101</v>
      </c>
      <c r="K1796" t="s">
        <v>365</v>
      </c>
      <c r="L1796">
        <f>_xlfn.XLOOKUP(K1796, CCF!B:B, CCF!C:C)</f>
        <v>85499</v>
      </c>
      <c r="M1796" t="s">
        <v>89</v>
      </c>
    </row>
    <row r="1797" spans="1:13" x14ac:dyDescent="0.3">
      <c r="A1797">
        <v>1796</v>
      </c>
      <c r="B1797" t="s">
        <v>2456</v>
      </c>
      <c r="C1797" s="3">
        <v>57547</v>
      </c>
      <c r="D1797" t="s">
        <v>666</v>
      </c>
      <c r="E1797">
        <v>27</v>
      </c>
      <c r="F1797" s="1">
        <v>45550</v>
      </c>
      <c r="G1797" s="1" t="str">
        <f>TEXT(Table1[[#This Row],[Enrollment date]], "mmm")</f>
        <v>Sep</v>
      </c>
      <c r="H1797" t="s">
        <v>360</v>
      </c>
      <c r="I1797" t="s">
        <v>660</v>
      </c>
      <c r="J1797" t="str">
        <f>_xlfn.XLOOKUP(Table1[[#This Row],[Course ]], CCF!B:B, CCF!A:A)</f>
        <v>DA202</v>
      </c>
      <c r="K1797" t="s">
        <v>363</v>
      </c>
      <c r="L1797">
        <f>_xlfn.XLOOKUP(K1797, CCF!B:B, CCF!C:C)</f>
        <v>79999</v>
      </c>
      <c r="M1797" t="s">
        <v>590</v>
      </c>
    </row>
    <row r="1798" spans="1:13" x14ac:dyDescent="0.3">
      <c r="A1798">
        <v>1797</v>
      </c>
      <c r="B1798" t="s">
        <v>2457</v>
      </c>
      <c r="C1798" s="3">
        <v>57891</v>
      </c>
      <c r="D1798" t="s">
        <v>666</v>
      </c>
      <c r="E1798">
        <v>34</v>
      </c>
      <c r="F1798" s="1">
        <v>45550</v>
      </c>
      <c r="G1798" s="1" t="str">
        <f>TEXT(Table1[[#This Row],[Enrollment date]], "mmm")</f>
        <v>Sep</v>
      </c>
      <c r="H1798" t="s">
        <v>360</v>
      </c>
      <c r="I1798" t="s">
        <v>659</v>
      </c>
      <c r="J1798" t="str">
        <f>_xlfn.XLOOKUP(Table1[[#This Row],[Course ]], CCF!B:B, CCF!A:A)</f>
        <v>DA202</v>
      </c>
      <c r="K1798" t="s">
        <v>363</v>
      </c>
      <c r="L1798">
        <f>_xlfn.XLOOKUP(K1798, CCF!B:B, CCF!C:C)</f>
        <v>79999</v>
      </c>
      <c r="M1798" t="s">
        <v>162</v>
      </c>
    </row>
    <row r="1799" spans="1:13" x14ac:dyDescent="0.3">
      <c r="A1799">
        <v>1798</v>
      </c>
      <c r="B1799" t="s">
        <v>2458</v>
      </c>
      <c r="C1799" s="3">
        <v>13632</v>
      </c>
      <c r="D1799" t="s">
        <v>666</v>
      </c>
      <c r="E1799">
        <v>18</v>
      </c>
      <c r="F1799" s="1">
        <v>45551</v>
      </c>
      <c r="G1799" s="1" t="str">
        <f>TEXT(Table1[[#This Row],[Enrollment date]], "mmm")</f>
        <v>Sep</v>
      </c>
      <c r="H1799" t="s">
        <v>360</v>
      </c>
      <c r="I1799" t="s">
        <v>663</v>
      </c>
      <c r="J1799" t="str">
        <f>_xlfn.XLOOKUP(Table1[[#This Row],[Course ]], CCF!B:B, CCF!A:A)</f>
        <v>DA202</v>
      </c>
      <c r="K1799" t="s">
        <v>363</v>
      </c>
      <c r="L1799">
        <f>_xlfn.XLOOKUP(K1799, CCF!B:B, CCF!C:C)</f>
        <v>79999</v>
      </c>
      <c r="M1799" t="s">
        <v>591</v>
      </c>
    </row>
    <row r="1800" spans="1:13" x14ac:dyDescent="0.3">
      <c r="A1800">
        <v>1799</v>
      </c>
      <c r="B1800" t="s">
        <v>2459</v>
      </c>
      <c r="C1800" s="3">
        <v>42116</v>
      </c>
      <c r="D1800" t="s">
        <v>666</v>
      </c>
      <c r="E1800">
        <v>27</v>
      </c>
      <c r="F1800" s="1">
        <v>45551</v>
      </c>
      <c r="G1800" s="1" t="str">
        <f>TEXT(Table1[[#This Row],[Enrollment date]], "mmm")</f>
        <v>Sep</v>
      </c>
      <c r="H1800" t="s">
        <v>360</v>
      </c>
      <c r="I1800" t="s">
        <v>664</v>
      </c>
      <c r="J1800" t="str">
        <f>_xlfn.XLOOKUP(Table1[[#This Row],[Course ]], CCF!B:B, CCF!A:A)</f>
        <v>FSD103</v>
      </c>
      <c r="K1800" t="s">
        <v>366</v>
      </c>
      <c r="L1800">
        <f>_xlfn.XLOOKUP(K1800, CCF!B:B, CCF!C:C)</f>
        <v>109990</v>
      </c>
      <c r="M1800" t="s">
        <v>33</v>
      </c>
    </row>
    <row r="1801" spans="1:13" x14ac:dyDescent="0.3">
      <c r="A1801">
        <v>1800</v>
      </c>
      <c r="B1801" t="s">
        <v>2460</v>
      </c>
      <c r="C1801" s="3">
        <v>21307</v>
      </c>
      <c r="D1801" t="s">
        <v>666</v>
      </c>
      <c r="E1801">
        <v>24</v>
      </c>
      <c r="F1801" s="1">
        <v>45551</v>
      </c>
      <c r="G1801" s="1" t="str">
        <f>TEXT(Table1[[#This Row],[Enrollment date]], "mmm")</f>
        <v>Sep</v>
      </c>
      <c r="H1801" t="s">
        <v>360</v>
      </c>
      <c r="I1801" t="s">
        <v>659</v>
      </c>
      <c r="J1801" t="str">
        <f>_xlfn.XLOOKUP(Table1[[#This Row],[Course ]], CCF!B:B, CCF!A:A)</f>
        <v>HR201</v>
      </c>
      <c r="K1801" t="s">
        <v>3152</v>
      </c>
      <c r="L1801">
        <f>_xlfn.XLOOKUP(K1801, CCF!B:B, CCF!C:C)</f>
        <v>41999</v>
      </c>
      <c r="M1801" t="s">
        <v>134</v>
      </c>
    </row>
    <row r="1802" spans="1:13" x14ac:dyDescent="0.3">
      <c r="A1802">
        <v>1801</v>
      </c>
      <c r="B1802" t="s">
        <v>2461</v>
      </c>
      <c r="C1802" s="3">
        <v>70301</v>
      </c>
      <c r="D1802" t="s">
        <v>666</v>
      </c>
      <c r="E1802">
        <v>67</v>
      </c>
      <c r="F1802" s="1">
        <v>45551</v>
      </c>
      <c r="G1802" s="1" t="str">
        <f>TEXT(Table1[[#This Row],[Enrollment date]], "mmm")</f>
        <v>Sep</v>
      </c>
      <c r="H1802" t="s">
        <v>360</v>
      </c>
      <c r="I1802" t="s">
        <v>661</v>
      </c>
      <c r="J1802" t="str">
        <f>_xlfn.XLOOKUP(Table1[[#This Row],[Course ]], CCF!B:B, CCF!A:A)</f>
        <v>DM101</v>
      </c>
      <c r="K1802" t="s">
        <v>365</v>
      </c>
      <c r="L1802">
        <f>_xlfn.XLOOKUP(K1802, CCF!B:B, CCF!C:C)</f>
        <v>85499</v>
      </c>
      <c r="M1802" t="s">
        <v>22</v>
      </c>
    </row>
    <row r="1803" spans="1:13" x14ac:dyDescent="0.3">
      <c r="A1803">
        <v>1802</v>
      </c>
      <c r="B1803" t="s">
        <v>2462</v>
      </c>
      <c r="C1803" s="3">
        <v>47315</v>
      </c>
      <c r="D1803" t="s">
        <v>666</v>
      </c>
      <c r="E1803">
        <v>19</v>
      </c>
      <c r="F1803" s="1">
        <v>45552</v>
      </c>
      <c r="G1803" s="1" t="str">
        <f>TEXT(Table1[[#This Row],[Enrollment date]], "mmm")</f>
        <v>Sep</v>
      </c>
      <c r="H1803" t="s">
        <v>360</v>
      </c>
      <c r="I1803" t="s">
        <v>660</v>
      </c>
      <c r="J1803" t="str">
        <f>_xlfn.XLOOKUP(Table1[[#This Row],[Course ]], CCF!B:B, CCF!A:A)</f>
        <v>DA202</v>
      </c>
      <c r="K1803" t="s">
        <v>363</v>
      </c>
      <c r="L1803">
        <f>_xlfn.XLOOKUP(K1803, CCF!B:B, CCF!C:C)</f>
        <v>79999</v>
      </c>
      <c r="M1803" t="s">
        <v>9</v>
      </c>
    </row>
    <row r="1804" spans="1:13" x14ac:dyDescent="0.3">
      <c r="A1804">
        <v>1803</v>
      </c>
      <c r="B1804" t="s">
        <v>2463</v>
      </c>
      <c r="C1804" s="3">
        <v>61270</v>
      </c>
      <c r="D1804" t="s">
        <v>666</v>
      </c>
      <c r="E1804">
        <v>58</v>
      </c>
      <c r="F1804" s="1">
        <v>45552</v>
      </c>
      <c r="G1804" s="1" t="str">
        <f>TEXT(Table1[[#This Row],[Enrollment date]], "mmm")</f>
        <v>Sep</v>
      </c>
      <c r="H1804" t="s">
        <v>361</v>
      </c>
      <c r="I1804" t="s">
        <v>664</v>
      </c>
      <c r="J1804" t="str">
        <f>_xlfn.XLOOKUP(Table1[[#This Row],[Course ]], CCF!B:B, CCF!A:A)</f>
        <v>BA301</v>
      </c>
      <c r="K1804" t="s">
        <v>364</v>
      </c>
      <c r="L1804">
        <f>_xlfn.XLOOKUP(K1804, CCF!B:B, CCF!C:C)</f>
        <v>59999</v>
      </c>
      <c r="M1804" t="s">
        <v>272</v>
      </c>
    </row>
    <row r="1805" spans="1:13" x14ac:dyDescent="0.3">
      <c r="A1805">
        <v>1804</v>
      </c>
      <c r="B1805" t="s">
        <v>2464</v>
      </c>
      <c r="C1805" s="3">
        <v>74039</v>
      </c>
      <c r="D1805" t="s">
        <v>667</v>
      </c>
      <c r="E1805">
        <v>37</v>
      </c>
      <c r="F1805" s="1">
        <v>45552</v>
      </c>
      <c r="G1805" s="1" t="str">
        <f>TEXT(Table1[[#This Row],[Enrollment date]], "mmm")</f>
        <v>Sep</v>
      </c>
      <c r="H1805" t="s">
        <v>360</v>
      </c>
      <c r="I1805" t="s">
        <v>660</v>
      </c>
      <c r="J1805" t="str">
        <f>_xlfn.XLOOKUP(Table1[[#This Row],[Course ]], CCF!B:B, CCF!A:A)</f>
        <v>BA301</v>
      </c>
      <c r="K1805" t="s">
        <v>364</v>
      </c>
      <c r="L1805">
        <f>_xlfn.XLOOKUP(K1805, CCF!B:B, CCF!C:C)</f>
        <v>59999</v>
      </c>
      <c r="M1805" t="s">
        <v>17</v>
      </c>
    </row>
    <row r="1806" spans="1:13" x14ac:dyDescent="0.3">
      <c r="A1806">
        <v>1805</v>
      </c>
      <c r="B1806" t="s">
        <v>2465</v>
      </c>
      <c r="C1806" s="3">
        <v>75832</v>
      </c>
      <c r="D1806" t="s">
        <v>667</v>
      </c>
      <c r="E1806">
        <v>21</v>
      </c>
      <c r="F1806" s="1">
        <v>45552</v>
      </c>
      <c r="G1806" s="1" t="str">
        <f>TEXT(Table1[[#This Row],[Enrollment date]], "mmm")</f>
        <v>Sep</v>
      </c>
      <c r="H1806" t="s">
        <v>360</v>
      </c>
      <c r="I1806" t="s">
        <v>659</v>
      </c>
      <c r="J1806" t="str">
        <f>_xlfn.XLOOKUP(Table1[[#This Row],[Course ]], CCF!B:B, CCF!A:A)</f>
        <v>DM101</v>
      </c>
      <c r="K1806" t="s">
        <v>365</v>
      </c>
      <c r="L1806">
        <f>_xlfn.XLOOKUP(K1806, CCF!B:B, CCF!C:C)</f>
        <v>85499</v>
      </c>
      <c r="M1806" t="s">
        <v>38</v>
      </c>
    </row>
    <row r="1807" spans="1:13" x14ac:dyDescent="0.3">
      <c r="A1807">
        <v>1806</v>
      </c>
      <c r="B1807" t="s">
        <v>2466</v>
      </c>
      <c r="C1807" s="3">
        <v>38678</v>
      </c>
      <c r="D1807" t="s">
        <v>666</v>
      </c>
      <c r="E1807">
        <v>22</v>
      </c>
      <c r="F1807" s="1">
        <v>45552</v>
      </c>
      <c r="G1807" s="1" t="str">
        <f>TEXT(Table1[[#This Row],[Enrollment date]], "mmm")</f>
        <v>Sep</v>
      </c>
      <c r="H1807" t="s">
        <v>360</v>
      </c>
      <c r="I1807" t="s">
        <v>662</v>
      </c>
      <c r="J1807" t="str">
        <f>_xlfn.XLOOKUP(Table1[[#This Row],[Course ]], CCF!B:B, CCF!A:A)</f>
        <v>DM101</v>
      </c>
      <c r="K1807" t="s">
        <v>365</v>
      </c>
      <c r="L1807">
        <f>_xlfn.XLOOKUP(K1807, CCF!B:B, CCF!C:C)</f>
        <v>85499</v>
      </c>
      <c r="M1807" t="s">
        <v>9</v>
      </c>
    </row>
    <row r="1808" spans="1:13" x14ac:dyDescent="0.3">
      <c r="A1808">
        <v>1807</v>
      </c>
      <c r="B1808" t="s">
        <v>2467</v>
      </c>
      <c r="C1808" s="3">
        <v>39765</v>
      </c>
      <c r="D1808" t="s">
        <v>666</v>
      </c>
      <c r="E1808">
        <v>42</v>
      </c>
      <c r="F1808" s="1">
        <v>45552</v>
      </c>
      <c r="G1808" s="1" t="str">
        <f>TEXT(Table1[[#This Row],[Enrollment date]], "mmm")</f>
        <v>Sep</v>
      </c>
      <c r="H1808" t="s">
        <v>360</v>
      </c>
      <c r="I1808" t="s">
        <v>659</v>
      </c>
      <c r="J1808" t="str">
        <f>_xlfn.XLOOKUP(Table1[[#This Row],[Course ]], CCF!B:B, CCF!A:A)</f>
        <v>BA301</v>
      </c>
      <c r="K1808" t="s">
        <v>364</v>
      </c>
      <c r="L1808">
        <f>_xlfn.XLOOKUP(K1808, CCF!B:B, CCF!C:C)</f>
        <v>59999</v>
      </c>
      <c r="M1808" t="s">
        <v>66</v>
      </c>
    </row>
    <row r="1809" spans="1:13" x14ac:dyDescent="0.3">
      <c r="A1809">
        <v>1808</v>
      </c>
      <c r="B1809" t="s">
        <v>2468</v>
      </c>
      <c r="C1809" s="3">
        <v>55082</v>
      </c>
      <c r="D1809" t="s">
        <v>667</v>
      </c>
      <c r="E1809">
        <v>49</v>
      </c>
      <c r="F1809" s="1">
        <v>45552</v>
      </c>
      <c r="G1809" s="1" t="str">
        <f>TEXT(Table1[[#This Row],[Enrollment date]], "mmm")</f>
        <v>Sep</v>
      </c>
      <c r="H1809" t="s">
        <v>3</v>
      </c>
      <c r="I1809" t="s">
        <v>660</v>
      </c>
      <c r="J1809" t="str">
        <f>_xlfn.XLOOKUP(Table1[[#This Row],[Course ]], CCF!B:B, CCF!A:A)</f>
        <v>DM101</v>
      </c>
      <c r="K1809" t="s">
        <v>365</v>
      </c>
      <c r="L1809">
        <f>_xlfn.XLOOKUP(K1809, CCF!B:B, CCF!C:C)</f>
        <v>85499</v>
      </c>
      <c r="M1809" t="s">
        <v>138</v>
      </c>
    </row>
    <row r="1810" spans="1:13" x14ac:dyDescent="0.3">
      <c r="A1810">
        <v>1809</v>
      </c>
      <c r="B1810" t="s">
        <v>2469</v>
      </c>
      <c r="C1810" s="3">
        <v>99299</v>
      </c>
      <c r="D1810" t="s">
        <v>666</v>
      </c>
      <c r="E1810">
        <v>34</v>
      </c>
      <c r="F1810" s="1">
        <v>45552</v>
      </c>
      <c r="G1810" s="1" t="str">
        <f>TEXT(Table1[[#This Row],[Enrollment date]], "mmm")</f>
        <v>Sep</v>
      </c>
      <c r="H1810" t="s">
        <v>360</v>
      </c>
      <c r="I1810" t="s">
        <v>660</v>
      </c>
      <c r="J1810" t="str">
        <f>_xlfn.XLOOKUP(Table1[[#This Row],[Course ]], CCF!B:B, CCF!A:A)</f>
        <v>UX401</v>
      </c>
      <c r="K1810" t="s">
        <v>367</v>
      </c>
      <c r="L1810">
        <f>_xlfn.XLOOKUP(K1810, CCF!B:B, CCF!C:C)</f>
        <v>67990</v>
      </c>
      <c r="M1810" t="s">
        <v>278</v>
      </c>
    </row>
    <row r="1811" spans="1:13" x14ac:dyDescent="0.3">
      <c r="A1811">
        <v>1810</v>
      </c>
      <c r="B1811" t="s">
        <v>2470</v>
      </c>
      <c r="C1811" s="3">
        <v>55582</v>
      </c>
      <c r="D1811" t="s">
        <v>667</v>
      </c>
      <c r="E1811">
        <v>21</v>
      </c>
      <c r="F1811" s="1">
        <v>45552</v>
      </c>
      <c r="G1811" s="1" t="str">
        <f>TEXT(Table1[[#This Row],[Enrollment date]], "mmm")</f>
        <v>Sep</v>
      </c>
      <c r="H1811" t="s">
        <v>360</v>
      </c>
      <c r="I1811" t="s">
        <v>659</v>
      </c>
      <c r="J1811" t="str">
        <f>_xlfn.XLOOKUP(Table1[[#This Row],[Course ]], CCF!B:B, CCF!A:A)</f>
        <v>DM101</v>
      </c>
      <c r="K1811" t="s">
        <v>365</v>
      </c>
      <c r="L1811">
        <f>_xlfn.XLOOKUP(K1811, CCF!B:B, CCF!C:C)</f>
        <v>85499</v>
      </c>
      <c r="M1811" t="s">
        <v>43</v>
      </c>
    </row>
    <row r="1812" spans="1:13" x14ac:dyDescent="0.3">
      <c r="A1812">
        <v>1811</v>
      </c>
      <c r="B1812" t="s">
        <v>2471</v>
      </c>
      <c r="C1812" s="3">
        <v>35803</v>
      </c>
      <c r="D1812" t="s">
        <v>666</v>
      </c>
      <c r="E1812">
        <v>37</v>
      </c>
      <c r="F1812" s="1">
        <v>45553</v>
      </c>
      <c r="G1812" s="1" t="str">
        <f>TEXT(Table1[[#This Row],[Enrollment date]], "mmm")</f>
        <v>Sep</v>
      </c>
      <c r="H1812" t="s">
        <v>360</v>
      </c>
      <c r="I1812" t="s">
        <v>660</v>
      </c>
      <c r="J1812" t="str">
        <f>_xlfn.XLOOKUP(Table1[[#This Row],[Course ]], CCF!B:B, CCF!A:A)</f>
        <v>DA202</v>
      </c>
      <c r="K1812" t="s">
        <v>363</v>
      </c>
      <c r="L1812">
        <f>_xlfn.XLOOKUP(K1812, CCF!B:B, CCF!C:C)</f>
        <v>79999</v>
      </c>
      <c r="M1812" t="s">
        <v>18</v>
      </c>
    </row>
    <row r="1813" spans="1:13" x14ac:dyDescent="0.3">
      <c r="A1813">
        <v>1812</v>
      </c>
      <c r="B1813" t="s">
        <v>2472</v>
      </c>
      <c r="C1813" s="3">
        <v>54191</v>
      </c>
      <c r="D1813" t="s">
        <v>666</v>
      </c>
      <c r="E1813">
        <v>38</v>
      </c>
      <c r="F1813" s="1">
        <v>45553</v>
      </c>
      <c r="G1813" s="1" t="str">
        <f>TEXT(Table1[[#This Row],[Enrollment date]], "mmm")</f>
        <v>Sep</v>
      </c>
      <c r="H1813" t="s">
        <v>360</v>
      </c>
      <c r="I1813" t="s">
        <v>661</v>
      </c>
      <c r="J1813" t="str">
        <f>_xlfn.XLOOKUP(Table1[[#This Row],[Course ]], CCF!B:B, CCF!A:A)</f>
        <v>DM101</v>
      </c>
      <c r="K1813" t="s">
        <v>365</v>
      </c>
      <c r="L1813">
        <f>_xlfn.XLOOKUP(K1813, CCF!B:B, CCF!C:C)</f>
        <v>85499</v>
      </c>
      <c r="M1813" t="s">
        <v>311</v>
      </c>
    </row>
    <row r="1814" spans="1:13" x14ac:dyDescent="0.3">
      <c r="A1814">
        <v>1813</v>
      </c>
      <c r="B1814" t="s">
        <v>2473</v>
      </c>
      <c r="C1814" s="3">
        <v>87119</v>
      </c>
      <c r="D1814" t="s">
        <v>666</v>
      </c>
      <c r="E1814">
        <v>46</v>
      </c>
      <c r="F1814" s="1">
        <v>45553</v>
      </c>
      <c r="G1814" s="1" t="str">
        <f>TEXT(Table1[[#This Row],[Enrollment date]], "mmm")</f>
        <v>Sep</v>
      </c>
      <c r="H1814" t="s">
        <v>360</v>
      </c>
      <c r="I1814" t="s">
        <v>663</v>
      </c>
      <c r="J1814" t="str">
        <f>_xlfn.XLOOKUP(Table1[[#This Row],[Course ]], CCF!B:B, CCF!A:A)</f>
        <v>DA202</v>
      </c>
      <c r="K1814" t="s">
        <v>363</v>
      </c>
      <c r="L1814">
        <f>_xlfn.XLOOKUP(K1814, CCF!B:B, CCF!C:C)</f>
        <v>79999</v>
      </c>
      <c r="M1814" t="s">
        <v>146</v>
      </c>
    </row>
    <row r="1815" spans="1:13" x14ac:dyDescent="0.3">
      <c r="A1815">
        <v>1814</v>
      </c>
      <c r="B1815" t="s">
        <v>2474</v>
      </c>
      <c r="C1815" s="3">
        <v>97245</v>
      </c>
      <c r="D1815" t="s">
        <v>666</v>
      </c>
      <c r="E1815">
        <v>38</v>
      </c>
      <c r="F1815" s="1">
        <v>45553</v>
      </c>
      <c r="G1815" s="1" t="str">
        <f>TEXT(Table1[[#This Row],[Enrollment date]], "mmm")</f>
        <v>Sep</v>
      </c>
      <c r="H1815" t="s">
        <v>360</v>
      </c>
      <c r="I1815" t="s">
        <v>659</v>
      </c>
      <c r="J1815" t="str">
        <f>_xlfn.XLOOKUP(Table1[[#This Row],[Course ]], CCF!B:B, CCF!A:A)</f>
        <v>DA202</v>
      </c>
      <c r="K1815" t="s">
        <v>363</v>
      </c>
      <c r="L1815">
        <f>_xlfn.XLOOKUP(K1815, CCF!B:B, CCF!C:C)</f>
        <v>79999</v>
      </c>
      <c r="M1815" t="s">
        <v>64</v>
      </c>
    </row>
    <row r="1816" spans="1:13" x14ac:dyDescent="0.3">
      <c r="A1816">
        <v>1815</v>
      </c>
      <c r="B1816" t="s">
        <v>2475</v>
      </c>
      <c r="C1816" s="3">
        <v>69543</v>
      </c>
      <c r="D1816" t="s">
        <v>666</v>
      </c>
      <c r="E1816">
        <v>40</v>
      </c>
      <c r="F1816" s="1">
        <v>45553</v>
      </c>
      <c r="G1816" s="1" t="str">
        <f>TEXT(Table1[[#This Row],[Enrollment date]], "mmm")</f>
        <v>Sep</v>
      </c>
      <c r="H1816" t="s">
        <v>360</v>
      </c>
      <c r="I1816" t="s">
        <v>660</v>
      </c>
      <c r="J1816" t="str">
        <f>_xlfn.XLOOKUP(Table1[[#This Row],[Course ]], CCF!B:B, CCF!A:A)</f>
        <v>DM101</v>
      </c>
      <c r="K1816" t="s">
        <v>365</v>
      </c>
      <c r="L1816">
        <f>_xlfn.XLOOKUP(K1816, CCF!B:B, CCF!C:C)</f>
        <v>85499</v>
      </c>
      <c r="M1816" t="s">
        <v>16</v>
      </c>
    </row>
    <row r="1817" spans="1:13" x14ac:dyDescent="0.3">
      <c r="A1817">
        <v>1816</v>
      </c>
      <c r="B1817" t="s">
        <v>2476</v>
      </c>
      <c r="C1817" s="3">
        <v>88999</v>
      </c>
      <c r="D1817" t="s">
        <v>666</v>
      </c>
      <c r="E1817">
        <v>47</v>
      </c>
      <c r="F1817" s="1">
        <v>45553</v>
      </c>
      <c r="G1817" s="1" t="str">
        <f>TEXT(Table1[[#This Row],[Enrollment date]], "mmm")</f>
        <v>Sep</v>
      </c>
      <c r="H1817" t="s">
        <v>360</v>
      </c>
      <c r="I1817" t="s">
        <v>663</v>
      </c>
      <c r="J1817" t="str">
        <f>_xlfn.XLOOKUP(Table1[[#This Row],[Course ]], CCF!B:B, CCF!A:A)</f>
        <v>DM101</v>
      </c>
      <c r="K1817" t="s">
        <v>365</v>
      </c>
      <c r="L1817">
        <f>_xlfn.XLOOKUP(K1817, CCF!B:B, CCF!C:C)</f>
        <v>85499</v>
      </c>
      <c r="M1817" t="s">
        <v>19</v>
      </c>
    </row>
    <row r="1818" spans="1:13" x14ac:dyDescent="0.3">
      <c r="A1818">
        <v>1817</v>
      </c>
      <c r="B1818" t="s">
        <v>2477</v>
      </c>
      <c r="C1818" s="3">
        <v>36655</v>
      </c>
      <c r="D1818" t="s">
        <v>666</v>
      </c>
      <c r="E1818">
        <v>41</v>
      </c>
      <c r="F1818" s="1">
        <v>45554</v>
      </c>
      <c r="G1818" s="1" t="str">
        <f>TEXT(Table1[[#This Row],[Enrollment date]], "mmm")</f>
        <v>Sep</v>
      </c>
      <c r="H1818" t="s">
        <v>360</v>
      </c>
      <c r="I1818" t="s">
        <v>662</v>
      </c>
      <c r="J1818" t="str">
        <f>_xlfn.XLOOKUP(Table1[[#This Row],[Course ]], CCF!B:B, CCF!A:A)</f>
        <v>HR201</v>
      </c>
      <c r="K1818" t="s">
        <v>3152</v>
      </c>
      <c r="L1818">
        <f>_xlfn.XLOOKUP(K1818, CCF!B:B, CCF!C:C)</f>
        <v>41999</v>
      </c>
      <c r="M1818" t="s">
        <v>61</v>
      </c>
    </row>
    <row r="1819" spans="1:13" x14ac:dyDescent="0.3">
      <c r="A1819">
        <v>1818</v>
      </c>
      <c r="B1819" t="s">
        <v>2478</v>
      </c>
      <c r="C1819" s="3">
        <v>86369</v>
      </c>
      <c r="D1819" t="s">
        <v>666</v>
      </c>
      <c r="E1819">
        <v>31</v>
      </c>
      <c r="F1819" s="1">
        <v>45554</v>
      </c>
      <c r="G1819" s="1" t="str">
        <f>TEXT(Table1[[#This Row],[Enrollment date]], "mmm")</f>
        <v>Sep</v>
      </c>
      <c r="H1819" t="s">
        <v>360</v>
      </c>
      <c r="I1819" t="s">
        <v>664</v>
      </c>
      <c r="J1819" t="str">
        <f>_xlfn.XLOOKUP(Table1[[#This Row],[Course ]], CCF!B:B, CCF!A:A)</f>
        <v>DA202</v>
      </c>
      <c r="K1819" t="s">
        <v>363</v>
      </c>
      <c r="L1819">
        <f>_xlfn.XLOOKUP(K1819, CCF!B:B, CCF!C:C)</f>
        <v>79999</v>
      </c>
      <c r="M1819" t="s">
        <v>19</v>
      </c>
    </row>
    <row r="1820" spans="1:13" x14ac:dyDescent="0.3">
      <c r="A1820">
        <v>1819</v>
      </c>
      <c r="B1820" t="s">
        <v>2479</v>
      </c>
      <c r="C1820" s="3">
        <v>29977</v>
      </c>
      <c r="D1820" t="s">
        <v>666</v>
      </c>
      <c r="E1820">
        <v>20</v>
      </c>
      <c r="F1820" s="1">
        <v>45554</v>
      </c>
      <c r="G1820" s="1" t="str">
        <f>TEXT(Table1[[#This Row],[Enrollment date]], "mmm")</f>
        <v>Sep</v>
      </c>
      <c r="H1820" t="s">
        <v>360</v>
      </c>
      <c r="I1820" t="s">
        <v>662</v>
      </c>
      <c r="J1820" t="str">
        <f>_xlfn.XLOOKUP(Table1[[#This Row],[Course ]], CCF!B:B, CCF!A:A)</f>
        <v>DM101</v>
      </c>
      <c r="K1820" t="s">
        <v>365</v>
      </c>
      <c r="L1820">
        <f>_xlfn.XLOOKUP(K1820, CCF!B:B, CCF!C:C)</f>
        <v>85499</v>
      </c>
      <c r="M1820" t="s">
        <v>16</v>
      </c>
    </row>
    <row r="1821" spans="1:13" x14ac:dyDescent="0.3">
      <c r="A1821">
        <v>1820</v>
      </c>
      <c r="B1821" t="s">
        <v>2480</v>
      </c>
      <c r="C1821" s="3">
        <v>12520</v>
      </c>
      <c r="D1821" t="s">
        <v>666</v>
      </c>
      <c r="E1821">
        <v>64</v>
      </c>
      <c r="F1821" s="1">
        <v>45554</v>
      </c>
      <c r="G1821" s="1" t="str">
        <f>TEXT(Table1[[#This Row],[Enrollment date]], "mmm")</f>
        <v>Sep</v>
      </c>
      <c r="H1821" t="s">
        <v>360</v>
      </c>
      <c r="I1821" t="s">
        <v>660</v>
      </c>
      <c r="J1821" t="str">
        <f>_xlfn.XLOOKUP(Table1[[#This Row],[Course ]], CCF!B:B, CCF!A:A)</f>
        <v>BA301</v>
      </c>
      <c r="K1821" t="s">
        <v>364</v>
      </c>
      <c r="L1821">
        <f>_xlfn.XLOOKUP(K1821, CCF!B:B, CCF!C:C)</f>
        <v>59999</v>
      </c>
      <c r="M1821" t="s">
        <v>125</v>
      </c>
    </row>
    <row r="1822" spans="1:13" x14ac:dyDescent="0.3">
      <c r="A1822">
        <v>1821</v>
      </c>
      <c r="B1822" t="s">
        <v>2481</v>
      </c>
      <c r="C1822" s="3">
        <v>36078</v>
      </c>
      <c r="D1822" t="s">
        <v>666</v>
      </c>
      <c r="E1822">
        <v>34</v>
      </c>
      <c r="F1822" s="1">
        <v>45554</v>
      </c>
      <c r="G1822" s="1" t="str">
        <f>TEXT(Table1[[#This Row],[Enrollment date]], "mmm")</f>
        <v>Sep</v>
      </c>
      <c r="H1822" t="s">
        <v>360</v>
      </c>
      <c r="I1822" t="s">
        <v>661</v>
      </c>
      <c r="J1822" t="str">
        <f>_xlfn.XLOOKUP(Table1[[#This Row],[Course ]], CCF!B:B, CCF!A:A)</f>
        <v>BA301</v>
      </c>
      <c r="K1822" t="s">
        <v>364</v>
      </c>
      <c r="L1822">
        <f>_xlfn.XLOOKUP(K1822, CCF!B:B, CCF!C:C)</f>
        <v>59999</v>
      </c>
      <c r="M1822" t="s">
        <v>9</v>
      </c>
    </row>
    <row r="1823" spans="1:13" x14ac:dyDescent="0.3">
      <c r="A1823">
        <v>1822</v>
      </c>
      <c r="B1823" t="s">
        <v>2482</v>
      </c>
      <c r="C1823" s="3">
        <v>83720</v>
      </c>
      <c r="D1823" t="s">
        <v>666</v>
      </c>
      <c r="E1823">
        <v>50</v>
      </c>
      <c r="F1823" s="1">
        <v>45554</v>
      </c>
      <c r="G1823" s="1" t="str">
        <f>TEXT(Table1[[#This Row],[Enrollment date]], "mmm")</f>
        <v>Sep</v>
      </c>
      <c r="H1823" t="s">
        <v>3</v>
      </c>
      <c r="I1823" t="s">
        <v>661</v>
      </c>
      <c r="J1823" t="str">
        <f>_xlfn.XLOOKUP(Table1[[#This Row],[Course ]], CCF!B:B, CCF!A:A)</f>
        <v>FSD103</v>
      </c>
      <c r="K1823" t="s">
        <v>366</v>
      </c>
      <c r="L1823">
        <f>_xlfn.XLOOKUP(K1823, CCF!B:B, CCF!C:C)</f>
        <v>109990</v>
      </c>
      <c r="M1823" t="s">
        <v>506</v>
      </c>
    </row>
    <row r="1824" spans="1:13" x14ac:dyDescent="0.3">
      <c r="A1824">
        <v>1823</v>
      </c>
      <c r="B1824" t="s">
        <v>2483</v>
      </c>
      <c r="C1824" s="3">
        <v>58388</v>
      </c>
      <c r="D1824" t="s">
        <v>667</v>
      </c>
      <c r="E1824">
        <v>22</v>
      </c>
      <c r="F1824" s="1">
        <v>45554</v>
      </c>
      <c r="G1824" s="1" t="str">
        <f>TEXT(Table1[[#This Row],[Enrollment date]], "mmm")</f>
        <v>Sep</v>
      </c>
      <c r="H1824" t="s">
        <v>360</v>
      </c>
      <c r="I1824" t="s">
        <v>661</v>
      </c>
      <c r="J1824" t="str">
        <f>_xlfn.XLOOKUP(Table1[[#This Row],[Course ]], CCF!B:B, CCF!A:A)</f>
        <v>DM101</v>
      </c>
      <c r="K1824" t="s">
        <v>365</v>
      </c>
      <c r="L1824">
        <f>_xlfn.XLOOKUP(K1824, CCF!B:B, CCF!C:C)</f>
        <v>85499</v>
      </c>
      <c r="M1824" t="s">
        <v>2</v>
      </c>
    </row>
    <row r="1825" spans="1:13" x14ac:dyDescent="0.3">
      <c r="A1825">
        <v>1824</v>
      </c>
      <c r="B1825" t="s">
        <v>2484</v>
      </c>
      <c r="C1825" s="3">
        <v>49084</v>
      </c>
      <c r="D1825" t="s">
        <v>666</v>
      </c>
      <c r="E1825">
        <v>35</v>
      </c>
      <c r="F1825" s="1">
        <v>45554</v>
      </c>
      <c r="G1825" s="1" t="str">
        <f>TEXT(Table1[[#This Row],[Enrollment date]], "mmm")</f>
        <v>Sep</v>
      </c>
      <c r="H1825" t="s">
        <v>360</v>
      </c>
      <c r="I1825" t="s">
        <v>659</v>
      </c>
      <c r="J1825" t="str">
        <f>_xlfn.XLOOKUP(Table1[[#This Row],[Course ]], CCF!B:B, CCF!A:A)</f>
        <v>DA202</v>
      </c>
      <c r="K1825" t="s">
        <v>363</v>
      </c>
      <c r="L1825">
        <f>_xlfn.XLOOKUP(K1825, CCF!B:B, CCF!C:C)</f>
        <v>79999</v>
      </c>
      <c r="M1825" t="s">
        <v>16</v>
      </c>
    </row>
    <row r="1826" spans="1:13" x14ac:dyDescent="0.3">
      <c r="A1826">
        <v>1825</v>
      </c>
      <c r="B1826" t="s">
        <v>2485</v>
      </c>
      <c r="C1826" s="3">
        <v>48008</v>
      </c>
      <c r="D1826" t="s">
        <v>666</v>
      </c>
      <c r="E1826">
        <v>45</v>
      </c>
      <c r="F1826" s="1">
        <v>45555</v>
      </c>
      <c r="G1826" s="1" t="str">
        <f>TEXT(Table1[[#This Row],[Enrollment date]], "mmm")</f>
        <v>Sep</v>
      </c>
      <c r="H1826" t="s">
        <v>360</v>
      </c>
      <c r="I1826" t="s">
        <v>660</v>
      </c>
      <c r="J1826" t="str">
        <f>_xlfn.XLOOKUP(Table1[[#This Row],[Course ]], CCF!B:B, CCF!A:A)</f>
        <v>DA202</v>
      </c>
      <c r="K1826" t="s">
        <v>363</v>
      </c>
      <c r="L1826">
        <f>_xlfn.XLOOKUP(K1826, CCF!B:B, CCF!C:C)</f>
        <v>79999</v>
      </c>
      <c r="M1826" t="s">
        <v>158</v>
      </c>
    </row>
    <row r="1827" spans="1:13" x14ac:dyDescent="0.3">
      <c r="A1827">
        <v>1826</v>
      </c>
      <c r="B1827" t="s">
        <v>2032</v>
      </c>
      <c r="C1827" s="3">
        <v>89900</v>
      </c>
      <c r="D1827" t="s">
        <v>667</v>
      </c>
      <c r="E1827">
        <v>22</v>
      </c>
      <c r="F1827" s="1">
        <v>45555</v>
      </c>
      <c r="G1827" s="1" t="str">
        <f>TEXT(Table1[[#This Row],[Enrollment date]], "mmm")</f>
        <v>Sep</v>
      </c>
      <c r="H1827" t="s">
        <v>360</v>
      </c>
      <c r="I1827" t="s">
        <v>665</v>
      </c>
      <c r="J1827" t="str">
        <f>_xlfn.XLOOKUP(Table1[[#This Row],[Course ]], CCF!B:B, CCF!A:A)</f>
        <v>DM101</v>
      </c>
      <c r="K1827" t="s">
        <v>365</v>
      </c>
      <c r="L1827">
        <f>_xlfn.XLOOKUP(K1827, CCF!B:B, CCF!C:C)</f>
        <v>85499</v>
      </c>
      <c r="M1827" t="s">
        <v>27</v>
      </c>
    </row>
    <row r="1828" spans="1:13" x14ac:dyDescent="0.3">
      <c r="A1828">
        <v>1827</v>
      </c>
      <c r="B1828" t="s">
        <v>2486</v>
      </c>
      <c r="C1828" s="3">
        <v>21056</v>
      </c>
      <c r="D1828" t="s">
        <v>666</v>
      </c>
      <c r="E1828">
        <v>76</v>
      </c>
      <c r="F1828" s="1">
        <v>45555</v>
      </c>
      <c r="G1828" s="1" t="str">
        <f>TEXT(Table1[[#This Row],[Enrollment date]], "mmm")</f>
        <v>Sep</v>
      </c>
      <c r="H1828" t="s">
        <v>360</v>
      </c>
      <c r="I1828" t="s">
        <v>660</v>
      </c>
      <c r="J1828" t="str">
        <f>_xlfn.XLOOKUP(Table1[[#This Row],[Course ]], CCF!B:B, CCF!A:A)</f>
        <v>DM101</v>
      </c>
      <c r="K1828" t="s">
        <v>365</v>
      </c>
      <c r="L1828">
        <f>_xlfn.XLOOKUP(K1828, CCF!B:B, CCF!C:C)</f>
        <v>85499</v>
      </c>
      <c r="M1828" t="s">
        <v>556</v>
      </c>
    </row>
    <row r="1829" spans="1:13" x14ac:dyDescent="0.3">
      <c r="A1829">
        <v>1828</v>
      </c>
      <c r="B1829" t="s">
        <v>2487</v>
      </c>
      <c r="C1829" s="3">
        <v>23499</v>
      </c>
      <c r="D1829" t="s">
        <v>667</v>
      </c>
      <c r="E1829">
        <v>37</v>
      </c>
      <c r="F1829" s="1">
        <v>45555</v>
      </c>
      <c r="G1829" s="1" t="str">
        <f>TEXT(Table1[[#This Row],[Enrollment date]], "mmm")</f>
        <v>Sep</v>
      </c>
      <c r="H1829" t="s">
        <v>360</v>
      </c>
      <c r="I1829" t="s">
        <v>659</v>
      </c>
      <c r="J1829" t="str">
        <f>_xlfn.XLOOKUP(Table1[[#This Row],[Course ]], CCF!B:B, CCF!A:A)</f>
        <v>DM101</v>
      </c>
      <c r="K1829" t="s">
        <v>365</v>
      </c>
      <c r="L1829">
        <f>_xlfn.XLOOKUP(K1829, CCF!B:B, CCF!C:C)</f>
        <v>85499</v>
      </c>
      <c r="M1829" t="s">
        <v>369</v>
      </c>
    </row>
    <row r="1830" spans="1:13" x14ac:dyDescent="0.3">
      <c r="A1830">
        <v>1829</v>
      </c>
      <c r="B1830" t="s">
        <v>2488</v>
      </c>
      <c r="C1830" s="3">
        <v>81718</v>
      </c>
      <c r="D1830" t="s">
        <v>666</v>
      </c>
      <c r="E1830">
        <v>67</v>
      </c>
      <c r="F1830" s="1">
        <v>45555</v>
      </c>
      <c r="G1830" s="1" t="str">
        <f>TEXT(Table1[[#This Row],[Enrollment date]], "mmm")</f>
        <v>Sep</v>
      </c>
      <c r="H1830" t="s">
        <v>360</v>
      </c>
      <c r="I1830" t="s">
        <v>664</v>
      </c>
      <c r="J1830" t="str">
        <f>_xlfn.XLOOKUP(Table1[[#This Row],[Course ]], CCF!B:B, CCF!A:A)</f>
        <v>DA202</v>
      </c>
      <c r="K1830" t="s">
        <v>363</v>
      </c>
      <c r="L1830">
        <f>_xlfn.XLOOKUP(K1830, CCF!B:B, CCF!C:C)</f>
        <v>79999</v>
      </c>
      <c r="M1830" t="s">
        <v>186</v>
      </c>
    </row>
    <row r="1831" spans="1:13" x14ac:dyDescent="0.3">
      <c r="A1831">
        <v>1830</v>
      </c>
      <c r="B1831" t="s">
        <v>2489</v>
      </c>
      <c r="C1831" s="3">
        <v>44101</v>
      </c>
      <c r="D1831" t="s">
        <v>666</v>
      </c>
      <c r="E1831">
        <v>33</v>
      </c>
      <c r="F1831" s="1">
        <v>45555</v>
      </c>
      <c r="G1831" s="1" t="str">
        <f>TEXT(Table1[[#This Row],[Enrollment date]], "mmm")</f>
        <v>Sep</v>
      </c>
      <c r="H1831" t="s">
        <v>360</v>
      </c>
      <c r="I1831" t="s">
        <v>662</v>
      </c>
      <c r="J1831" t="str">
        <f>_xlfn.XLOOKUP(Table1[[#This Row],[Course ]], CCF!B:B, CCF!A:A)</f>
        <v>DA202</v>
      </c>
      <c r="K1831" t="s">
        <v>363</v>
      </c>
      <c r="L1831">
        <f>_xlfn.XLOOKUP(K1831, CCF!B:B, CCF!C:C)</f>
        <v>79999</v>
      </c>
      <c r="M1831" t="s">
        <v>16</v>
      </c>
    </row>
    <row r="1832" spans="1:13" x14ac:dyDescent="0.3">
      <c r="A1832">
        <v>1831</v>
      </c>
      <c r="B1832" t="s">
        <v>2490</v>
      </c>
      <c r="C1832" s="3">
        <v>71008</v>
      </c>
      <c r="D1832" t="s">
        <v>666</v>
      </c>
      <c r="E1832">
        <v>20</v>
      </c>
      <c r="F1832" s="1">
        <v>45555</v>
      </c>
      <c r="G1832" s="1" t="str">
        <f>TEXT(Table1[[#This Row],[Enrollment date]], "mmm")</f>
        <v>Sep</v>
      </c>
      <c r="H1832" t="s">
        <v>360</v>
      </c>
      <c r="I1832" t="s">
        <v>659</v>
      </c>
      <c r="J1832" t="str">
        <f>_xlfn.XLOOKUP(Table1[[#This Row],[Course ]], CCF!B:B, CCF!A:A)</f>
        <v>DA202</v>
      </c>
      <c r="K1832" t="s">
        <v>363</v>
      </c>
      <c r="L1832">
        <f>_xlfn.XLOOKUP(K1832, CCF!B:B, CCF!C:C)</f>
        <v>79999</v>
      </c>
      <c r="M1832" t="s">
        <v>9</v>
      </c>
    </row>
    <row r="1833" spans="1:13" x14ac:dyDescent="0.3">
      <c r="A1833">
        <v>1832</v>
      </c>
      <c r="B1833" t="s">
        <v>2491</v>
      </c>
      <c r="C1833" s="3">
        <v>21994</v>
      </c>
      <c r="D1833" t="s">
        <v>667</v>
      </c>
      <c r="E1833">
        <v>37</v>
      </c>
      <c r="F1833" s="1">
        <v>45556</v>
      </c>
      <c r="G1833" s="1" t="str">
        <f>TEXT(Table1[[#This Row],[Enrollment date]], "mmm")</f>
        <v>Sep</v>
      </c>
      <c r="H1833" t="s">
        <v>360</v>
      </c>
      <c r="I1833" t="s">
        <v>661</v>
      </c>
      <c r="J1833" t="str">
        <f>_xlfn.XLOOKUP(Table1[[#This Row],[Course ]], CCF!B:B, CCF!A:A)</f>
        <v>DA202</v>
      </c>
      <c r="K1833" t="s">
        <v>363</v>
      </c>
      <c r="L1833">
        <f>_xlfn.XLOOKUP(K1833, CCF!B:B, CCF!C:C)</f>
        <v>79999</v>
      </c>
      <c r="M1833" t="s">
        <v>592</v>
      </c>
    </row>
    <row r="1834" spans="1:13" x14ac:dyDescent="0.3">
      <c r="A1834">
        <v>1833</v>
      </c>
      <c r="B1834" t="s">
        <v>2492</v>
      </c>
      <c r="C1834" s="3">
        <v>53460</v>
      </c>
      <c r="D1834" t="s">
        <v>666</v>
      </c>
      <c r="E1834">
        <v>21</v>
      </c>
      <c r="F1834" s="1">
        <v>45556</v>
      </c>
      <c r="G1834" s="1" t="str">
        <f>TEXT(Table1[[#This Row],[Enrollment date]], "mmm")</f>
        <v>Sep</v>
      </c>
      <c r="H1834" t="s">
        <v>360</v>
      </c>
      <c r="I1834" t="s">
        <v>663</v>
      </c>
      <c r="J1834" t="str">
        <f>_xlfn.XLOOKUP(Table1[[#This Row],[Course ]], CCF!B:B, CCF!A:A)</f>
        <v>DA202</v>
      </c>
      <c r="K1834" t="s">
        <v>363</v>
      </c>
      <c r="L1834">
        <f>_xlfn.XLOOKUP(K1834, CCF!B:B, CCF!C:C)</f>
        <v>79999</v>
      </c>
      <c r="M1834" t="s">
        <v>80</v>
      </c>
    </row>
    <row r="1835" spans="1:13" x14ac:dyDescent="0.3">
      <c r="A1835">
        <v>1834</v>
      </c>
      <c r="B1835" t="s">
        <v>2493</v>
      </c>
      <c r="C1835" s="3">
        <v>52566</v>
      </c>
      <c r="D1835" t="s">
        <v>666</v>
      </c>
      <c r="E1835">
        <v>38</v>
      </c>
      <c r="F1835" s="1">
        <v>45556</v>
      </c>
      <c r="G1835" s="1" t="str">
        <f>TEXT(Table1[[#This Row],[Enrollment date]], "mmm")</f>
        <v>Sep</v>
      </c>
      <c r="H1835" t="s">
        <v>360</v>
      </c>
      <c r="I1835" t="s">
        <v>661</v>
      </c>
      <c r="J1835" t="str">
        <f>_xlfn.XLOOKUP(Table1[[#This Row],[Course ]], CCF!B:B, CCF!A:A)</f>
        <v>DM101</v>
      </c>
      <c r="K1835" t="s">
        <v>365</v>
      </c>
      <c r="L1835">
        <f>_xlfn.XLOOKUP(K1835, CCF!B:B, CCF!C:C)</f>
        <v>85499</v>
      </c>
      <c r="M1835" t="s">
        <v>80</v>
      </c>
    </row>
    <row r="1836" spans="1:13" x14ac:dyDescent="0.3">
      <c r="A1836">
        <v>1835</v>
      </c>
      <c r="B1836" t="s">
        <v>2494</v>
      </c>
      <c r="C1836" s="3">
        <v>48731</v>
      </c>
      <c r="D1836" t="s">
        <v>666</v>
      </c>
      <c r="E1836">
        <v>51</v>
      </c>
      <c r="F1836" s="1">
        <v>45556</v>
      </c>
      <c r="G1836" s="1" t="str">
        <f>TEXT(Table1[[#This Row],[Enrollment date]], "mmm")</f>
        <v>Sep</v>
      </c>
      <c r="H1836" t="s">
        <v>360</v>
      </c>
      <c r="I1836" t="s">
        <v>660</v>
      </c>
      <c r="J1836" t="str">
        <f>_xlfn.XLOOKUP(Table1[[#This Row],[Course ]], CCF!B:B, CCF!A:A)</f>
        <v>UX401</v>
      </c>
      <c r="K1836" t="s">
        <v>367</v>
      </c>
      <c r="L1836">
        <f>_xlfn.XLOOKUP(K1836, CCF!B:B, CCF!C:C)</f>
        <v>67990</v>
      </c>
      <c r="M1836" t="s">
        <v>238</v>
      </c>
    </row>
    <row r="1837" spans="1:13" x14ac:dyDescent="0.3">
      <c r="A1837">
        <v>1836</v>
      </c>
      <c r="B1837" t="s">
        <v>2495</v>
      </c>
      <c r="C1837" s="3">
        <v>35501</v>
      </c>
      <c r="D1837" t="s">
        <v>667</v>
      </c>
      <c r="E1837">
        <v>68</v>
      </c>
      <c r="F1837" s="1">
        <v>45556</v>
      </c>
      <c r="G1837" s="1" t="str">
        <f>TEXT(Table1[[#This Row],[Enrollment date]], "mmm")</f>
        <v>Sep</v>
      </c>
      <c r="H1837" t="s">
        <v>3</v>
      </c>
      <c r="I1837" t="s">
        <v>665</v>
      </c>
      <c r="J1837" t="str">
        <f>_xlfn.XLOOKUP(Table1[[#This Row],[Course ]], CCF!B:B, CCF!A:A)</f>
        <v>DM101</v>
      </c>
      <c r="K1837" t="s">
        <v>365</v>
      </c>
      <c r="L1837">
        <f>_xlfn.XLOOKUP(K1837, CCF!B:B, CCF!C:C)</f>
        <v>85499</v>
      </c>
      <c r="M1837" t="s">
        <v>20</v>
      </c>
    </row>
    <row r="1838" spans="1:13" x14ac:dyDescent="0.3">
      <c r="A1838">
        <v>1837</v>
      </c>
      <c r="B1838" t="s">
        <v>2496</v>
      </c>
      <c r="C1838" s="3">
        <v>30737</v>
      </c>
      <c r="D1838" t="s">
        <v>667</v>
      </c>
      <c r="E1838">
        <v>50</v>
      </c>
      <c r="F1838" s="1">
        <v>45556</v>
      </c>
      <c r="G1838" s="1" t="str">
        <f>TEXT(Table1[[#This Row],[Enrollment date]], "mmm")</f>
        <v>Sep</v>
      </c>
      <c r="H1838" t="s">
        <v>360</v>
      </c>
      <c r="I1838" t="s">
        <v>661</v>
      </c>
      <c r="J1838" t="str">
        <f>_xlfn.XLOOKUP(Table1[[#This Row],[Course ]], CCF!B:B, CCF!A:A)</f>
        <v>DM101</v>
      </c>
      <c r="K1838" t="s">
        <v>365</v>
      </c>
      <c r="L1838">
        <f>_xlfn.XLOOKUP(K1838, CCF!B:B, CCF!C:C)</f>
        <v>85499</v>
      </c>
      <c r="M1838" t="s">
        <v>316</v>
      </c>
    </row>
    <row r="1839" spans="1:13" x14ac:dyDescent="0.3">
      <c r="A1839">
        <v>1838</v>
      </c>
      <c r="B1839" t="s">
        <v>2497</v>
      </c>
      <c r="C1839" s="3">
        <v>56941</v>
      </c>
      <c r="D1839" t="s">
        <v>666</v>
      </c>
      <c r="E1839">
        <v>57</v>
      </c>
      <c r="F1839" s="1">
        <v>45556</v>
      </c>
      <c r="G1839" s="1" t="str">
        <f>TEXT(Table1[[#This Row],[Enrollment date]], "mmm")</f>
        <v>Sep</v>
      </c>
      <c r="H1839" t="s">
        <v>360</v>
      </c>
      <c r="I1839" t="s">
        <v>660</v>
      </c>
      <c r="J1839" t="str">
        <f>_xlfn.XLOOKUP(Table1[[#This Row],[Course ]], CCF!B:B, CCF!A:A)</f>
        <v>DM101</v>
      </c>
      <c r="K1839" t="s">
        <v>365</v>
      </c>
      <c r="L1839">
        <f>_xlfn.XLOOKUP(K1839, CCF!B:B, CCF!C:C)</f>
        <v>85499</v>
      </c>
      <c r="M1839" t="s">
        <v>124</v>
      </c>
    </row>
    <row r="1840" spans="1:13" x14ac:dyDescent="0.3">
      <c r="A1840">
        <v>1839</v>
      </c>
      <c r="B1840" t="s">
        <v>2498</v>
      </c>
      <c r="C1840" s="3">
        <v>59877</v>
      </c>
      <c r="D1840" t="s">
        <v>666</v>
      </c>
      <c r="E1840">
        <v>51</v>
      </c>
      <c r="F1840" s="1">
        <v>45556</v>
      </c>
      <c r="G1840" s="1" t="str">
        <f>TEXT(Table1[[#This Row],[Enrollment date]], "mmm")</f>
        <v>Sep</v>
      </c>
      <c r="H1840" t="s">
        <v>360</v>
      </c>
      <c r="I1840" t="s">
        <v>660</v>
      </c>
      <c r="J1840" t="str">
        <f>_xlfn.XLOOKUP(Table1[[#This Row],[Course ]], CCF!B:B, CCF!A:A)</f>
        <v>DM101</v>
      </c>
      <c r="K1840" t="s">
        <v>365</v>
      </c>
      <c r="L1840">
        <f>_xlfn.XLOOKUP(K1840, CCF!B:B, CCF!C:C)</f>
        <v>85499</v>
      </c>
      <c r="M1840" t="s">
        <v>17</v>
      </c>
    </row>
    <row r="1841" spans="1:13" x14ac:dyDescent="0.3">
      <c r="A1841">
        <v>1840</v>
      </c>
      <c r="B1841" t="s">
        <v>2499</v>
      </c>
      <c r="C1841" s="3">
        <v>56060</v>
      </c>
      <c r="D1841" t="s">
        <v>667</v>
      </c>
      <c r="E1841">
        <v>47</v>
      </c>
      <c r="F1841" s="1">
        <v>45557</v>
      </c>
      <c r="G1841" s="1" t="str">
        <f>TEXT(Table1[[#This Row],[Enrollment date]], "mmm")</f>
        <v>Sep</v>
      </c>
      <c r="H1841" t="s">
        <v>360</v>
      </c>
      <c r="I1841" t="s">
        <v>660</v>
      </c>
      <c r="J1841" t="str">
        <f>_xlfn.XLOOKUP(Table1[[#This Row],[Course ]], CCF!B:B, CCF!A:A)</f>
        <v>DA202</v>
      </c>
      <c r="K1841" t="s">
        <v>363</v>
      </c>
      <c r="L1841">
        <f>_xlfn.XLOOKUP(K1841, CCF!B:B, CCF!C:C)</f>
        <v>79999</v>
      </c>
      <c r="M1841" t="s">
        <v>80</v>
      </c>
    </row>
    <row r="1842" spans="1:13" x14ac:dyDescent="0.3">
      <c r="A1842">
        <v>1841</v>
      </c>
      <c r="B1842" t="s">
        <v>2500</v>
      </c>
      <c r="C1842" s="3">
        <v>56896</v>
      </c>
      <c r="D1842" t="s">
        <v>667</v>
      </c>
      <c r="E1842">
        <v>28</v>
      </c>
      <c r="F1842" s="1">
        <v>45557</v>
      </c>
      <c r="G1842" s="1" t="str">
        <f>TEXT(Table1[[#This Row],[Enrollment date]], "mmm")</f>
        <v>Sep</v>
      </c>
      <c r="H1842" t="s">
        <v>360</v>
      </c>
      <c r="I1842" t="s">
        <v>660</v>
      </c>
      <c r="J1842" t="str">
        <f>_xlfn.XLOOKUP(Table1[[#This Row],[Course ]], CCF!B:B, CCF!A:A)</f>
        <v>DM101</v>
      </c>
      <c r="K1842" t="s">
        <v>365</v>
      </c>
      <c r="L1842">
        <f>_xlfn.XLOOKUP(K1842, CCF!B:B, CCF!C:C)</f>
        <v>85499</v>
      </c>
      <c r="M1842" t="s">
        <v>294</v>
      </c>
    </row>
    <row r="1843" spans="1:13" x14ac:dyDescent="0.3">
      <c r="A1843">
        <v>1842</v>
      </c>
      <c r="B1843" t="s">
        <v>2501</v>
      </c>
      <c r="C1843" s="3">
        <v>22004</v>
      </c>
      <c r="D1843" t="s">
        <v>666</v>
      </c>
      <c r="E1843">
        <v>24</v>
      </c>
      <c r="F1843" s="1">
        <v>45557</v>
      </c>
      <c r="G1843" s="1" t="str">
        <f>TEXT(Table1[[#This Row],[Enrollment date]], "mmm")</f>
        <v>Sep</v>
      </c>
      <c r="H1843" t="s">
        <v>360</v>
      </c>
      <c r="I1843" t="s">
        <v>661</v>
      </c>
      <c r="J1843" t="str">
        <f>_xlfn.XLOOKUP(Table1[[#This Row],[Course ]], CCF!B:B, CCF!A:A)</f>
        <v>DA202</v>
      </c>
      <c r="K1843" t="s">
        <v>363</v>
      </c>
      <c r="L1843">
        <f>_xlfn.XLOOKUP(K1843, CCF!B:B, CCF!C:C)</f>
        <v>79999</v>
      </c>
      <c r="M1843" t="s">
        <v>211</v>
      </c>
    </row>
    <row r="1844" spans="1:13" x14ac:dyDescent="0.3">
      <c r="A1844">
        <v>1843</v>
      </c>
      <c r="B1844" t="s">
        <v>2502</v>
      </c>
      <c r="C1844" s="3">
        <v>87663</v>
      </c>
      <c r="D1844" t="s">
        <v>666</v>
      </c>
      <c r="E1844">
        <v>21</v>
      </c>
      <c r="F1844" s="1">
        <v>45557</v>
      </c>
      <c r="G1844" s="1" t="str">
        <f>TEXT(Table1[[#This Row],[Enrollment date]], "mmm")</f>
        <v>Sep</v>
      </c>
      <c r="H1844" t="s">
        <v>361</v>
      </c>
      <c r="I1844" t="s">
        <v>663</v>
      </c>
      <c r="J1844" t="str">
        <f>_xlfn.XLOOKUP(Table1[[#This Row],[Course ]], CCF!B:B, CCF!A:A)</f>
        <v>DM101</v>
      </c>
      <c r="K1844" t="s">
        <v>365</v>
      </c>
      <c r="L1844">
        <f>_xlfn.XLOOKUP(K1844, CCF!B:B, CCF!C:C)</f>
        <v>85499</v>
      </c>
      <c r="M1844" t="s">
        <v>330</v>
      </c>
    </row>
    <row r="1845" spans="1:13" x14ac:dyDescent="0.3">
      <c r="A1845">
        <v>1844</v>
      </c>
      <c r="B1845" t="s">
        <v>2503</v>
      </c>
      <c r="C1845" s="3">
        <v>99023</v>
      </c>
      <c r="D1845" t="s">
        <v>667</v>
      </c>
      <c r="E1845">
        <v>23</v>
      </c>
      <c r="F1845" s="1">
        <v>45557</v>
      </c>
      <c r="G1845" s="1" t="str">
        <f>TEXT(Table1[[#This Row],[Enrollment date]], "mmm")</f>
        <v>Sep</v>
      </c>
      <c r="H1845" t="s">
        <v>360</v>
      </c>
      <c r="I1845" t="s">
        <v>659</v>
      </c>
      <c r="J1845" t="str">
        <f>_xlfn.XLOOKUP(Table1[[#This Row],[Course ]], CCF!B:B, CCF!A:A)</f>
        <v>BA301</v>
      </c>
      <c r="K1845" t="s">
        <v>364</v>
      </c>
      <c r="L1845">
        <f>_xlfn.XLOOKUP(K1845, CCF!B:B, CCF!C:C)</f>
        <v>59999</v>
      </c>
      <c r="M1845" t="s">
        <v>341</v>
      </c>
    </row>
    <row r="1846" spans="1:13" x14ac:dyDescent="0.3">
      <c r="A1846">
        <v>1845</v>
      </c>
      <c r="B1846" t="s">
        <v>2504</v>
      </c>
      <c r="C1846" s="3">
        <v>96140</v>
      </c>
      <c r="D1846" t="s">
        <v>667</v>
      </c>
      <c r="E1846">
        <v>36</v>
      </c>
      <c r="F1846" s="1">
        <v>45557</v>
      </c>
      <c r="G1846" s="1" t="str">
        <f>TEXT(Table1[[#This Row],[Enrollment date]], "mmm")</f>
        <v>Sep</v>
      </c>
      <c r="H1846" t="s">
        <v>360</v>
      </c>
      <c r="I1846" t="s">
        <v>660</v>
      </c>
      <c r="J1846" t="str">
        <f>_xlfn.XLOOKUP(Table1[[#This Row],[Course ]], CCF!B:B, CCF!A:A)</f>
        <v>DM101</v>
      </c>
      <c r="K1846" t="s">
        <v>365</v>
      </c>
      <c r="L1846">
        <f>_xlfn.XLOOKUP(K1846, CCF!B:B, CCF!C:C)</f>
        <v>85499</v>
      </c>
      <c r="M1846" t="s">
        <v>30</v>
      </c>
    </row>
    <row r="1847" spans="1:13" x14ac:dyDescent="0.3">
      <c r="A1847">
        <v>1846</v>
      </c>
      <c r="B1847" t="s">
        <v>2505</v>
      </c>
      <c r="C1847" s="3">
        <v>66896</v>
      </c>
      <c r="D1847" t="s">
        <v>667</v>
      </c>
      <c r="E1847">
        <v>71</v>
      </c>
      <c r="F1847" s="1">
        <v>45557</v>
      </c>
      <c r="G1847" s="1" t="str">
        <f>TEXT(Table1[[#This Row],[Enrollment date]], "mmm")</f>
        <v>Sep</v>
      </c>
      <c r="H1847" t="s">
        <v>360</v>
      </c>
      <c r="I1847" t="s">
        <v>661</v>
      </c>
      <c r="J1847" t="str">
        <f>_xlfn.XLOOKUP(Table1[[#This Row],[Course ]], CCF!B:B, CCF!A:A)</f>
        <v>DM101</v>
      </c>
      <c r="K1847" t="s">
        <v>365</v>
      </c>
      <c r="L1847">
        <f>_xlfn.XLOOKUP(K1847, CCF!B:B, CCF!C:C)</f>
        <v>85499</v>
      </c>
      <c r="M1847" t="s">
        <v>84</v>
      </c>
    </row>
    <row r="1848" spans="1:13" x14ac:dyDescent="0.3">
      <c r="A1848">
        <v>1847</v>
      </c>
      <c r="B1848" t="s">
        <v>2506</v>
      </c>
      <c r="C1848" s="3">
        <v>97857</v>
      </c>
      <c r="D1848" t="s">
        <v>667</v>
      </c>
      <c r="E1848">
        <v>45</v>
      </c>
      <c r="F1848" s="1">
        <v>45558</v>
      </c>
      <c r="G1848" s="1" t="str">
        <f>TEXT(Table1[[#This Row],[Enrollment date]], "mmm")</f>
        <v>Sep</v>
      </c>
      <c r="H1848" t="s">
        <v>360</v>
      </c>
      <c r="I1848" t="s">
        <v>659</v>
      </c>
      <c r="J1848" t="str">
        <f>_xlfn.XLOOKUP(Table1[[#This Row],[Course ]], CCF!B:B, CCF!A:A)</f>
        <v>DM101</v>
      </c>
      <c r="K1848" t="s">
        <v>365</v>
      </c>
      <c r="L1848">
        <f>_xlfn.XLOOKUP(K1848, CCF!B:B, CCF!C:C)</f>
        <v>85499</v>
      </c>
      <c r="M1848" t="s">
        <v>53</v>
      </c>
    </row>
    <row r="1849" spans="1:13" x14ac:dyDescent="0.3">
      <c r="A1849">
        <v>1848</v>
      </c>
      <c r="B1849" t="s">
        <v>2507</v>
      </c>
      <c r="C1849" s="3">
        <v>27811</v>
      </c>
      <c r="D1849" t="s">
        <v>666</v>
      </c>
      <c r="E1849">
        <v>20</v>
      </c>
      <c r="F1849" s="1">
        <v>45558</v>
      </c>
      <c r="G1849" s="1" t="str">
        <f>TEXT(Table1[[#This Row],[Enrollment date]], "mmm")</f>
        <v>Sep</v>
      </c>
      <c r="H1849" t="s">
        <v>3</v>
      </c>
      <c r="I1849" t="s">
        <v>660</v>
      </c>
      <c r="J1849" t="str">
        <f>_xlfn.XLOOKUP(Table1[[#This Row],[Course ]], CCF!B:B, CCF!A:A)</f>
        <v>DM101</v>
      </c>
      <c r="K1849" t="s">
        <v>365</v>
      </c>
      <c r="L1849">
        <f>_xlfn.XLOOKUP(K1849, CCF!B:B, CCF!C:C)</f>
        <v>85499</v>
      </c>
      <c r="M1849" t="s">
        <v>485</v>
      </c>
    </row>
    <row r="1850" spans="1:13" x14ac:dyDescent="0.3">
      <c r="A1850">
        <v>1849</v>
      </c>
      <c r="B1850" t="s">
        <v>2508</v>
      </c>
      <c r="C1850" s="3">
        <v>76728</v>
      </c>
      <c r="D1850" t="s">
        <v>666</v>
      </c>
      <c r="E1850">
        <v>35</v>
      </c>
      <c r="F1850" s="1">
        <v>45558</v>
      </c>
      <c r="G1850" s="1" t="str">
        <f>TEXT(Table1[[#This Row],[Enrollment date]], "mmm")</f>
        <v>Sep</v>
      </c>
      <c r="H1850" t="s">
        <v>360</v>
      </c>
      <c r="I1850" t="s">
        <v>660</v>
      </c>
      <c r="J1850" t="str">
        <f>_xlfn.XLOOKUP(Table1[[#This Row],[Course ]], CCF!B:B, CCF!A:A)</f>
        <v>DA202</v>
      </c>
      <c r="K1850" t="s">
        <v>363</v>
      </c>
      <c r="L1850">
        <f>_xlfn.XLOOKUP(K1850, CCF!B:B, CCF!C:C)</f>
        <v>79999</v>
      </c>
      <c r="M1850" t="s">
        <v>20</v>
      </c>
    </row>
    <row r="1851" spans="1:13" x14ac:dyDescent="0.3">
      <c r="A1851">
        <v>1850</v>
      </c>
      <c r="B1851" t="s">
        <v>2509</v>
      </c>
      <c r="C1851" s="3">
        <v>72863</v>
      </c>
      <c r="D1851" t="s">
        <v>667</v>
      </c>
      <c r="E1851">
        <v>31</v>
      </c>
      <c r="F1851" s="1">
        <v>45558</v>
      </c>
      <c r="G1851" s="1" t="str">
        <f>TEXT(Table1[[#This Row],[Enrollment date]], "mmm")</f>
        <v>Sep</v>
      </c>
      <c r="H1851" t="s">
        <v>360</v>
      </c>
      <c r="I1851" t="s">
        <v>661</v>
      </c>
      <c r="J1851" t="str">
        <f>_xlfn.XLOOKUP(Table1[[#This Row],[Course ]], CCF!B:B, CCF!A:A)</f>
        <v>DM101</v>
      </c>
      <c r="K1851" t="s">
        <v>365</v>
      </c>
      <c r="L1851">
        <f>_xlfn.XLOOKUP(K1851, CCF!B:B, CCF!C:C)</f>
        <v>85499</v>
      </c>
      <c r="M1851" t="s">
        <v>18</v>
      </c>
    </row>
    <row r="1852" spans="1:13" x14ac:dyDescent="0.3">
      <c r="A1852">
        <v>1851</v>
      </c>
      <c r="B1852" t="s">
        <v>2510</v>
      </c>
      <c r="C1852" s="3">
        <v>40394</v>
      </c>
      <c r="D1852" t="s">
        <v>667</v>
      </c>
      <c r="E1852">
        <v>31</v>
      </c>
      <c r="F1852" s="1">
        <v>45558</v>
      </c>
      <c r="G1852" s="1" t="str">
        <f>TEXT(Table1[[#This Row],[Enrollment date]], "mmm")</f>
        <v>Sep</v>
      </c>
      <c r="H1852" t="s">
        <v>360</v>
      </c>
      <c r="I1852" t="s">
        <v>660</v>
      </c>
      <c r="J1852" t="str">
        <f>_xlfn.XLOOKUP(Table1[[#This Row],[Course ]], CCF!B:B, CCF!A:A)</f>
        <v>FSD103</v>
      </c>
      <c r="K1852" t="s">
        <v>366</v>
      </c>
      <c r="L1852">
        <f>_xlfn.XLOOKUP(K1852, CCF!B:B, CCF!C:C)</f>
        <v>109990</v>
      </c>
      <c r="M1852" t="s">
        <v>9</v>
      </c>
    </row>
    <row r="1853" spans="1:13" x14ac:dyDescent="0.3">
      <c r="A1853">
        <v>1852</v>
      </c>
      <c r="B1853" t="s">
        <v>2511</v>
      </c>
      <c r="C1853" s="3">
        <v>34373</v>
      </c>
      <c r="D1853" t="s">
        <v>667</v>
      </c>
      <c r="E1853">
        <v>48</v>
      </c>
      <c r="F1853" s="1">
        <v>45558</v>
      </c>
      <c r="G1853" s="1" t="str">
        <f>TEXT(Table1[[#This Row],[Enrollment date]], "mmm")</f>
        <v>Sep</v>
      </c>
      <c r="H1853" t="s">
        <v>360</v>
      </c>
      <c r="I1853" t="s">
        <v>659</v>
      </c>
      <c r="J1853" t="str">
        <f>_xlfn.XLOOKUP(Table1[[#This Row],[Course ]], CCF!B:B, CCF!A:A)</f>
        <v>BA301</v>
      </c>
      <c r="K1853" t="s">
        <v>364</v>
      </c>
      <c r="L1853">
        <f>_xlfn.XLOOKUP(K1853, CCF!B:B, CCF!C:C)</f>
        <v>59999</v>
      </c>
      <c r="M1853" t="s">
        <v>145</v>
      </c>
    </row>
    <row r="1854" spans="1:13" x14ac:dyDescent="0.3">
      <c r="A1854">
        <v>1853</v>
      </c>
      <c r="B1854" t="s">
        <v>2512</v>
      </c>
      <c r="C1854" s="3">
        <v>63249</v>
      </c>
      <c r="D1854" t="s">
        <v>666</v>
      </c>
      <c r="E1854">
        <v>35</v>
      </c>
      <c r="F1854" s="1">
        <v>45558</v>
      </c>
      <c r="G1854" s="1" t="str">
        <f>TEXT(Table1[[#This Row],[Enrollment date]], "mmm")</f>
        <v>Sep</v>
      </c>
      <c r="H1854" t="s">
        <v>360</v>
      </c>
      <c r="I1854" t="s">
        <v>660</v>
      </c>
      <c r="J1854" t="str">
        <f>_xlfn.XLOOKUP(Table1[[#This Row],[Course ]], CCF!B:B, CCF!A:A)</f>
        <v>DM101</v>
      </c>
      <c r="K1854" t="s">
        <v>365</v>
      </c>
      <c r="L1854">
        <f>_xlfn.XLOOKUP(K1854, CCF!B:B, CCF!C:C)</f>
        <v>85499</v>
      </c>
      <c r="M1854" t="s">
        <v>27</v>
      </c>
    </row>
    <row r="1855" spans="1:13" x14ac:dyDescent="0.3">
      <c r="A1855">
        <v>1854</v>
      </c>
      <c r="B1855" t="s">
        <v>2513</v>
      </c>
      <c r="C1855" s="3">
        <v>57876</v>
      </c>
      <c r="D1855" t="s">
        <v>667</v>
      </c>
      <c r="E1855">
        <v>38</v>
      </c>
      <c r="F1855" s="1">
        <v>45558</v>
      </c>
      <c r="G1855" s="1" t="str">
        <f>TEXT(Table1[[#This Row],[Enrollment date]], "mmm")</f>
        <v>Sep</v>
      </c>
      <c r="H1855" t="s">
        <v>360</v>
      </c>
      <c r="I1855" t="s">
        <v>664</v>
      </c>
      <c r="J1855" t="str">
        <f>_xlfn.XLOOKUP(Table1[[#This Row],[Course ]], CCF!B:B, CCF!A:A)</f>
        <v>DM101</v>
      </c>
      <c r="K1855" t="s">
        <v>365</v>
      </c>
      <c r="L1855">
        <f>_xlfn.XLOOKUP(K1855, CCF!B:B, CCF!C:C)</f>
        <v>85499</v>
      </c>
      <c r="M1855" t="s">
        <v>20</v>
      </c>
    </row>
    <row r="1856" spans="1:13" x14ac:dyDescent="0.3">
      <c r="A1856">
        <v>1855</v>
      </c>
      <c r="B1856" t="s">
        <v>2514</v>
      </c>
      <c r="C1856" s="3">
        <v>20360</v>
      </c>
      <c r="D1856" t="s">
        <v>666</v>
      </c>
      <c r="E1856">
        <v>31</v>
      </c>
      <c r="F1856" s="1">
        <v>45559</v>
      </c>
      <c r="G1856" s="1" t="str">
        <f>TEXT(Table1[[#This Row],[Enrollment date]], "mmm")</f>
        <v>Sep</v>
      </c>
      <c r="H1856" t="s">
        <v>360</v>
      </c>
      <c r="I1856" t="s">
        <v>664</v>
      </c>
      <c r="J1856" t="str">
        <f>_xlfn.XLOOKUP(Table1[[#This Row],[Course ]], CCF!B:B, CCF!A:A)</f>
        <v>BA301</v>
      </c>
      <c r="K1856" t="s">
        <v>364</v>
      </c>
      <c r="L1856">
        <f>_xlfn.XLOOKUP(K1856, CCF!B:B, CCF!C:C)</f>
        <v>59999</v>
      </c>
      <c r="M1856" t="s">
        <v>242</v>
      </c>
    </row>
    <row r="1857" spans="1:13" x14ac:dyDescent="0.3">
      <c r="A1857">
        <v>1856</v>
      </c>
      <c r="B1857" t="s">
        <v>2515</v>
      </c>
      <c r="C1857" s="3">
        <v>17154</v>
      </c>
      <c r="D1857" t="s">
        <v>667</v>
      </c>
      <c r="E1857">
        <v>44</v>
      </c>
      <c r="F1857" s="1">
        <v>45560</v>
      </c>
      <c r="G1857" s="1" t="str">
        <f>TEXT(Table1[[#This Row],[Enrollment date]], "mmm")</f>
        <v>Sep</v>
      </c>
      <c r="H1857" t="s">
        <v>361</v>
      </c>
      <c r="I1857" t="s">
        <v>660</v>
      </c>
      <c r="J1857" t="str">
        <f>_xlfn.XLOOKUP(Table1[[#This Row],[Course ]], CCF!B:B, CCF!A:A)</f>
        <v>DM101</v>
      </c>
      <c r="K1857" t="s">
        <v>365</v>
      </c>
      <c r="L1857">
        <f>_xlfn.XLOOKUP(K1857, CCF!B:B, CCF!C:C)</f>
        <v>85499</v>
      </c>
      <c r="M1857" t="s">
        <v>100</v>
      </c>
    </row>
    <row r="1858" spans="1:13" x14ac:dyDescent="0.3">
      <c r="A1858">
        <v>1857</v>
      </c>
      <c r="B1858" t="s">
        <v>2516</v>
      </c>
      <c r="C1858" s="3">
        <v>89517</v>
      </c>
      <c r="D1858" t="s">
        <v>666</v>
      </c>
      <c r="E1858">
        <v>22</v>
      </c>
      <c r="F1858" s="1">
        <v>45560</v>
      </c>
      <c r="G1858" s="1" t="str">
        <f>TEXT(Table1[[#This Row],[Enrollment date]], "mmm")</f>
        <v>Sep</v>
      </c>
      <c r="H1858" t="s">
        <v>360</v>
      </c>
      <c r="I1858" t="s">
        <v>660</v>
      </c>
      <c r="J1858" t="str">
        <f>_xlfn.XLOOKUP(Table1[[#This Row],[Course ]], CCF!B:B, CCF!A:A)</f>
        <v>DM101</v>
      </c>
      <c r="K1858" t="s">
        <v>365</v>
      </c>
      <c r="L1858">
        <f>_xlfn.XLOOKUP(K1858, CCF!B:B, CCF!C:C)</f>
        <v>85499</v>
      </c>
      <c r="M1858" t="s">
        <v>43</v>
      </c>
    </row>
    <row r="1859" spans="1:13" x14ac:dyDescent="0.3">
      <c r="A1859">
        <v>1858</v>
      </c>
      <c r="B1859" t="s">
        <v>2517</v>
      </c>
      <c r="C1859" s="3">
        <v>26593</v>
      </c>
      <c r="D1859" t="s">
        <v>666</v>
      </c>
      <c r="E1859">
        <v>36</v>
      </c>
      <c r="F1859" s="1">
        <v>45560</v>
      </c>
      <c r="G1859" s="1" t="str">
        <f>TEXT(Table1[[#This Row],[Enrollment date]], "mmm")</f>
        <v>Sep</v>
      </c>
      <c r="H1859" t="s">
        <v>360</v>
      </c>
      <c r="I1859" t="s">
        <v>660</v>
      </c>
      <c r="J1859" t="str">
        <f>_xlfn.XLOOKUP(Table1[[#This Row],[Course ]], CCF!B:B, CCF!A:A)</f>
        <v>FSD103</v>
      </c>
      <c r="K1859" t="s">
        <v>366</v>
      </c>
      <c r="L1859">
        <f>_xlfn.XLOOKUP(K1859, CCF!B:B, CCF!C:C)</f>
        <v>109990</v>
      </c>
      <c r="M1859" t="s">
        <v>30</v>
      </c>
    </row>
    <row r="1860" spans="1:13" x14ac:dyDescent="0.3">
      <c r="A1860">
        <v>1859</v>
      </c>
      <c r="B1860" t="s">
        <v>2518</v>
      </c>
      <c r="C1860" s="3">
        <v>27548</v>
      </c>
      <c r="D1860" t="s">
        <v>666</v>
      </c>
      <c r="E1860">
        <v>45</v>
      </c>
      <c r="F1860" s="1">
        <v>45560</v>
      </c>
      <c r="G1860" s="1" t="str">
        <f>TEXT(Table1[[#This Row],[Enrollment date]], "mmm")</f>
        <v>Sep</v>
      </c>
      <c r="H1860" t="s">
        <v>360</v>
      </c>
      <c r="I1860" t="s">
        <v>665</v>
      </c>
      <c r="J1860" t="str">
        <f>_xlfn.XLOOKUP(Table1[[#This Row],[Course ]], CCF!B:B, CCF!A:A)</f>
        <v>DA202</v>
      </c>
      <c r="K1860" t="s">
        <v>363</v>
      </c>
      <c r="L1860">
        <f>_xlfn.XLOOKUP(K1860, CCF!B:B, CCF!C:C)</f>
        <v>79999</v>
      </c>
      <c r="M1860" t="s">
        <v>9</v>
      </c>
    </row>
    <row r="1861" spans="1:13" x14ac:dyDescent="0.3">
      <c r="A1861">
        <v>1860</v>
      </c>
      <c r="B1861" t="s">
        <v>2519</v>
      </c>
      <c r="C1861" s="3">
        <v>36307</v>
      </c>
      <c r="D1861" t="s">
        <v>667</v>
      </c>
      <c r="E1861">
        <v>46</v>
      </c>
      <c r="F1861" s="1">
        <v>45560</v>
      </c>
      <c r="G1861" s="1" t="str">
        <f>TEXT(Table1[[#This Row],[Enrollment date]], "mmm")</f>
        <v>Sep</v>
      </c>
      <c r="H1861" t="s">
        <v>360</v>
      </c>
      <c r="I1861" t="s">
        <v>665</v>
      </c>
      <c r="J1861" t="str">
        <f>_xlfn.XLOOKUP(Table1[[#This Row],[Course ]], CCF!B:B, CCF!A:A)</f>
        <v>DM101</v>
      </c>
      <c r="K1861" t="s">
        <v>365</v>
      </c>
      <c r="L1861">
        <f>_xlfn.XLOOKUP(K1861, CCF!B:B, CCF!C:C)</f>
        <v>85499</v>
      </c>
      <c r="M1861" t="s">
        <v>50</v>
      </c>
    </row>
    <row r="1862" spans="1:13" x14ac:dyDescent="0.3">
      <c r="A1862">
        <v>1861</v>
      </c>
      <c r="B1862" t="s">
        <v>2520</v>
      </c>
      <c r="C1862" s="3">
        <v>64904</v>
      </c>
      <c r="D1862" t="s">
        <v>666</v>
      </c>
      <c r="E1862">
        <v>47</v>
      </c>
      <c r="F1862" s="1">
        <v>45560</v>
      </c>
      <c r="G1862" s="1" t="str">
        <f>TEXT(Table1[[#This Row],[Enrollment date]], "mmm")</f>
        <v>Sep</v>
      </c>
      <c r="H1862" t="s">
        <v>360</v>
      </c>
      <c r="I1862" t="s">
        <v>664</v>
      </c>
      <c r="J1862" t="str">
        <f>_xlfn.XLOOKUP(Table1[[#This Row],[Course ]], CCF!B:B, CCF!A:A)</f>
        <v>DM101</v>
      </c>
      <c r="K1862" t="s">
        <v>365</v>
      </c>
      <c r="L1862">
        <f>_xlfn.XLOOKUP(K1862, CCF!B:B, CCF!C:C)</f>
        <v>85499</v>
      </c>
      <c r="M1862" t="s">
        <v>16</v>
      </c>
    </row>
    <row r="1863" spans="1:13" x14ac:dyDescent="0.3">
      <c r="A1863">
        <v>1862</v>
      </c>
      <c r="B1863" t="s">
        <v>2521</v>
      </c>
      <c r="C1863" s="3">
        <v>60216</v>
      </c>
      <c r="D1863" t="s">
        <v>666</v>
      </c>
      <c r="E1863">
        <v>46</v>
      </c>
      <c r="F1863" s="1">
        <v>45560</v>
      </c>
      <c r="G1863" s="1" t="str">
        <f>TEXT(Table1[[#This Row],[Enrollment date]], "mmm")</f>
        <v>Sep</v>
      </c>
      <c r="H1863" t="s">
        <v>360</v>
      </c>
      <c r="I1863" t="s">
        <v>659</v>
      </c>
      <c r="J1863" t="str">
        <f>_xlfn.XLOOKUP(Table1[[#This Row],[Course ]], CCF!B:B, CCF!A:A)</f>
        <v>DA202</v>
      </c>
      <c r="K1863" t="s">
        <v>363</v>
      </c>
      <c r="L1863">
        <f>_xlfn.XLOOKUP(K1863, CCF!B:B, CCF!C:C)</f>
        <v>79999</v>
      </c>
      <c r="M1863" t="s">
        <v>593</v>
      </c>
    </row>
    <row r="1864" spans="1:13" x14ac:dyDescent="0.3">
      <c r="A1864">
        <v>1863</v>
      </c>
      <c r="B1864" t="s">
        <v>2522</v>
      </c>
      <c r="C1864" s="3">
        <v>17224</v>
      </c>
      <c r="D1864" t="s">
        <v>666</v>
      </c>
      <c r="E1864">
        <v>42</v>
      </c>
      <c r="F1864" s="1">
        <v>45560</v>
      </c>
      <c r="G1864" s="1" t="str">
        <f>TEXT(Table1[[#This Row],[Enrollment date]], "mmm")</f>
        <v>Sep</v>
      </c>
      <c r="H1864" t="s">
        <v>360</v>
      </c>
      <c r="I1864" t="s">
        <v>660</v>
      </c>
      <c r="J1864" t="str">
        <f>_xlfn.XLOOKUP(Table1[[#This Row],[Course ]], CCF!B:B, CCF!A:A)</f>
        <v>DA202</v>
      </c>
      <c r="K1864" t="s">
        <v>363</v>
      </c>
      <c r="L1864">
        <f>_xlfn.XLOOKUP(K1864, CCF!B:B, CCF!C:C)</f>
        <v>79999</v>
      </c>
      <c r="M1864" t="s">
        <v>138</v>
      </c>
    </row>
    <row r="1865" spans="1:13" x14ac:dyDescent="0.3">
      <c r="A1865">
        <v>1864</v>
      </c>
      <c r="B1865" t="s">
        <v>2523</v>
      </c>
      <c r="C1865" s="3">
        <v>34615</v>
      </c>
      <c r="D1865" t="s">
        <v>666</v>
      </c>
      <c r="E1865">
        <v>43</v>
      </c>
      <c r="F1865" s="1">
        <v>45561</v>
      </c>
      <c r="G1865" s="1" t="str">
        <f>TEXT(Table1[[#This Row],[Enrollment date]], "mmm")</f>
        <v>Sep</v>
      </c>
      <c r="H1865" t="s">
        <v>360</v>
      </c>
      <c r="I1865" t="s">
        <v>659</v>
      </c>
      <c r="J1865" t="str">
        <f>_xlfn.XLOOKUP(Table1[[#This Row],[Course ]], CCF!B:B, CCF!A:A)</f>
        <v>UX401</v>
      </c>
      <c r="K1865" t="s">
        <v>367</v>
      </c>
      <c r="L1865">
        <f>_xlfn.XLOOKUP(K1865, CCF!B:B, CCF!C:C)</f>
        <v>67990</v>
      </c>
      <c r="M1865" t="s">
        <v>43</v>
      </c>
    </row>
    <row r="1866" spans="1:13" x14ac:dyDescent="0.3">
      <c r="A1866">
        <v>1865</v>
      </c>
      <c r="B1866" t="s">
        <v>2524</v>
      </c>
      <c r="C1866" s="3">
        <v>72331</v>
      </c>
      <c r="D1866" t="s">
        <v>666</v>
      </c>
      <c r="E1866">
        <v>36</v>
      </c>
      <c r="F1866" s="1">
        <v>45561</v>
      </c>
      <c r="G1866" s="1" t="str">
        <f>TEXT(Table1[[#This Row],[Enrollment date]], "mmm")</f>
        <v>Sep</v>
      </c>
      <c r="H1866" t="s">
        <v>360</v>
      </c>
      <c r="I1866" t="s">
        <v>661</v>
      </c>
      <c r="J1866" t="str">
        <f>_xlfn.XLOOKUP(Table1[[#This Row],[Course ]], CCF!B:B, CCF!A:A)</f>
        <v>DM101</v>
      </c>
      <c r="K1866" t="s">
        <v>365</v>
      </c>
      <c r="L1866">
        <f>_xlfn.XLOOKUP(K1866, CCF!B:B, CCF!C:C)</f>
        <v>85499</v>
      </c>
      <c r="M1866" t="s">
        <v>594</v>
      </c>
    </row>
    <row r="1867" spans="1:13" x14ac:dyDescent="0.3">
      <c r="A1867">
        <v>1866</v>
      </c>
      <c r="B1867" t="s">
        <v>2525</v>
      </c>
      <c r="C1867" s="3">
        <v>42420</v>
      </c>
      <c r="D1867" t="s">
        <v>666</v>
      </c>
      <c r="E1867">
        <v>67</v>
      </c>
      <c r="F1867" s="1">
        <v>45561</v>
      </c>
      <c r="G1867" s="1" t="str">
        <f>TEXT(Table1[[#This Row],[Enrollment date]], "mmm")</f>
        <v>Sep</v>
      </c>
      <c r="H1867" t="s">
        <v>360</v>
      </c>
      <c r="I1867" t="s">
        <v>659</v>
      </c>
      <c r="J1867" t="str">
        <f>_xlfn.XLOOKUP(Table1[[#This Row],[Course ]], CCF!B:B, CCF!A:A)</f>
        <v>DM101</v>
      </c>
      <c r="K1867" t="s">
        <v>365</v>
      </c>
      <c r="L1867">
        <f>_xlfn.XLOOKUP(K1867, CCF!B:B, CCF!C:C)</f>
        <v>85499</v>
      </c>
      <c r="M1867" t="s">
        <v>210</v>
      </c>
    </row>
    <row r="1868" spans="1:13" x14ac:dyDescent="0.3">
      <c r="A1868">
        <v>1867</v>
      </c>
      <c r="B1868" t="s">
        <v>2526</v>
      </c>
      <c r="C1868" s="3">
        <v>33370</v>
      </c>
      <c r="D1868" t="s">
        <v>666</v>
      </c>
      <c r="E1868">
        <v>47</v>
      </c>
      <c r="F1868" s="1">
        <v>45561</v>
      </c>
      <c r="G1868" s="1" t="str">
        <f>TEXT(Table1[[#This Row],[Enrollment date]], "mmm")</f>
        <v>Sep</v>
      </c>
      <c r="H1868" t="s">
        <v>360</v>
      </c>
      <c r="I1868" t="s">
        <v>661</v>
      </c>
      <c r="J1868" t="str">
        <f>_xlfn.XLOOKUP(Table1[[#This Row],[Course ]], CCF!B:B, CCF!A:A)</f>
        <v>DA202</v>
      </c>
      <c r="K1868" t="s">
        <v>363</v>
      </c>
      <c r="L1868">
        <f>_xlfn.XLOOKUP(K1868, CCF!B:B, CCF!C:C)</f>
        <v>79999</v>
      </c>
      <c r="M1868" t="s">
        <v>27</v>
      </c>
    </row>
    <row r="1869" spans="1:13" x14ac:dyDescent="0.3">
      <c r="A1869">
        <v>1868</v>
      </c>
      <c r="B1869" t="s">
        <v>2527</v>
      </c>
      <c r="C1869" s="3">
        <v>13829</v>
      </c>
      <c r="D1869" t="s">
        <v>666</v>
      </c>
      <c r="E1869">
        <v>37</v>
      </c>
      <c r="F1869" s="1">
        <v>45561</v>
      </c>
      <c r="G1869" s="1" t="str">
        <f>TEXT(Table1[[#This Row],[Enrollment date]], "mmm")</f>
        <v>Sep</v>
      </c>
      <c r="H1869" t="s">
        <v>360</v>
      </c>
      <c r="I1869" t="s">
        <v>663</v>
      </c>
      <c r="J1869" t="str">
        <f>_xlfn.XLOOKUP(Table1[[#This Row],[Course ]], CCF!B:B, CCF!A:A)</f>
        <v>FSD103</v>
      </c>
      <c r="K1869" t="s">
        <v>366</v>
      </c>
      <c r="L1869">
        <f>_xlfn.XLOOKUP(K1869, CCF!B:B, CCF!C:C)</f>
        <v>109990</v>
      </c>
      <c r="M1869" t="s">
        <v>8</v>
      </c>
    </row>
    <row r="1870" spans="1:13" x14ac:dyDescent="0.3">
      <c r="A1870">
        <v>1869</v>
      </c>
      <c r="B1870" t="s">
        <v>2528</v>
      </c>
      <c r="C1870" s="3">
        <v>60209</v>
      </c>
      <c r="D1870" t="s">
        <v>666</v>
      </c>
      <c r="E1870">
        <v>40</v>
      </c>
      <c r="F1870" s="1">
        <v>45561</v>
      </c>
      <c r="G1870" s="1" t="str">
        <f>TEXT(Table1[[#This Row],[Enrollment date]], "mmm")</f>
        <v>Sep</v>
      </c>
      <c r="H1870" t="s">
        <v>360</v>
      </c>
      <c r="I1870" t="s">
        <v>660</v>
      </c>
      <c r="J1870" t="str">
        <f>_xlfn.XLOOKUP(Table1[[#This Row],[Course ]], CCF!B:B, CCF!A:A)</f>
        <v>BA301</v>
      </c>
      <c r="K1870" t="s">
        <v>364</v>
      </c>
      <c r="L1870">
        <f>_xlfn.XLOOKUP(K1870, CCF!B:B, CCF!C:C)</f>
        <v>59999</v>
      </c>
      <c r="M1870" t="s">
        <v>213</v>
      </c>
    </row>
    <row r="1871" spans="1:13" x14ac:dyDescent="0.3">
      <c r="A1871">
        <v>1870</v>
      </c>
      <c r="B1871" t="s">
        <v>2529</v>
      </c>
      <c r="C1871" s="3">
        <v>40508</v>
      </c>
      <c r="D1871" t="s">
        <v>666</v>
      </c>
      <c r="E1871">
        <v>39</v>
      </c>
      <c r="F1871" s="1">
        <v>45562</v>
      </c>
      <c r="G1871" s="1" t="str">
        <f>TEXT(Table1[[#This Row],[Enrollment date]], "mmm")</f>
        <v>Sep</v>
      </c>
      <c r="H1871" t="s">
        <v>360</v>
      </c>
      <c r="I1871" t="s">
        <v>662</v>
      </c>
      <c r="J1871" t="str">
        <f>_xlfn.XLOOKUP(Table1[[#This Row],[Course ]], CCF!B:B, CCF!A:A)</f>
        <v>DA202</v>
      </c>
      <c r="K1871" t="s">
        <v>363</v>
      </c>
      <c r="L1871">
        <f>_xlfn.XLOOKUP(K1871, CCF!B:B, CCF!C:C)</f>
        <v>79999</v>
      </c>
      <c r="M1871" t="s">
        <v>595</v>
      </c>
    </row>
    <row r="1872" spans="1:13" x14ac:dyDescent="0.3">
      <c r="A1872">
        <v>1871</v>
      </c>
      <c r="B1872" t="s">
        <v>2530</v>
      </c>
      <c r="C1872" s="3">
        <v>35059</v>
      </c>
      <c r="D1872" t="s">
        <v>666</v>
      </c>
      <c r="E1872">
        <v>28</v>
      </c>
      <c r="F1872" s="1">
        <v>45562</v>
      </c>
      <c r="G1872" s="1" t="str">
        <f>TEXT(Table1[[#This Row],[Enrollment date]], "mmm")</f>
        <v>Sep</v>
      </c>
      <c r="H1872" t="s">
        <v>360</v>
      </c>
      <c r="I1872" t="s">
        <v>662</v>
      </c>
      <c r="J1872" t="str">
        <f>_xlfn.XLOOKUP(Table1[[#This Row],[Course ]], CCF!B:B, CCF!A:A)</f>
        <v>DM101</v>
      </c>
      <c r="K1872" t="s">
        <v>365</v>
      </c>
      <c r="L1872">
        <f>_xlfn.XLOOKUP(K1872, CCF!B:B, CCF!C:C)</f>
        <v>85499</v>
      </c>
      <c r="M1872" t="s">
        <v>7</v>
      </c>
    </row>
    <row r="1873" spans="1:13" x14ac:dyDescent="0.3">
      <c r="A1873">
        <v>1872</v>
      </c>
      <c r="B1873" t="s">
        <v>2531</v>
      </c>
      <c r="C1873" s="3">
        <v>50465</v>
      </c>
      <c r="D1873" t="s">
        <v>666</v>
      </c>
      <c r="E1873">
        <v>62</v>
      </c>
      <c r="F1873" s="1">
        <v>45562</v>
      </c>
      <c r="G1873" s="1" t="str">
        <f>TEXT(Table1[[#This Row],[Enrollment date]], "mmm")</f>
        <v>Sep</v>
      </c>
      <c r="H1873" t="s">
        <v>360</v>
      </c>
      <c r="I1873" t="s">
        <v>661</v>
      </c>
      <c r="J1873" t="str">
        <f>_xlfn.XLOOKUP(Table1[[#This Row],[Course ]], CCF!B:B, CCF!A:A)</f>
        <v>DM101</v>
      </c>
      <c r="K1873" t="s">
        <v>365</v>
      </c>
      <c r="L1873">
        <f>_xlfn.XLOOKUP(K1873, CCF!B:B, CCF!C:C)</f>
        <v>85499</v>
      </c>
      <c r="M1873" t="s">
        <v>596</v>
      </c>
    </row>
    <row r="1874" spans="1:13" x14ac:dyDescent="0.3">
      <c r="A1874">
        <v>1873</v>
      </c>
      <c r="B1874" t="s">
        <v>2532</v>
      </c>
      <c r="C1874" s="3">
        <v>95789</v>
      </c>
      <c r="D1874" t="s">
        <v>666</v>
      </c>
      <c r="E1874">
        <v>30</v>
      </c>
      <c r="F1874" s="1">
        <v>45562</v>
      </c>
      <c r="G1874" s="1" t="str">
        <f>TEXT(Table1[[#This Row],[Enrollment date]], "mmm")</f>
        <v>Sep</v>
      </c>
      <c r="H1874" t="s">
        <v>360</v>
      </c>
      <c r="I1874" t="s">
        <v>659</v>
      </c>
      <c r="J1874" t="str">
        <f>_xlfn.XLOOKUP(Table1[[#This Row],[Course ]], CCF!B:B, CCF!A:A)</f>
        <v>DA202</v>
      </c>
      <c r="K1874" t="s">
        <v>363</v>
      </c>
      <c r="L1874">
        <f>_xlfn.XLOOKUP(K1874, CCF!B:B, CCF!C:C)</f>
        <v>79999</v>
      </c>
      <c r="M1874" t="s">
        <v>303</v>
      </c>
    </row>
    <row r="1875" spans="1:13" x14ac:dyDescent="0.3">
      <c r="A1875">
        <v>1874</v>
      </c>
      <c r="B1875" t="s">
        <v>2533</v>
      </c>
      <c r="C1875" s="3">
        <v>25589</v>
      </c>
      <c r="D1875" t="s">
        <v>666</v>
      </c>
      <c r="E1875">
        <v>34</v>
      </c>
      <c r="F1875" s="1">
        <v>45562</v>
      </c>
      <c r="G1875" s="1" t="str">
        <f>TEXT(Table1[[#This Row],[Enrollment date]], "mmm")</f>
        <v>Sep</v>
      </c>
      <c r="H1875" t="s">
        <v>360</v>
      </c>
      <c r="I1875" t="s">
        <v>660</v>
      </c>
      <c r="J1875" t="str">
        <f>_xlfn.XLOOKUP(Table1[[#This Row],[Course ]], CCF!B:B, CCF!A:A)</f>
        <v>DM101</v>
      </c>
      <c r="K1875" t="s">
        <v>365</v>
      </c>
      <c r="L1875">
        <f>_xlfn.XLOOKUP(K1875, CCF!B:B, CCF!C:C)</f>
        <v>85499</v>
      </c>
      <c r="M1875" t="s">
        <v>48</v>
      </c>
    </row>
    <row r="1876" spans="1:13" x14ac:dyDescent="0.3">
      <c r="A1876">
        <v>1875</v>
      </c>
      <c r="B1876" t="s">
        <v>2534</v>
      </c>
      <c r="C1876" s="3">
        <v>74435</v>
      </c>
      <c r="D1876" t="s">
        <v>667</v>
      </c>
      <c r="E1876">
        <v>38</v>
      </c>
      <c r="F1876" s="1">
        <v>45562</v>
      </c>
      <c r="G1876" s="1" t="str">
        <f>TEXT(Table1[[#This Row],[Enrollment date]], "mmm")</f>
        <v>Sep</v>
      </c>
      <c r="H1876" t="s">
        <v>360</v>
      </c>
      <c r="I1876" t="s">
        <v>659</v>
      </c>
      <c r="J1876" t="str">
        <f>_xlfn.XLOOKUP(Table1[[#This Row],[Course ]], CCF!B:B, CCF!A:A)</f>
        <v>DM101</v>
      </c>
      <c r="K1876" t="s">
        <v>365</v>
      </c>
      <c r="L1876">
        <f>_xlfn.XLOOKUP(K1876, CCF!B:B, CCF!C:C)</f>
        <v>85499</v>
      </c>
      <c r="M1876" t="s">
        <v>45</v>
      </c>
    </row>
    <row r="1877" spans="1:13" x14ac:dyDescent="0.3">
      <c r="A1877">
        <v>1876</v>
      </c>
      <c r="B1877" t="s">
        <v>2535</v>
      </c>
      <c r="C1877" s="3">
        <v>60417</v>
      </c>
      <c r="D1877" t="s">
        <v>666</v>
      </c>
      <c r="E1877">
        <v>40</v>
      </c>
      <c r="F1877" s="1">
        <v>45563</v>
      </c>
      <c r="G1877" s="1" t="str">
        <f>TEXT(Table1[[#This Row],[Enrollment date]], "mmm")</f>
        <v>Sep</v>
      </c>
      <c r="H1877" t="s">
        <v>360</v>
      </c>
      <c r="I1877" t="s">
        <v>660</v>
      </c>
      <c r="J1877" t="str">
        <f>_xlfn.XLOOKUP(Table1[[#This Row],[Course ]], CCF!B:B, CCF!A:A)</f>
        <v>DM101</v>
      </c>
      <c r="K1877" t="s">
        <v>365</v>
      </c>
      <c r="L1877">
        <f>_xlfn.XLOOKUP(K1877, CCF!B:B, CCF!C:C)</f>
        <v>85499</v>
      </c>
      <c r="M1877" t="s">
        <v>447</v>
      </c>
    </row>
    <row r="1878" spans="1:13" x14ac:dyDescent="0.3">
      <c r="A1878">
        <v>1877</v>
      </c>
      <c r="B1878" t="s">
        <v>2536</v>
      </c>
      <c r="C1878" s="3">
        <v>25519</v>
      </c>
      <c r="D1878" t="s">
        <v>666</v>
      </c>
      <c r="E1878">
        <v>23</v>
      </c>
      <c r="F1878" s="1">
        <v>45563</v>
      </c>
      <c r="G1878" s="1" t="str">
        <f>TEXT(Table1[[#This Row],[Enrollment date]], "mmm")</f>
        <v>Sep</v>
      </c>
      <c r="H1878" t="s">
        <v>360</v>
      </c>
      <c r="I1878" t="s">
        <v>660</v>
      </c>
      <c r="J1878" t="str">
        <f>_xlfn.XLOOKUP(Table1[[#This Row],[Course ]], CCF!B:B, CCF!A:A)</f>
        <v>DM101</v>
      </c>
      <c r="K1878" t="s">
        <v>365</v>
      </c>
      <c r="L1878">
        <f>_xlfn.XLOOKUP(K1878, CCF!B:B, CCF!C:C)</f>
        <v>85499</v>
      </c>
      <c r="M1878" t="s">
        <v>109</v>
      </c>
    </row>
    <row r="1879" spans="1:13" x14ac:dyDescent="0.3">
      <c r="A1879">
        <v>1878</v>
      </c>
      <c r="B1879" t="s">
        <v>2537</v>
      </c>
      <c r="C1879" s="3">
        <v>92049</v>
      </c>
      <c r="D1879" t="s">
        <v>666</v>
      </c>
      <c r="E1879">
        <v>22</v>
      </c>
      <c r="F1879" s="1">
        <v>45563</v>
      </c>
      <c r="G1879" s="1" t="str">
        <f>TEXT(Table1[[#This Row],[Enrollment date]], "mmm")</f>
        <v>Sep</v>
      </c>
      <c r="H1879" t="s">
        <v>360</v>
      </c>
      <c r="I1879" t="s">
        <v>662</v>
      </c>
      <c r="J1879" t="str">
        <f>_xlfn.XLOOKUP(Table1[[#This Row],[Course ]], CCF!B:B, CCF!A:A)</f>
        <v>DA202</v>
      </c>
      <c r="K1879" t="s">
        <v>363</v>
      </c>
      <c r="L1879">
        <f>_xlfn.XLOOKUP(K1879, CCF!B:B, CCF!C:C)</f>
        <v>79999</v>
      </c>
      <c r="M1879" t="s">
        <v>214</v>
      </c>
    </row>
    <row r="1880" spans="1:13" x14ac:dyDescent="0.3">
      <c r="A1880">
        <v>1879</v>
      </c>
      <c r="B1880" t="s">
        <v>2538</v>
      </c>
      <c r="C1880" s="3">
        <v>93819</v>
      </c>
      <c r="D1880" t="s">
        <v>666</v>
      </c>
      <c r="E1880">
        <v>23</v>
      </c>
      <c r="F1880" s="1">
        <v>45563</v>
      </c>
      <c r="G1880" s="1" t="str">
        <f>TEXT(Table1[[#This Row],[Enrollment date]], "mmm")</f>
        <v>Sep</v>
      </c>
      <c r="H1880" t="s">
        <v>360</v>
      </c>
      <c r="I1880" t="s">
        <v>663</v>
      </c>
      <c r="J1880" t="str">
        <f>_xlfn.XLOOKUP(Table1[[#This Row],[Course ]], CCF!B:B, CCF!A:A)</f>
        <v>DM101</v>
      </c>
      <c r="K1880" t="s">
        <v>365</v>
      </c>
      <c r="L1880">
        <f>_xlfn.XLOOKUP(K1880, CCF!B:B, CCF!C:C)</f>
        <v>85499</v>
      </c>
      <c r="M1880" t="s">
        <v>18</v>
      </c>
    </row>
    <row r="1881" spans="1:13" x14ac:dyDescent="0.3">
      <c r="A1881">
        <v>1880</v>
      </c>
      <c r="B1881" t="s">
        <v>2539</v>
      </c>
      <c r="C1881" s="3">
        <v>86221</v>
      </c>
      <c r="D1881" t="s">
        <v>667</v>
      </c>
      <c r="E1881">
        <v>39</v>
      </c>
      <c r="F1881" s="1">
        <v>45563</v>
      </c>
      <c r="G1881" s="1" t="str">
        <f>TEXT(Table1[[#This Row],[Enrollment date]], "mmm")</f>
        <v>Sep</v>
      </c>
      <c r="H1881" t="s">
        <v>360</v>
      </c>
      <c r="I1881" t="s">
        <v>663</v>
      </c>
      <c r="J1881" t="str">
        <f>_xlfn.XLOOKUP(Table1[[#This Row],[Course ]], CCF!B:B, CCF!A:A)</f>
        <v>DA202</v>
      </c>
      <c r="K1881" t="s">
        <v>363</v>
      </c>
      <c r="L1881">
        <f>_xlfn.XLOOKUP(K1881, CCF!B:B, CCF!C:C)</f>
        <v>79999</v>
      </c>
      <c r="M1881" t="s">
        <v>27</v>
      </c>
    </row>
    <row r="1882" spans="1:13" x14ac:dyDescent="0.3">
      <c r="A1882">
        <v>1881</v>
      </c>
      <c r="B1882" t="s">
        <v>2540</v>
      </c>
      <c r="C1882" s="3">
        <v>75795</v>
      </c>
      <c r="D1882" t="s">
        <v>666</v>
      </c>
      <c r="E1882">
        <v>37</v>
      </c>
      <c r="F1882" s="1">
        <v>45563</v>
      </c>
      <c r="G1882" s="1" t="str">
        <f>TEXT(Table1[[#This Row],[Enrollment date]], "mmm")</f>
        <v>Sep</v>
      </c>
      <c r="H1882" t="s">
        <v>360</v>
      </c>
      <c r="I1882" t="s">
        <v>660</v>
      </c>
      <c r="J1882" t="str">
        <f>_xlfn.XLOOKUP(Table1[[#This Row],[Course ]], CCF!B:B, CCF!A:A)</f>
        <v>DM101</v>
      </c>
      <c r="K1882" t="s">
        <v>365</v>
      </c>
      <c r="L1882">
        <f>_xlfn.XLOOKUP(K1882, CCF!B:B, CCF!C:C)</f>
        <v>85499</v>
      </c>
      <c r="M1882" t="s">
        <v>30</v>
      </c>
    </row>
    <row r="1883" spans="1:13" x14ac:dyDescent="0.3">
      <c r="A1883">
        <v>1882</v>
      </c>
      <c r="B1883" t="s">
        <v>2541</v>
      </c>
      <c r="C1883" s="3">
        <v>16020</v>
      </c>
      <c r="D1883" t="s">
        <v>666</v>
      </c>
      <c r="E1883">
        <v>18</v>
      </c>
      <c r="F1883" s="1">
        <v>45563</v>
      </c>
      <c r="G1883" s="1" t="str">
        <f>TEXT(Table1[[#This Row],[Enrollment date]], "mmm")</f>
        <v>Sep</v>
      </c>
      <c r="H1883" t="s">
        <v>360</v>
      </c>
      <c r="I1883" t="s">
        <v>659</v>
      </c>
      <c r="J1883" t="str">
        <f>_xlfn.XLOOKUP(Table1[[#This Row],[Course ]], CCF!B:B, CCF!A:A)</f>
        <v>DM101</v>
      </c>
      <c r="K1883" t="s">
        <v>365</v>
      </c>
      <c r="L1883">
        <f>_xlfn.XLOOKUP(K1883, CCF!B:B, CCF!C:C)</f>
        <v>85499</v>
      </c>
      <c r="M1883" t="s">
        <v>163</v>
      </c>
    </row>
    <row r="1884" spans="1:13" x14ac:dyDescent="0.3">
      <c r="A1884">
        <v>1883</v>
      </c>
      <c r="B1884" t="s">
        <v>2542</v>
      </c>
      <c r="C1884" s="3">
        <v>75628</v>
      </c>
      <c r="D1884" t="s">
        <v>666</v>
      </c>
      <c r="E1884">
        <v>40</v>
      </c>
      <c r="F1884" s="1">
        <v>45563</v>
      </c>
      <c r="G1884" s="1" t="str">
        <f>TEXT(Table1[[#This Row],[Enrollment date]], "mmm")</f>
        <v>Sep</v>
      </c>
      <c r="H1884" t="s">
        <v>360</v>
      </c>
      <c r="I1884" t="s">
        <v>660</v>
      </c>
      <c r="J1884" t="str">
        <f>_xlfn.XLOOKUP(Table1[[#This Row],[Course ]], CCF!B:B, CCF!A:A)</f>
        <v>DM101</v>
      </c>
      <c r="K1884" t="s">
        <v>365</v>
      </c>
      <c r="L1884">
        <f>_xlfn.XLOOKUP(K1884, CCF!B:B, CCF!C:C)</f>
        <v>85499</v>
      </c>
      <c r="M1884" t="s">
        <v>140</v>
      </c>
    </row>
    <row r="1885" spans="1:13" x14ac:dyDescent="0.3">
      <c r="A1885">
        <v>1884</v>
      </c>
      <c r="B1885" t="s">
        <v>2543</v>
      </c>
      <c r="C1885" s="3">
        <v>20547</v>
      </c>
      <c r="D1885" t="s">
        <v>667</v>
      </c>
      <c r="E1885">
        <v>34</v>
      </c>
      <c r="F1885" s="1">
        <v>45564</v>
      </c>
      <c r="G1885" s="1" t="str">
        <f>TEXT(Table1[[#This Row],[Enrollment date]], "mmm")</f>
        <v>Sep</v>
      </c>
      <c r="H1885" t="s">
        <v>360</v>
      </c>
      <c r="I1885" t="s">
        <v>660</v>
      </c>
      <c r="J1885" t="str">
        <f>_xlfn.XLOOKUP(Table1[[#This Row],[Course ]], CCF!B:B, CCF!A:A)</f>
        <v>FSD103</v>
      </c>
      <c r="K1885" t="s">
        <v>366</v>
      </c>
      <c r="L1885">
        <f>_xlfn.XLOOKUP(K1885, CCF!B:B, CCF!C:C)</f>
        <v>109990</v>
      </c>
      <c r="M1885" t="s">
        <v>278</v>
      </c>
    </row>
    <row r="1886" spans="1:13" x14ac:dyDescent="0.3">
      <c r="A1886">
        <v>1885</v>
      </c>
      <c r="B1886" t="s">
        <v>2544</v>
      </c>
      <c r="C1886" s="3">
        <v>57824</v>
      </c>
      <c r="D1886" t="s">
        <v>666</v>
      </c>
      <c r="E1886">
        <v>18</v>
      </c>
      <c r="F1886" s="1">
        <v>45564</v>
      </c>
      <c r="G1886" s="1" t="str">
        <f>TEXT(Table1[[#This Row],[Enrollment date]], "mmm")</f>
        <v>Sep</v>
      </c>
      <c r="H1886" t="s">
        <v>360</v>
      </c>
      <c r="I1886" t="s">
        <v>664</v>
      </c>
      <c r="J1886" t="str">
        <f>_xlfn.XLOOKUP(Table1[[#This Row],[Course ]], CCF!B:B, CCF!A:A)</f>
        <v>DA202</v>
      </c>
      <c r="K1886" t="s">
        <v>363</v>
      </c>
      <c r="L1886">
        <f>_xlfn.XLOOKUP(K1886, CCF!B:B, CCF!C:C)</f>
        <v>79999</v>
      </c>
      <c r="M1886" t="s">
        <v>144</v>
      </c>
    </row>
    <row r="1887" spans="1:13" x14ac:dyDescent="0.3">
      <c r="A1887">
        <v>1886</v>
      </c>
      <c r="B1887" t="s">
        <v>2545</v>
      </c>
      <c r="C1887" s="3">
        <v>56474</v>
      </c>
      <c r="D1887" t="s">
        <v>666</v>
      </c>
      <c r="E1887">
        <v>40</v>
      </c>
      <c r="F1887" s="1">
        <v>45564</v>
      </c>
      <c r="G1887" s="1" t="str">
        <f>TEXT(Table1[[#This Row],[Enrollment date]], "mmm")</f>
        <v>Sep</v>
      </c>
      <c r="H1887" t="s">
        <v>360</v>
      </c>
      <c r="I1887" t="s">
        <v>661</v>
      </c>
      <c r="J1887" t="str">
        <f>_xlfn.XLOOKUP(Table1[[#This Row],[Course ]], CCF!B:B, CCF!A:A)</f>
        <v>DM101</v>
      </c>
      <c r="K1887" t="s">
        <v>365</v>
      </c>
      <c r="L1887">
        <f>_xlfn.XLOOKUP(K1887, CCF!B:B, CCF!C:C)</f>
        <v>85499</v>
      </c>
      <c r="M1887" t="s">
        <v>30</v>
      </c>
    </row>
    <row r="1888" spans="1:13" x14ac:dyDescent="0.3">
      <c r="A1888">
        <v>1887</v>
      </c>
      <c r="B1888" t="s">
        <v>2546</v>
      </c>
      <c r="C1888" s="3">
        <v>88530</v>
      </c>
      <c r="D1888" t="s">
        <v>666</v>
      </c>
      <c r="E1888">
        <v>42</v>
      </c>
      <c r="F1888" s="1">
        <v>45564</v>
      </c>
      <c r="G1888" s="1" t="str">
        <f>TEXT(Table1[[#This Row],[Enrollment date]], "mmm")</f>
        <v>Sep</v>
      </c>
      <c r="H1888" t="s">
        <v>360</v>
      </c>
      <c r="I1888" t="s">
        <v>660</v>
      </c>
      <c r="J1888" t="str">
        <f>_xlfn.XLOOKUP(Table1[[#This Row],[Course ]], CCF!B:B, CCF!A:A)</f>
        <v>DM101</v>
      </c>
      <c r="K1888" t="s">
        <v>365</v>
      </c>
      <c r="L1888">
        <f>_xlfn.XLOOKUP(K1888, CCF!B:B, CCF!C:C)</f>
        <v>85499</v>
      </c>
      <c r="M1888" t="s">
        <v>597</v>
      </c>
    </row>
    <row r="1889" spans="1:13" x14ac:dyDescent="0.3">
      <c r="A1889">
        <v>1888</v>
      </c>
      <c r="B1889" t="s">
        <v>2547</v>
      </c>
      <c r="C1889" s="3">
        <v>85202</v>
      </c>
      <c r="D1889" t="s">
        <v>667</v>
      </c>
      <c r="E1889">
        <v>35</v>
      </c>
      <c r="F1889" s="1">
        <v>45565</v>
      </c>
      <c r="G1889" s="1" t="str">
        <f>TEXT(Table1[[#This Row],[Enrollment date]], "mmm")</f>
        <v>Sep</v>
      </c>
      <c r="H1889" t="s">
        <v>360</v>
      </c>
      <c r="I1889" t="s">
        <v>661</v>
      </c>
      <c r="J1889" t="str">
        <f>_xlfn.XLOOKUP(Table1[[#This Row],[Course ]], CCF!B:B, CCF!A:A)</f>
        <v>DM101</v>
      </c>
      <c r="K1889" t="s">
        <v>365</v>
      </c>
      <c r="L1889">
        <f>_xlfn.XLOOKUP(K1889, CCF!B:B, CCF!C:C)</f>
        <v>85499</v>
      </c>
      <c r="M1889" t="s">
        <v>144</v>
      </c>
    </row>
    <row r="1890" spans="1:13" x14ac:dyDescent="0.3">
      <c r="A1890">
        <v>1889</v>
      </c>
      <c r="B1890" t="s">
        <v>2548</v>
      </c>
      <c r="C1890" s="3">
        <v>40823</v>
      </c>
      <c r="D1890" t="s">
        <v>666</v>
      </c>
      <c r="E1890">
        <v>41</v>
      </c>
      <c r="F1890" s="1">
        <v>45565</v>
      </c>
      <c r="G1890" s="1" t="str">
        <f>TEXT(Table1[[#This Row],[Enrollment date]], "mmm")</f>
        <v>Sep</v>
      </c>
      <c r="H1890" t="s">
        <v>360</v>
      </c>
      <c r="I1890" t="s">
        <v>660</v>
      </c>
      <c r="J1890" t="str">
        <f>_xlfn.XLOOKUP(Table1[[#This Row],[Course ]], CCF!B:B, CCF!A:A)</f>
        <v>DM101</v>
      </c>
      <c r="K1890" t="s">
        <v>365</v>
      </c>
      <c r="L1890">
        <f>_xlfn.XLOOKUP(K1890, CCF!B:B, CCF!C:C)</f>
        <v>85499</v>
      </c>
      <c r="M1890" t="s">
        <v>143</v>
      </c>
    </row>
    <row r="1891" spans="1:13" x14ac:dyDescent="0.3">
      <c r="A1891">
        <v>1890</v>
      </c>
      <c r="B1891" t="s">
        <v>2549</v>
      </c>
      <c r="C1891" s="3">
        <v>29046</v>
      </c>
      <c r="D1891" t="s">
        <v>667</v>
      </c>
      <c r="E1891">
        <v>42</v>
      </c>
      <c r="F1891" s="1">
        <v>45565</v>
      </c>
      <c r="G1891" s="1" t="str">
        <f>TEXT(Table1[[#This Row],[Enrollment date]], "mmm")</f>
        <v>Sep</v>
      </c>
      <c r="H1891" t="s">
        <v>360</v>
      </c>
      <c r="I1891" t="s">
        <v>661</v>
      </c>
      <c r="J1891" t="str">
        <f>_xlfn.XLOOKUP(Table1[[#This Row],[Course ]], CCF!B:B, CCF!A:A)</f>
        <v>BA301</v>
      </c>
      <c r="K1891" t="s">
        <v>364</v>
      </c>
      <c r="L1891">
        <f>_xlfn.XLOOKUP(K1891, CCF!B:B, CCF!C:C)</f>
        <v>59999</v>
      </c>
      <c r="M1891" t="s">
        <v>27</v>
      </c>
    </row>
    <row r="1892" spans="1:13" x14ac:dyDescent="0.3">
      <c r="A1892">
        <v>1891</v>
      </c>
      <c r="B1892" t="s">
        <v>2550</v>
      </c>
      <c r="C1892" s="3">
        <v>15199</v>
      </c>
      <c r="D1892" t="s">
        <v>666</v>
      </c>
      <c r="E1892">
        <v>29</v>
      </c>
      <c r="F1892" s="1">
        <v>45565</v>
      </c>
      <c r="G1892" s="1" t="str">
        <f>TEXT(Table1[[#This Row],[Enrollment date]], "mmm")</f>
        <v>Sep</v>
      </c>
      <c r="H1892" t="s">
        <v>360</v>
      </c>
      <c r="I1892" t="s">
        <v>661</v>
      </c>
      <c r="J1892" t="str">
        <f>_xlfn.XLOOKUP(Table1[[#This Row],[Course ]], CCF!B:B, CCF!A:A)</f>
        <v>DM101</v>
      </c>
      <c r="K1892" t="s">
        <v>365</v>
      </c>
      <c r="L1892">
        <f>_xlfn.XLOOKUP(K1892, CCF!B:B, CCF!C:C)</f>
        <v>85499</v>
      </c>
      <c r="M1892" t="s">
        <v>17</v>
      </c>
    </row>
    <row r="1893" spans="1:13" x14ac:dyDescent="0.3">
      <c r="A1893">
        <v>1892</v>
      </c>
      <c r="B1893" t="s">
        <v>2551</v>
      </c>
      <c r="C1893" s="3">
        <v>74129</v>
      </c>
      <c r="D1893" t="s">
        <v>666</v>
      </c>
      <c r="E1893">
        <v>25</v>
      </c>
      <c r="F1893" s="1">
        <v>45565</v>
      </c>
      <c r="G1893" s="1" t="str">
        <f>TEXT(Table1[[#This Row],[Enrollment date]], "mmm")</f>
        <v>Sep</v>
      </c>
      <c r="H1893" t="s">
        <v>360</v>
      </c>
      <c r="I1893" t="s">
        <v>659</v>
      </c>
      <c r="J1893" t="str">
        <f>_xlfn.XLOOKUP(Table1[[#This Row],[Course ]], CCF!B:B, CCF!A:A)</f>
        <v>BA301</v>
      </c>
      <c r="K1893" t="s">
        <v>364</v>
      </c>
      <c r="L1893">
        <f>_xlfn.XLOOKUP(K1893, CCF!B:B, CCF!C:C)</f>
        <v>59999</v>
      </c>
      <c r="M1893" t="s">
        <v>598</v>
      </c>
    </row>
    <row r="1894" spans="1:13" x14ac:dyDescent="0.3">
      <c r="A1894">
        <v>1893</v>
      </c>
      <c r="B1894" t="s">
        <v>2552</v>
      </c>
      <c r="C1894" s="3">
        <v>72553</v>
      </c>
      <c r="D1894" t="s">
        <v>666</v>
      </c>
      <c r="E1894">
        <v>18</v>
      </c>
      <c r="F1894" s="1">
        <v>45565</v>
      </c>
      <c r="G1894" s="1" t="str">
        <f>TEXT(Table1[[#This Row],[Enrollment date]], "mmm")</f>
        <v>Sep</v>
      </c>
      <c r="H1894" t="s">
        <v>360</v>
      </c>
      <c r="I1894" t="s">
        <v>660</v>
      </c>
      <c r="J1894" t="str">
        <f>_xlfn.XLOOKUP(Table1[[#This Row],[Course ]], CCF!B:B, CCF!A:A)</f>
        <v>DM101</v>
      </c>
      <c r="K1894" t="s">
        <v>365</v>
      </c>
      <c r="L1894">
        <f>_xlfn.XLOOKUP(K1894, CCF!B:B, CCF!C:C)</f>
        <v>85499</v>
      </c>
      <c r="M1894" t="s">
        <v>38</v>
      </c>
    </row>
    <row r="1895" spans="1:13" x14ac:dyDescent="0.3">
      <c r="A1895">
        <v>1894</v>
      </c>
      <c r="B1895" t="s">
        <v>2553</v>
      </c>
      <c r="C1895" s="3">
        <v>32299</v>
      </c>
      <c r="D1895" t="s">
        <v>667</v>
      </c>
      <c r="E1895">
        <v>47</v>
      </c>
      <c r="F1895" s="1">
        <v>45566</v>
      </c>
      <c r="G1895" s="1" t="str">
        <f>TEXT(Table1[[#This Row],[Enrollment date]], "mmm")</f>
        <v>Oct</v>
      </c>
      <c r="H1895" t="s">
        <v>360</v>
      </c>
      <c r="I1895" t="s">
        <v>660</v>
      </c>
      <c r="J1895" t="str">
        <f>_xlfn.XLOOKUP(Table1[[#This Row],[Course ]], CCF!B:B, CCF!A:A)</f>
        <v>DA202</v>
      </c>
      <c r="K1895" t="s">
        <v>363</v>
      </c>
      <c r="L1895">
        <f>_xlfn.XLOOKUP(K1895, CCF!B:B, CCF!C:C)</f>
        <v>79999</v>
      </c>
      <c r="M1895" t="s">
        <v>257</v>
      </c>
    </row>
    <row r="1896" spans="1:13" x14ac:dyDescent="0.3">
      <c r="A1896">
        <v>1895</v>
      </c>
      <c r="B1896" t="s">
        <v>2554</v>
      </c>
      <c r="C1896" s="3">
        <v>45035</v>
      </c>
      <c r="D1896" t="s">
        <v>666</v>
      </c>
      <c r="E1896">
        <v>27</v>
      </c>
      <c r="F1896" s="1">
        <v>45566</v>
      </c>
      <c r="G1896" s="1" t="str">
        <f>TEXT(Table1[[#This Row],[Enrollment date]], "mmm")</f>
        <v>Oct</v>
      </c>
      <c r="H1896" t="s">
        <v>361</v>
      </c>
      <c r="I1896" t="s">
        <v>664</v>
      </c>
      <c r="J1896" t="str">
        <f>_xlfn.XLOOKUP(Table1[[#This Row],[Course ]], CCF!B:B, CCF!A:A)</f>
        <v>DM101</v>
      </c>
      <c r="K1896" t="s">
        <v>365</v>
      </c>
      <c r="L1896">
        <f>_xlfn.XLOOKUP(K1896, CCF!B:B, CCF!C:C)</f>
        <v>85499</v>
      </c>
      <c r="M1896" t="s">
        <v>134</v>
      </c>
    </row>
    <row r="1897" spans="1:13" x14ac:dyDescent="0.3">
      <c r="A1897">
        <v>1896</v>
      </c>
      <c r="B1897" t="s">
        <v>2555</v>
      </c>
      <c r="C1897" s="3">
        <v>44814</v>
      </c>
      <c r="D1897" t="s">
        <v>666</v>
      </c>
      <c r="E1897">
        <v>47</v>
      </c>
      <c r="F1897" s="1">
        <v>45566</v>
      </c>
      <c r="G1897" s="1" t="str">
        <f>TEXT(Table1[[#This Row],[Enrollment date]], "mmm")</f>
        <v>Oct</v>
      </c>
      <c r="H1897" t="s">
        <v>361</v>
      </c>
      <c r="I1897" t="s">
        <v>662</v>
      </c>
      <c r="J1897" t="str">
        <f>_xlfn.XLOOKUP(Table1[[#This Row],[Course ]], CCF!B:B, CCF!A:A)</f>
        <v>DA202</v>
      </c>
      <c r="K1897" t="s">
        <v>363</v>
      </c>
      <c r="L1897">
        <f>_xlfn.XLOOKUP(K1897, CCF!B:B, CCF!C:C)</f>
        <v>79999</v>
      </c>
      <c r="M1897" t="s">
        <v>18</v>
      </c>
    </row>
    <row r="1898" spans="1:13" x14ac:dyDescent="0.3">
      <c r="A1898">
        <v>1897</v>
      </c>
      <c r="B1898" t="s">
        <v>2556</v>
      </c>
      <c r="C1898" s="3">
        <v>45653</v>
      </c>
      <c r="D1898" t="s">
        <v>666</v>
      </c>
      <c r="E1898">
        <v>49</v>
      </c>
      <c r="F1898" s="1">
        <v>45566</v>
      </c>
      <c r="G1898" s="1" t="str">
        <f>TEXT(Table1[[#This Row],[Enrollment date]], "mmm")</f>
        <v>Oct</v>
      </c>
      <c r="H1898" t="s">
        <v>360</v>
      </c>
      <c r="I1898" t="s">
        <v>659</v>
      </c>
      <c r="J1898" t="str">
        <f>_xlfn.XLOOKUP(Table1[[#This Row],[Course ]], CCF!B:B, CCF!A:A)</f>
        <v>BA301</v>
      </c>
      <c r="K1898" t="s">
        <v>364</v>
      </c>
      <c r="L1898">
        <f>_xlfn.XLOOKUP(K1898, CCF!B:B, CCF!C:C)</f>
        <v>59999</v>
      </c>
      <c r="M1898" t="s">
        <v>18</v>
      </c>
    </row>
    <row r="1899" spans="1:13" x14ac:dyDescent="0.3">
      <c r="A1899">
        <v>1898</v>
      </c>
      <c r="B1899" t="s">
        <v>2557</v>
      </c>
      <c r="C1899" s="3">
        <v>57932</v>
      </c>
      <c r="D1899" t="s">
        <v>667</v>
      </c>
      <c r="E1899">
        <v>30</v>
      </c>
      <c r="F1899" s="1">
        <v>45566</v>
      </c>
      <c r="G1899" s="1" t="str">
        <f>TEXT(Table1[[#This Row],[Enrollment date]], "mmm")</f>
        <v>Oct</v>
      </c>
      <c r="H1899" t="s">
        <v>360</v>
      </c>
      <c r="I1899" t="s">
        <v>660</v>
      </c>
      <c r="J1899" t="str">
        <f>_xlfn.XLOOKUP(Table1[[#This Row],[Course ]], CCF!B:B, CCF!A:A)</f>
        <v>DM101</v>
      </c>
      <c r="K1899" t="s">
        <v>365</v>
      </c>
      <c r="L1899">
        <f>_xlfn.XLOOKUP(K1899, CCF!B:B, CCF!C:C)</f>
        <v>85499</v>
      </c>
      <c r="M1899" t="s">
        <v>30</v>
      </c>
    </row>
    <row r="1900" spans="1:13" x14ac:dyDescent="0.3">
      <c r="A1900">
        <v>1899</v>
      </c>
      <c r="B1900" t="s">
        <v>2558</v>
      </c>
      <c r="C1900" s="3">
        <v>50724</v>
      </c>
      <c r="D1900" t="s">
        <v>667</v>
      </c>
      <c r="E1900">
        <v>36</v>
      </c>
      <c r="F1900" s="1">
        <v>45566</v>
      </c>
      <c r="G1900" s="1" t="str">
        <f>TEXT(Table1[[#This Row],[Enrollment date]], "mmm")</f>
        <v>Oct</v>
      </c>
      <c r="H1900" t="s">
        <v>360</v>
      </c>
      <c r="I1900" t="s">
        <v>660</v>
      </c>
      <c r="J1900" t="str">
        <f>_xlfn.XLOOKUP(Table1[[#This Row],[Course ]], CCF!B:B, CCF!A:A)</f>
        <v>DM101</v>
      </c>
      <c r="K1900" t="s">
        <v>365</v>
      </c>
      <c r="L1900">
        <f>_xlfn.XLOOKUP(K1900, CCF!B:B, CCF!C:C)</f>
        <v>85499</v>
      </c>
      <c r="M1900" t="s">
        <v>180</v>
      </c>
    </row>
    <row r="1901" spans="1:13" x14ac:dyDescent="0.3">
      <c r="A1901">
        <v>1900</v>
      </c>
      <c r="B1901" t="s">
        <v>2559</v>
      </c>
      <c r="C1901" s="3">
        <v>91810</v>
      </c>
      <c r="D1901" t="s">
        <v>666</v>
      </c>
      <c r="E1901">
        <v>58</v>
      </c>
      <c r="F1901" s="1">
        <v>45566</v>
      </c>
      <c r="G1901" s="1" t="str">
        <f>TEXT(Table1[[#This Row],[Enrollment date]], "mmm")</f>
        <v>Oct</v>
      </c>
      <c r="H1901" t="s">
        <v>360</v>
      </c>
      <c r="I1901" t="s">
        <v>660</v>
      </c>
      <c r="J1901" t="str">
        <f>_xlfn.XLOOKUP(Table1[[#This Row],[Course ]], CCF!B:B, CCF!A:A)</f>
        <v>DM101</v>
      </c>
      <c r="K1901" t="s">
        <v>365</v>
      </c>
      <c r="L1901">
        <f>_xlfn.XLOOKUP(K1901, CCF!B:B, CCF!C:C)</f>
        <v>85499</v>
      </c>
      <c r="M1901" t="s">
        <v>20</v>
      </c>
    </row>
    <row r="1902" spans="1:13" x14ac:dyDescent="0.3">
      <c r="A1902">
        <v>1901</v>
      </c>
      <c r="B1902" t="s">
        <v>2560</v>
      </c>
      <c r="C1902" s="3">
        <v>34119</v>
      </c>
      <c r="D1902" t="s">
        <v>667</v>
      </c>
      <c r="E1902">
        <v>60</v>
      </c>
      <c r="F1902" s="1">
        <v>45566</v>
      </c>
      <c r="G1902" s="1" t="str">
        <f>TEXT(Table1[[#This Row],[Enrollment date]], "mmm")</f>
        <v>Oct</v>
      </c>
      <c r="H1902" t="s">
        <v>360</v>
      </c>
      <c r="I1902" t="s">
        <v>661</v>
      </c>
      <c r="J1902" t="str">
        <f>_xlfn.XLOOKUP(Table1[[#This Row],[Course ]], CCF!B:B, CCF!A:A)</f>
        <v>DA202</v>
      </c>
      <c r="K1902" t="s">
        <v>363</v>
      </c>
      <c r="L1902">
        <f>_xlfn.XLOOKUP(K1902, CCF!B:B, CCF!C:C)</f>
        <v>79999</v>
      </c>
      <c r="M1902" t="s">
        <v>27</v>
      </c>
    </row>
    <row r="1903" spans="1:13" x14ac:dyDescent="0.3">
      <c r="A1903">
        <v>1902</v>
      </c>
      <c r="B1903" t="s">
        <v>2561</v>
      </c>
      <c r="C1903" s="3">
        <v>55166</v>
      </c>
      <c r="D1903" t="s">
        <v>666</v>
      </c>
      <c r="E1903">
        <v>48</v>
      </c>
      <c r="F1903" s="1">
        <v>45567</v>
      </c>
      <c r="G1903" s="1" t="str">
        <f>TEXT(Table1[[#This Row],[Enrollment date]], "mmm")</f>
        <v>Oct</v>
      </c>
      <c r="H1903" t="s">
        <v>360</v>
      </c>
      <c r="I1903" t="s">
        <v>659</v>
      </c>
      <c r="J1903" t="str">
        <f>_xlfn.XLOOKUP(Table1[[#This Row],[Course ]], CCF!B:B, CCF!A:A)</f>
        <v>DM101</v>
      </c>
      <c r="K1903" t="s">
        <v>365</v>
      </c>
      <c r="L1903">
        <f>_xlfn.XLOOKUP(K1903, CCF!B:B, CCF!C:C)</f>
        <v>85499</v>
      </c>
      <c r="M1903" t="s">
        <v>115</v>
      </c>
    </row>
    <row r="1904" spans="1:13" x14ac:dyDescent="0.3">
      <c r="A1904">
        <v>1903</v>
      </c>
      <c r="B1904" t="s">
        <v>2562</v>
      </c>
      <c r="C1904" s="3">
        <v>85787</v>
      </c>
      <c r="D1904" t="s">
        <v>666</v>
      </c>
      <c r="E1904">
        <v>25</v>
      </c>
      <c r="F1904" s="1">
        <v>45567</v>
      </c>
      <c r="G1904" s="1" t="str">
        <f>TEXT(Table1[[#This Row],[Enrollment date]], "mmm")</f>
        <v>Oct</v>
      </c>
      <c r="H1904" t="s">
        <v>360</v>
      </c>
      <c r="I1904" t="s">
        <v>660</v>
      </c>
      <c r="J1904" t="str">
        <f>_xlfn.XLOOKUP(Table1[[#This Row],[Course ]], CCF!B:B, CCF!A:A)</f>
        <v>BA301</v>
      </c>
      <c r="K1904" t="s">
        <v>364</v>
      </c>
      <c r="L1904">
        <f>_xlfn.XLOOKUP(K1904, CCF!B:B, CCF!C:C)</f>
        <v>59999</v>
      </c>
      <c r="M1904" t="s">
        <v>9</v>
      </c>
    </row>
    <row r="1905" spans="1:13" x14ac:dyDescent="0.3">
      <c r="A1905">
        <v>1904</v>
      </c>
      <c r="B1905" t="s">
        <v>2563</v>
      </c>
      <c r="C1905" s="3">
        <v>98854</v>
      </c>
      <c r="D1905" t="s">
        <v>666</v>
      </c>
      <c r="E1905">
        <v>18</v>
      </c>
      <c r="F1905" s="1">
        <v>45567</v>
      </c>
      <c r="G1905" s="1" t="str">
        <f>TEXT(Table1[[#This Row],[Enrollment date]], "mmm")</f>
        <v>Oct</v>
      </c>
      <c r="H1905" t="s">
        <v>360</v>
      </c>
      <c r="I1905" t="s">
        <v>660</v>
      </c>
      <c r="J1905" t="str">
        <f>_xlfn.XLOOKUP(Table1[[#This Row],[Course ]], CCF!B:B, CCF!A:A)</f>
        <v>DM101</v>
      </c>
      <c r="K1905" t="s">
        <v>365</v>
      </c>
      <c r="L1905">
        <f>_xlfn.XLOOKUP(K1905, CCF!B:B, CCF!C:C)</f>
        <v>85499</v>
      </c>
      <c r="M1905" t="s">
        <v>48</v>
      </c>
    </row>
    <row r="1906" spans="1:13" x14ac:dyDescent="0.3">
      <c r="A1906">
        <v>1905</v>
      </c>
      <c r="B1906" t="s">
        <v>2564</v>
      </c>
      <c r="C1906" s="3">
        <v>72592</v>
      </c>
      <c r="D1906" t="s">
        <v>666</v>
      </c>
      <c r="E1906">
        <v>49</v>
      </c>
      <c r="F1906" s="1">
        <v>45567</v>
      </c>
      <c r="G1906" s="1" t="str">
        <f>TEXT(Table1[[#This Row],[Enrollment date]], "mmm")</f>
        <v>Oct</v>
      </c>
      <c r="H1906" t="s">
        <v>360</v>
      </c>
      <c r="I1906" t="s">
        <v>662</v>
      </c>
      <c r="J1906" t="str">
        <f>_xlfn.XLOOKUP(Table1[[#This Row],[Course ]], CCF!B:B, CCF!A:A)</f>
        <v>BA301</v>
      </c>
      <c r="K1906" t="s">
        <v>364</v>
      </c>
      <c r="L1906">
        <f>_xlfn.XLOOKUP(K1906, CCF!B:B, CCF!C:C)</f>
        <v>59999</v>
      </c>
      <c r="M1906" t="s">
        <v>9</v>
      </c>
    </row>
    <row r="1907" spans="1:13" x14ac:dyDescent="0.3">
      <c r="A1907">
        <v>1906</v>
      </c>
      <c r="B1907" t="s">
        <v>2565</v>
      </c>
      <c r="C1907" s="3">
        <v>20094</v>
      </c>
      <c r="D1907" t="s">
        <v>666</v>
      </c>
      <c r="E1907">
        <v>33</v>
      </c>
      <c r="F1907" s="1">
        <v>45567</v>
      </c>
      <c r="G1907" s="1" t="str">
        <f>TEXT(Table1[[#This Row],[Enrollment date]], "mmm")</f>
        <v>Oct</v>
      </c>
      <c r="H1907" t="s">
        <v>360</v>
      </c>
      <c r="I1907" t="s">
        <v>660</v>
      </c>
      <c r="J1907" t="str">
        <f>_xlfn.XLOOKUP(Table1[[#This Row],[Course ]], CCF!B:B, CCF!A:A)</f>
        <v>DA202</v>
      </c>
      <c r="K1907" t="s">
        <v>363</v>
      </c>
      <c r="L1907">
        <f>_xlfn.XLOOKUP(K1907, CCF!B:B, CCF!C:C)</f>
        <v>79999</v>
      </c>
      <c r="M1907" t="s">
        <v>9</v>
      </c>
    </row>
    <row r="1908" spans="1:13" x14ac:dyDescent="0.3">
      <c r="A1908">
        <v>1907</v>
      </c>
      <c r="B1908" t="s">
        <v>2566</v>
      </c>
      <c r="C1908" s="3">
        <v>35483</v>
      </c>
      <c r="D1908" t="s">
        <v>666</v>
      </c>
      <c r="E1908">
        <v>39</v>
      </c>
      <c r="F1908" s="1">
        <v>45567</v>
      </c>
      <c r="G1908" s="1" t="str">
        <f>TEXT(Table1[[#This Row],[Enrollment date]], "mmm")</f>
        <v>Oct</v>
      </c>
      <c r="H1908" t="s">
        <v>360</v>
      </c>
      <c r="I1908" t="s">
        <v>659</v>
      </c>
      <c r="J1908" t="str">
        <f>_xlfn.XLOOKUP(Table1[[#This Row],[Course ]], CCF!B:B, CCF!A:A)</f>
        <v>DA202</v>
      </c>
      <c r="K1908" t="s">
        <v>363</v>
      </c>
      <c r="L1908">
        <f>_xlfn.XLOOKUP(K1908, CCF!B:B, CCF!C:C)</f>
        <v>79999</v>
      </c>
      <c r="M1908" t="s">
        <v>144</v>
      </c>
    </row>
    <row r="1909" spans="1:13" x14ac:dyDescent="0.3">
      <c r="A1909">
        <v>1908</v>
      </c>
      <c r="B1909" t="s">
        <v>2567</v>
      </c>
      <c r="C1909" s="3">
        <v>73664</v>
      </c>
      <c r="D1909" t="s">
        <v>666</v>
      </c>
      <c r="E1909">
        <v>37</v>
      </c>
      <c r="F1909" s="1">
        <v>45568</v>
      </c>
      <c r="G1909" s="1" t="str">
        <f>TEXT(Table1[[#This Row],[Enrollment date]], "mmm")</f>
        <v>Oct</v>
      </c>
      <c r="H1909" t="s">
        <v>360</v>
      </c>
      <c r="I1909" t="s">
        <v>660</v>
      </c>
      <c r="J1909" t="str">
        <f>_xlfn.XLOOKUP(Table1[[#This Row],[Course ]], CCF!B:B, CCF!A:A)</f>
        <v>DM101</v>
      </c>
      <c r="K1909" t="s">
        <v>365</v>
      </c>
      <c r="L1909">
        <f>_xlfn.XLOOKUP(K1909, CCF!B:B, CCF!C:C)</f>
        <v>85499</v>
      </c>
      <c r="M1909" t="s">
        <v>20</v>
      </c>
    </row>
    <row r="1910" spans="1:13" x14ac:dyDescent="0.3">
      <c r="A1910">
        <v>1909</v>
      </c>
      <c r="B1910" t="s">
        <v>2568</v>
      </c>
      <c r="C1910" s="3">
        <v>93018</v>
      </c>
      <c r="D1910" t="s">
        <v>666</v>
      </c>
      <c r="E1910">
        <v>57</v>
      </c>
      <c r="F1910" s="1">
        <v>45568</v>
      </c>
      <c r="G1910" s="1" t="str">
        <f>TEXT(Table1[[#This Row],[Enrollment date]], "mmm")</f>
        <v>Oct</v>
      </c>
      <c r="H1910" t="s">
        <v>3</v>
      </c>
      <c r="I1910" t="s">
        <v>665</v>
      </c>
      <c r="J1910" t="str">
        <f>_xlfn.XLOOKUP(Table1[[#This Row],[Course ]], CCF!B:B, CCF!A:A)</f>
        <v>DA202</v>
      </c>
      <c r="K1910" t="s">
        <v>363</v>
      </c>
      <c r="L1910">
        <f>_xlfn.XLOOKUP(K1910, CCF!B:B, CCF!C:C)</f>
        <v>79999</v>
      </c>
      <c r="M1910" t="s">
        <v>44</v>
      </c>
    </row>
    <row r="1911" spans="1:13" x14ac:dyDescent="0.3">
      <c r="A1911">
        <v>1910</v>
      </c>
      <c r="B1911" t="s">
        <v>2569</v>
      </c>
      <c r="C1911" s="3">
        <v>60203</v>
      </c>
      <c r="D1911" t="s">
        <v>667</v>
      </c>
      <c r="E1911">
        <v>41</v>
      </c>
      <c r="F1911" s="1">
        <v>45568</v>
      </c>
      <c r="G1911" s="1" t="str">
        <f>TEXT(Table1[[#This Row],[Enrollment date]], "mmm")</f>
        <v>Oct</v>
      </c>
      <c r="H1911" t="s">
        <v>360</v>
      </c>
      <c r="I1911" t="s">
        <v>660</v>
      </c>
      <c r="J1911" t="str">
        <f>_xlfn.XLOOKUP(Table1[[#This Row],[Course ]], CCF!B:B, CCF!A:A)</f>
        <v>DA202</v>
      </c>
      <c r="K1911" t="s">
        <v>363</v>
      </c>
      <c r="L1911">
        <f>_xlfn.XLOOKUP(K1911, CCF!B:B, CCF!C:C)</f>
        <v>79999</v>
      </c>
      <c r="M1911" t="s">
        <v>20</v>
      </c>
    </row>
    <row r="1912" spans="1:13" x14ac:dyDescent="0.3">
      <c r="A1912">
        <v>1911</v>
      </c>
      <c r="B1912" t="s">
        <v>2570</v>
      </c>
      <c r="C1912" s="3">
        <v>89158</v>
      </c>
      <c r="D1912" t="s">
        <v>667</v>
      </c>
      <c r="E1912">
        <v>26</v>
      </c>
      <c r="F1912" s="1">
        <v>45568</v>
      </c>
      <c r="G1912" s="1" t="str">
        <f>TEXT(Table1[[#This Row],[Enrollment date]], "mmm")</f>
        <v>Oct</v>
      </c>
      <c r="H1912" t="s">
        <v>360</v>
      </c>
      <c r="I1912" t="s">
        <v>659</v>
      </c>
      <c r="J1912" t="str">
        <f>_xlfn.XLOOKUP(Table1[[#This Row],[Course ]], CCF!B:B, CCF!A:A)</f>
        <v>DA202</v>
      </c>
      <c r="K1912" t="s">
        <v>363</v>
      </c>
      <c r="L1912">
        <f>_xlfn.XLOOKUP(K1912, CCF!B:B, CCF!C:C)</f>
        <v>79999</v>
      </c>
      <c r="M1912" t="s">
        <v>599</v>
      </c>
    </row>
    <row r="1913" spans="1:13" x14ac:dyDescent="0.3">
      <c r="A1913">
        <v>1912</v>
      </c>
      <c r="B1913" t="s">
        <v>2571</v>
      </c>
      <c r="C1913" s="3">
        <v>23477</v>
      </c>
      <c r="D1913" t="s">
        <v>667</v>
      </c>
      <c r="E1913">
        <v>40</v>
      </c>
      <c r="F1913" s="1">
        <v>45568</v>
      </c>
      <c r="G1913" s="1" t="str">
        <f>TEXT(Table1[[#This Row],[Enrollment date]], "mmm")</f>
        <v>Oct</v>
      </c>
      <c r="H1913" t="s">
        <v>360</v>
      </c>
      <c r="I1913" t="s">
        <v>661</v>
      </c>
      <c r="J1913" t="str">
        <f>_xlfn.XLOOKUP(Table1[[#This Row],[Course ]], CCF!B:B, CCF!A:A)</f>
        <v>DA202</v>
      </c>
      <c r="K1913" t="s">
        <v>363</v>
      </c>
      <c r="L1913">
        <f>_xlfn.XLOOKUP(K1913, CCF!B:B, CCF!C:C)</f>
        <v>79999</v>
      </c>
      <c r="M1913" t="s">
        <v>16</v>
      </c>
    </row>
    <row r="1914" spans="1:13" x14ac:dyDescent="0.3">
      <c r="A1914">
        <v>1913</v>
      </c>
      <c r="B1914" t="s">
        <v>2572</v>
      </c>
      <c r="C1914" s="3">
        <v>71464</v>
      </c>
      <c r="D1914" t="s">
        <v>667</v>
      </c>
      <c r="E1914">
        <v>40</v>
      </c>
      <c r="F1914" s="1">
        <v>45568</v>
      </c>
      <c r="G1914" s="1" t="str">
        <f>TEXT(Table1[[#This Row],[Enrollment date]], "mmm")</f>
        <v>Oct</v>
      </c>
      <c r="H1914" t="s">
        <v>360</v>
      </c>
      <c r="I1914" t="s">
        <v>660</v>
      </c>
      <c r="J1914" t="str">
        <f>_xlfn.XLOOKUP(Table1[[#This Row],[Course ]], CCF!B:B, CCF!A:A)</f>
        <v>BA301</v>
      </c>
      <c r="K1914" t="s">
        <v>364</v>
      </c>
      <c r="L1914">
        <f>_xlfn.XLOOKUP(K1914, CCF!B:B, CCF!C:C)</f>
        <v>59999</v>
      </c>
      <c r="M1914" t="s">
        <v>238</v>
      </c>
    </row>
    <row r="1915" spans="1:13" x14ac:dyDescent="0.3">
      <c r="A1915">
        <v>1914</v>
      </c>
      <c r="B1915" t="s">
        <v>2573</v>
      </c>
      <c r="C1915" s="3">
        <v>59116</v>
      </c>
      <c r="D1915" t="s">
        <v>666</v>
      </c>
      <c r="E1915">
        <v>31</v>
      </c>
      <c r="F1915" s="1">
        <v>45568</v>
      </c>
      <c r="G1915" s="1" t="str">
        <f>TEXT(Table1[[#This Row],[Enrollment date]], "mmm")</f>
        <v>Oct</v>
      </c>
      <c r="H1915" t="s">
        <v>360</v>
      </c>
      <c r="I1915" t="s">
        <v>663</v>
      </c>
      <c r="J1915" t="str">
        <f>_xlfn.XLOOKUP(Table1[[#This Row],[Course ]], CCF!B:B, CCF!A:A)</f>
        <v>HR201</v>
      </c>
      <c r="K1915" t="s">
        <v>3152</v>
      </c>
      <c r="L1915">
        <f>_xlfn.XLOOKUP(K1915, CCF!B:B, CCF!C:C)</f>
        <v>41999</v>
      </c>
      <c r="M1915" t="s">
        <v>27</v>
      </c>
    </row>
    <row r="1916" spans="1:13" x14ac:dyDescent="0.3">
      <c r="A1916">
        <v>1915</v>
      </c>
      <c r="B1916" t="s">
        <v>2574</v>
      </c>
      <c r="C1916" s="3">
        <v>15680</v>
      </c>
      <c r="D1916" t="s">
        <v>666</v>
      </c>
      <c r="E1916">
        <v>21</v>
      </c>
      <c r="F1916" s="1">
        <v>45569</v>
      </c>
      <c r="G1916" s="1" t="str">
        <f>TEXT(Table1[[#This Row],[Enrollment date]], "mmm")</f>
        <v>Oct</v>
      </c>
      <c r="H1916" t="s">
        <v>360</v>
      </c>
      <c r="I1916" t="s">
        <v>660</v>
      </c>
      <c r="J1916" t="str">
        <f>_xlfn.XLOOKUP(Table1[[#This Row],[Course ]], CCF!B:B, CCF!A:A)</f>
        <v>UX401</v>
      </c>
      <c r="K1916" t="s">
        <v>367</v>
      </c>
      <c r="L1916">
        <f>_xlfn.XLOOKUP(K1916, CCF!B:B, CCF!C:C)</f>
        <v>67990</v>
      </c>
      <c r="M1916" t="s">
        <v>9</v>
      </c>
    </row>
    <row r="1917" spans="1:13" x14ac:dyDescent="0.3">
      <c r="A1917">
        <v>1916</v>
      </c>
      <c r="B1917" t="s">
        <v>2575</v>
      </c>
      <c r="C1917" s="3">
        <v>15713</v>
      </c>
      <c r="D1917" t="s">
        <v>666</v>
      </c>
      <c r="E1917">
        <v>49</v>
      </c>
      <c r="F1917" s="1">
        <v>45569</v>
      </c>
      <c r="G1917" s="1" t="str">
        <f>TEXT(Table1[[#This Row],[Enrollment date]], "mmm")</f>
        <v>Oct</v>
      </c>
      <c r="H1917" t="s">
        <v>360</v>
      </c>
      <c r="I1917" t="s">
        <v>661</v>
      </c>
      <c r="J1917" t="str">
        <f>_xlfn.XLOOKUP(Table1[[#This Row],[Course ]], CCF!B:B, CCF!A:A)</f>
        <v>BA301</v>
      </c>
      <c r="K1917" t="s">
        <v>364</v>
      </c>
      <c r="L1917">
        <f>_xlfn.XLOOKUP(K1917, CCF!B:B, CCF!C:C)</f>
        <v>59999</v>
      </c>
      <c r="M1917" t="s">
        <v>17</v>
      </c>
    </row>
    <row r="1918" spans="1:13" x14ac:dyDescent="0.3">
      <c r="A1918">
        <v>1917</v>
      </c>
      <c r="B1918" t="s">
        <v>2576</v>
      </c>
      <c r="C1918" s="3">
        <v>12888</v>
      </c>
      <c r="D1918" t="s">
        <v>666</v>
      </c>
      <c r="E1918">
        <v>21</v>
      </c>
      <c r="F1918" s="1">
        <v>45569</v>
      </c>
      <c r="G1918" s="1" t="str">
        <f>TEXT(Table1[[#This Row],[Enrollment date]], "mmm")</f>
        <v>Oct</v>
      </c>
      <c r="H1918" t="s">
        <v>360</v>
      </c>
      <c r="I1918" t="s">
        <v>662</v>
      </c>
      <c r="J1918" t="str">
        <f>_xlfn.XLOOKUP(Table1[[#This Row],[Course ]], CCF!B:B, CCF!A:A)</f>
        <v>BA301</v>
      </c>
      <c r="K1918" t="s">
        <v>364</v>
      </c>
      <c r="L1918">
        <f>_xlfn.XLOOKUP(K1918, CCF!B:B, CCF!C:C)</f>
        <v>59999</v>
      </c>
      <c r="M1918" t="s">
        <v>120</v>
      </c>
    </row>
    <row r="1919" spans="1:13" x14ac:dyDescent="0.3">
      <c r="A1919">
        <v>1918</v>
      </c>
      <c r="B1919" t="s">
        <v>2577</v>
      </c>
      <c r="C1919" s="3">
        <v>79171</v>
      </c>
      <c r="D1919" t="s">
        <v>667</v>
      </c>
      <c r="E1919">
        <v>46</v>
      </c>
      <c r="F1919" s="1">
        <v>45569</v>
      </c>
      <c r="G1919" s="1" t="str">
        <f>TEXT(Table1[[#This Row],[Enrollment date]], "mmm")</f>
        <v>Oct</v>
      </c>
      <c r="H1919" t="s">
        <v>360</v>
      </c>
      <c r="I1919" t="s">
        <v>661</v>
      </c>
      <c r="J1919" t="str">
        <f>_xlfn.XLOOKUP(Table1[[#This Row],[Course ]], CCF!B:B, CCF!A:A)</f>
        <v>BA301</v>
      </c>
      <c r="K1919" t="s">
        <v>364</v>
      </c>
      <c r="L1919">
        <f>_xlfn.XLOOKUP(K1919, CCF!B:B, CCF!C:C)</f>
        <v>59999</v>
      </c>
      <c r="M1919" t="s">
        <v>600</v>
      </c>
    </row>
    <row r="1920" spans="1:13" x14ac:dyDescent="0.3">
      <c r="A1920">
        <v>1919</v>
      </c>
      <c r="B1920" t="s">
        <v>2578</v>
      </c>
      <c r="C1920" s="3">
        <v>86988</v>
      </c>
      <c r="D1920" t="s">
        <v>667</v>
      </c>
      <c r="E1920">
        <v>42</v>
      </c>
      <c r="F1920" s="1">
        <v>45569</v>
      </c>
      <c r="G1920" s="1" t="str">
        <f>TEXT(Table1[[#This Row],[Enrollment date]], "mmm")</f>
        <v>Oct</v>
      </c>
      <c r="H1920" t="s">
        <v>360</v>
      </c>
      <c r="I1920" t="s">
        <v>661</v>
      </c>
      <c r="J1920" t="str">
        <f>_xlfn.XLOOKUP(Table1[[#This Row],[Course ]], CCF!B:B, CCF!A:A)</f>
        <v>DA202</v>
      </c>
      <c r="K1920" t="s">
        <v>363</v>
      </c>
      <c r="L1920">
        <f>_xlfn.XLOOKUP(K1920, CCF!B:B, CCF!C:C)</f>
        <v>79999</v>
      </c>
      <c r="M1920" t="s">
        <v>601</v>
      </c>
    </row>
    <row r="1921" spans="1:13" x14ac:dyDescent="0.3">
      <c r="A1921">
        <v>1920</v>
      </c>
      <c r="B1921" t="s">
        <v>2579</v>
      </c>
      <c r="C1921" s="3">
        <v>17139</v>
      </c>
      <c r="D1921" t="s">
        <v>667</v>
      </c>
      <c r="E1921">
        <v>32</v>
      </c>
      <c r="F1921" s="1">
        <v>45569</v>
      </c>
      <c r="G1921" s="1" t="str">
        <f>TEXT(Table1[[#This Row],[Enrollment date]], "mmm")</f>
        <v>Oct</v>
      </c>
      <c r="H1921" t="s">
        <v>360</v>
      </c>
      <c r="I1921" t="s">
        <v>661</v>
      </c>
      <c r="J1921" t="str">
        <f>_xlfn.XLOOKUP(Table1[[#This Row],[Course ]], CCF!B:B, CCF!A:A)</f>
        <v>DA202</v>
      </c>
      <c r="K1921" t="s">
        <v>363</v>
      </c>
      <c r="L1921">
        <f>_xlfn.XLOOKUP(K1921, CCF!B:B, CCF!C:C)</f>
        <v>79999</v>
      </c>
      <c r="M1921" t="s">
        <v>69</v>
      </c>
    </row>
    <row r="1922" spans="1:13" x14ac:dyDescent="0.3">
      <c r="A1922">
        <v>1921</v>
      </c>
      <c r="B1922" t="s">
        <v>2580</v>
      </c>
      <c r="C1922" s="3">
        <v>41667</v>
      </c>
      <c r="D1922" t="s">
        <v>666</v>
      </c>
      <c r="E1922">
        <v>59</v>
      </c>
      <c r="F1922" s="1">
        <v>45569</v>
      </c>
      <c r="G1922" s="1" t="str">
        <f>TEXT(Table1[[#This Row],[Enrollment date]], "mmm")</f>
        <v>Oct</v>
      </c>
      <c r="H1922" t="s">
        <v>360</v>
      </c>
      <c r="I1922" t="s">
        <v>660</v>
      </c>
      <c r="J1922" t="str">
        <f>_xlfn.XLOOKUP(Table1[[#This Row],[Course ]], CCF!B:B, CCF!A:A)</f>
        <v>AI001</v>
      </c>
      <c r="K1922" t="s">
        <v>368</v>
      </c>
      <c r="L1922">
        <f>_xlfn.XLOOKUP(K1922, CCF!B:B, CCF!C:C)</f>
        <v>119990</v>
      </c>
      <c r="M1922" t="s">
        <v>138</v>
      </c>
    </row>
    <row r="1923" spans="1:13" x14ac:dyDescent="0.3">
      <c r="A1923">
        <v>1922</v>
      </c>
      <c r="B1923" t="s">
        <v>2581</v>
      </c>
      <c r="C1923" s="3">
        <v>65662</v>
      </c>
      <c r="D1923" t="s">
        <v>666</v>
      </c>
      <c r="E1923">
        <v>32</v>
      </c>
      <c r="F1923" s="1">
        <v>45569</v>
      </c>
      <c r="G1923" s="1" t="str">
        <f>TEXT(Table1[[#This Row],[Enrollment date]], "mmm")</f>
        <v>Oct</v>
      </c>
      <c r="H1923" t="s">
        <v>360</v>
      </c>
      <c r="I1923" t="s">
        <v>659</v>
      </c>
      <c r="J1923" t="str">
        <f>_xlfn.XLOOKUP(Table1[[#This Row],[Course ]], CCF!B:B, CCF!A:A)</f>
        <v>UX401</v>
      </c>
      <c r="K1923" t="s">
        <v>367</v>
      </c>
      <c r="L1923">
        <f>_xlfn.XLOOKUP(K1923, CCF!B:B, CCF!C:C)</f>
        <v>67990</v>
      </c>
      <c r="M1923" t="s">
        <v>133</v>
      </c>
    </row>
    <row r="1924" spans="1:13" x14ac:dyDescent="0.3">
      <c r="A1924">
        <v>1923</v>
      </c>
      <c r="B1924" t="s">
        <v>2582</v>
      </c>
      <c r="C1924" s="3">
        <v>67449</v>
      </c>
      <c r="D1924" t="s">
        <v>666</v>
      </c>
      <c r="E1924">
        <v>61</v>
      </c>
      <c r="F1924" s="1">
        <v>45570</v>
      </c>
      <c r="G1924" s="1" t="str">
        <f>TEXT(Table1[[#This Row],[Enrollment date]], "mmm")</f>
        <v>Oct</v>
      </c>
      <c r="H1924" t="s">
        <v>360</v>
      </c>
      <c r="I1924" t="s">
        <v>659</v>
      </c>
      <c r="J1924" t="str">
        <f>_xlfn.XLOOKUP(Table1[[#This Row],[Course ]], CCF!B:B, CCF!A:A)</f>
        <v>DM101</v>
      </c>
      <c r="K1924" t="s">
        <v>365</v>
      </c>
      <c r="L1924">
        <f>_xlfn.XLOOKUP(K1924, CCF!B:B, CCF!C:C)</f>
        <v>85499</v>
      </c>
      <c r="M1924" t="s">
        <v>148</v>
      </c>
    </row>
    <row r="1925" spans="1:13" x14ac:dyDescent="0.3">
      <c r="A1925">
        <v>1924</v>
      </c>
      <c r="B1925" t="s">
        <v>2583</v>
      </c>
      <c r="C1925" s="3">
        <v>20513</v>
      </c>
      <c r="D1925" t="s">
        <v>666</v>
      </c>
      <c r="E1925">
        <v>42</v>
      </c>
      <c r="F1925" s="1">
        <v>45570</v>
      </c>
      <c r="G1925" s="1" t="str">
        <f>TEXT(Table1[[#This Row],[Enrollment date]], "mmm")</f>
        <v>Oct</v>
      </c>
      <c r="H1925" t="s">
        <v>360</v>
      </c>
      <c r="I1925" t="s">
        <v>660</v>
      </c>
      <c r="J1925" t="str">
        <f>_xlfn.XLOOKUP(Table1[[#This Row],[Course ]], CCF!B:B, CCF!A:A)</f>
        <v>DM101</v>
      </c>
      <c r="K1925" t="s">
        <v>365</v>
      </c>
      <c r="L1925">
        <f>_xlfn.XLOOKUP(K1925, CCF!B:B, CCF!C:C)</f>
        <v>85499</v>
      </c>
      <c r="M1925" t="s">
        <v>15</v>
      </c>
    </row>
    <row r="1926" spans="1:13" x14ac:dyDescent="0.3">
      <c r="A1926">
        <v>1925</v>
      </c>
      <c r="B1926" t="s">
        <v>2584</v>
      </c>
      <c r="C1926" s="3">
        <v>33232</v>
      </c>
      <c r="D1926" t="s">
        <v>666</v>
      </c>
      <c r="E1926">
        <v>41</v>
      </c>
      <c r="F1926" s="1">
        <v>45570</v>
      </c>
      <c r="G1926" s="1" t="str">
        <f>TEXT(Table1[[#This Row],[Enrollment date]], "mmm")</f>
        <v>Oct</v>
      </c>
      <c r="H1926" t="s">
        <v>360</v>
      </c>
      <c r="I1926" t="s">
        <v>665</v>
      </c>
      <c r="J1926" t="str">
        <f>_xlfn.XLOOKUP(Table1[[#This Row],[Course ]], CCF!B:B, CCF!A:A)</f>
        <v>BA301</v>
      </c>
      <c r="K1926" t="s">
        <v>364</v>
      </c>
      <c r="L1926">
        <f>_xlfn.XLOOKUP(K1926, CCF!B:B, CCF!C:C)</f>
        <v>59999</v>
      </c>
      <c r="M1926" t="s">
        <v>53</v>
      </c>
    </row>
    <row r="1927" spans="1:13" x14ac:dyDescent="0.3">
      <c r="A1927">
        <v>1926</v>
      </c>
      <c r="B1927" t="s">
        <v>2585</v>
      </c>
      <c r="C1927" s="3">
        <v>86621</v>
      </c>
      <c r="D1927" t="s">
        <v>667</v>
      </c>
      <c r="E1927">
        <v>27</v>
      </c>
      <c r="F1927" s="1">
        <v>45570</v>
      </c>
      <c r="G1927" s="1" t="str">
        <f>TEXT(Table1[[#This Row],[Enrollment date]], "mmm")</f>
        <v>Oct</v>
      </c>
      <c r="H1927" t="s">
        <v>360</v>
      </c>
      <c r="I1927" t="s">
        <v>661</v>
      </c>
      <c r="J1927" t="str">
        <f>_xlfn.XLOOKUP(Table1[[#This Row],[Course ]], CCF!B:B, CCF!A:A)</f>
        <v>DM101</v>
      </c>
      <c r="K1927" t="s">
        <v>365</v>
      </c>
      <c r="L1927">
        <f>_xlfn.XLOOKUP(K1927, CCF!B:B, CCF!C:C)</f>
        <v>85499</v>
      </c>
      <c r="M1927" t="s">
        <v>50</v>
      </c>
    </row>
    <row r="1928" spans="1:13" x14ac:dyDescent="0.3">
      <c r="A1928">
        <v>1927</v>
      </c>
      <c r="B1928" t="s">
        <v>2586</v>
      </c>
      <c r="C1928" s="3">
        <v>91261</v>
      </c>
      <c r="D1928" t="s">
        <v>667</v>
      </c>
      <c r="E1928">
        <v>40</v>
      </c>
      <c r="F1928" s="1">
        <v>45570</v>
      </c>
      <c r="G1928" s="1" t="str">
        <f>TEXT(Table1[[#This Row],[Enrollment date]], "mmm")</f>
        <v>Oct</v>
      </c>
      <c r="H1928" t="s">
        <v>360</v>
      </c>
      <c r="I1928" t="s">
        <v>662</v>
      </c>
      <c r="J1928" t="str">
        <f>_xlfn.XLOOKUP(Table1[[#This Row],[Course ]], CCF!B:B, CCF!A:A)</f>
        <v>BA301</v>
      </c>
      <c r="K1928" t="s">
        <v>364</v>
      </c>
      <c r="L1928">
        <f>_xlfn.XLOOKUP(K1928, CCF!B:B, CCF!C:C)</f>
        <v>59999</v>
      </c>
      <c r="M1928" t="s">
        <v>238</v>
      </c>
    </row>
    <row r="1929" spans="1:13" x14ac:dyDescent="0.3">
      <c r="A1929">
        <v>1928</v>
      </c>
      <c r="B1929" t="s">
        <v>2587</v>
      </c>
      <c r="C1929" s="3">
        <v>65124</v>
      </c>
      <c r="D1929" t="s">
        <v>667</v>
      </c>
      <c r="E1929">
        <v>24</v>
      </c>
      <c r="F1929" s="1">
        <v>45570</v>
      </c>
      <c r="G1929" s="1" t="str">
        <f>TEXT(Table1[[#This Row],[Enrollment date]], "mmm")</f>
        <v>Oct</v>
      </c>
      <c r="H1929" t="s">
        <v>360</v>
      </c>
      <c r="I1929" t="s">
        <v>660</v>
      </c>
      <c r="J1929" t="str">
        <f>_xlfn.XLOOKUP(Table1[[#This Row],[Course ]], CCF!B:B, CCF!A:A)</f>
        <v>UX401</v>
      </c>
      <c r="K1929" t="s">
        <v>367</v>
      </c>
      <c r="L1929">
        <f>_xlfn.XLOOKUP(K1929, CCF!B:B, CCF!C:C)</f>
        <v>67990</v>
      </c>
      <c r="M1929" t="s">
        <v>9</v>
      </c>
    </row>
    <row r="1930" spans="1:13" x14ac:dyDescent="0.3">
      <c r="A1930">
        <v>1929</v>
      </c>
      <c r="B1930" t="s">
        <v>2588</v>
      </c>
      <c r="C1930" s="3">
        <v>70745</v>
      </c>
      <c r="D1930" t="s">
        <v>666</v>
      </c>
      <c r="E1930">
        <v>62</v>
      </c>
      <c r="F1930" s="1">
        <v>45571</v>
      </c>
      <c r="G1930" s="1" t="str">
        <f>TEXT(Table1[[#This Row],[Enrollment date]], "mmm")</f>
        <v>Oct</v>
      </c>
      <c r="H1930" t="s">
        <v>360</v>
      </c>
      <c r="I1930" t="s">
        <v>660</v>
      </c>
      <c r="J1930" t="str">
        <f>_xlfn.XLOOKUP(Table1[[#This Row],[Course ]], CCF!B:B, CCF!A:A)</f>
        <v>DA202</v>
      </c>
      <c r="K1930" t="s">
        <v>363</v>
      </c>
      <c r="L1930">
        <f>_xlfn.XLOOKUP(K1930, CCF!B:B, CCF!C:C)</f>
        <v>79999</v>
      </c>
      <c r="M1930" t="s">
        <v>116</v>
      </c>
    </row>
    <row r="1931" spans="1:13" x14ac:dyDescent="0.3">
      <c r="A1931">
        <v>1930</v>
      </c>
      <c r="B1931" t="s">
        <v>2589</v>
      </c>
      <c r="C1931" s="3">
        <v>58414</v>
      </c>
      <c r="D1931" t="s">
        <v>666</v>
      </c>
      <c r="E1931">
        <v>19</v>
      </c>
      <c r="F1931" s="1">
        <v>45571</v>
      </c>
      <c r="G1931" s="1" t="str">
        <f>TEXT(Table1[[#This Row],[Enrollment date]], "mmm")</f>
        <v>Oct</v>
      </c>
      <c r="H1931" t="s">
        <v>360</v>
      </c>
      <c r="I1931" t="s">
        <v>663</v>
      </c>
      <c r="J1931" t="str">
        <f>_xlfn.XLOOKUP(Table1[[#This Row],[Course ]], CCF!B:B, CCF!A:A)</f>
        <v>BA301</v>
      </c>
      <c r="K1931" t="s">
        <v>364</v>
      </c>
      <c r="L1931">
        <f>_xlfn.XLOOKUP(K1931, CCF!B:B, CCF!C:C)</f>
        <v>59999</v>
      </c>
      <c r="M1931" t="s">
        <v>45</v>
      </c>
    </row>
    <row r="1932" spans="1:13" x14ac:dyDescent="0.3">
      <c r="A1932">
        <v>1931</v>
      </c>
      <c r="B1932" t="s">
        <v>2590</v>
      </c>
      <c r="C1932" s="3">
        <v>82650</v>
      </c>
      <c r="D1932" t="s">
        <v>667</v>
      </c>
      <c r="E1932">
        <v>19</v>
      </c>
      <c r="F1932" s="1">
        <v>45571</v>
      </c>
      <c r="G1932" s="1" t="str">
        <f>TEXT(Table1[[#This Row],[Enrollment date]], "mmm")</f>
        <v>Oct</v>
      </c>
      <c r="H1932" t="s">
        <v>360</v>
      </c>
      <c r="I1932" t="s">
        <v>660</v>
      </c>
      <c r="J1932" t="str">
        <f>_xlfn.XLOOKUP(Table1[[#This Row],[Course ]], CCF!B:B, CCF!A:A)</f>
        <v>DM101</v>
      </c>
      <c r="K1932" t="s">
        <v>365</v>
      </c>
      <c r="L1932">
        <f>_xlfn.XLOOKUP(K1932, CCF!B:B, CCF!C:C)</f>
        <v>85499</v>
      </c>
      <c r="M1932" t="s">
        <v>602</v>
      </c>
    </row>
    <row r="1933" spans="1:13" x14ac:dyDescent="0.3">
      <c r="A1933">
        <v>1932</v>
      </c>
      <c r="B1933" t="s">
        <v>2591</v>
      </c>
      <c r="C1933" s="3">
        <v>12785</v>
      </c>
      <c r="D1933" t="s">
        <v>667</v>
      </c>
      <c r="E1933">
        <v>41</v>
      </c>
      <c r="F1933" s="1">
        <v>45571</v>
      </c>
      <c r="G1933" s="1" t="str">
        <f>TEXT(Table1[[#This Row],[Enrollment date]], "mmm")</f>
        <v>Oct</v>
      </c>
      <c r="H1933" t="s">
        <v>360</v>
      </c>
      <c r="I1933" t="s">
        <v>659</v>
      </c>
      <c r="J1933" t="str">
        <f>_xlfn.XLOOKUP(Table1[[#This Row],[Course ]], CCF!B:B, CCF!A:A)</f>
        <v>BA301</v>
      </c>
      <c r="K1933" t="s">
        <v>364</v>
      </c>
      <c r="L1933">
        <f>_xlfn.XLOOKUP(K1933, CCF!B:B, CCF!C:C)</f>
        <v>59999</v>
      </c>
      <c r="M1933" t="s">
        <v>43</v>
      </c>
    </row>
    <row r="1934" spans="1:13" x14ac:dyDescent="0.3">
      <c r="A1934">
        <v>1933</v>
      </c>
      <c r="B1934" t="s">
        <v>2592</v>
      </c>
      <c r="C1934" s="3">
        <v>34025</v>
      </c>
      <c r="D1934" t="s">
        <v>667</v>
      </c>
      <c r="E1934">
        <v>28</v>
      </c>
      <c r="F1934" s="1">
        <v>45572</v>
      </c>
      <c r="G1934" s="1" t="str">
        <f>TEXT(Table1[[#This Row],[Enrollment date]], "mmm")</f>
        <v>Oct</v>
      </c>
      <c r="H1934" t="s">
        <v>360</v>
      </c>
      <c r="I1934" t="s">
        <v>662</v>
      </c>
      <c r="J1934" t="str">
        <f>_xlfn.XLOOKUP(Table1[[#This Row],[Course ]], CCF!B:B, CCF!A:A)</f>
        <v>DM101</v>
      </c>
      <c r="K1934" t="s">
        <v>365</v>
      </c>
      <c r="L1934">
        <f>_xlfn.XLOOKUP(K1934, CCF!B:B, CCF!C:C)</f>
        <v>85499</v>
      </c>
      <c r="M1934" t="s">
        <v>181</v>
      </c>
    </row>
    <row r="1935" spans="1:13" x14ac:dyDescent="0.3">
      <c r="A1935">
        <v>1934</v>
      </c>
      <c r="B1935" t="s">
        <v>2593</v>
      </c>
      <c r="C1935" s="3">
        <v>18510</v>
      </c>
      <c r="D1935" t="s">
        <v>666</v>
      </c>
      <c r="E1935">
        <v>55</v>
      </c>
      <c r="F1935" s="1">
        <v>45572</v>
      </c>
      <c r="G1935" s="1" t="str">
        <f>TEXT(Table1[[#This Row],[Enrollment date]], "mmm")</f>
        <v>Oct</v>
      </c>
      <c r="H1935" t="s">
        <v>360</v>
      </c>
      <c r="I1935" t="s">
        <v>660</v>
      </c>
      <c r="J1935" t="str">
        <f>_xlfn.XLOOKUP(Table1[[#This Row],[Course ]], CCF!B:B, CCF!A:A)</f>
        <v>BA301</v>
      </c>
      <c r="K1935" t="s">
        <v>364</v>
      </c>
      <c r="L1935">
        <f>_xlfn.XLOOKUP(K1935, CCF!B:B, CCF!C:C)</f>
        <v>59999</v>
      </c>
      <c r="M1935" t="s">
        <v>603</v>
      </c>
    </row>
    <row r="1936" spans="1:13" x14ac:dyDescent="0.3">
      <c r="A1936">
        <v>1935</v>
      </c>
      <c r="B1936" t="s">
        <v>2594</v>
      </c>
      <c r="C1936" s="3">
        <v>27150</v>
      </c>
      <c r="D1936" t="s">
        <v>666</v>
      </c>
      <c r="E1936">
        <v>61</v>
      </c>
      <c r="F1936" s="1">
        <v>45572</v>
      </c>
      <c r="G1936" s="1" t="str">
        <f>TEXT(Table1[[#This Row],[Enrollment date]], "mmm")</f>
        <v>Oct</v>
      </c>
      <c r="H1936" t="s">
        <v>360</v>
      </c>
      <c r="I1936" t="s">
        <v>661</v>
      </c>
      <c r="J1936" t="str">
        <f>_xlfn.XLOOKUP(Table1[[#This Row],[Course ]], CCF!B:B, CCF!A:A)</f>
        <v>BA301</v>
      </c>
      <c r="K1936" t="s">
        <v>364</v>
      </c>
      <c r="L1936">
        <f>_xlfn.XLOOKUP(K1936, CCF!B:B, CCF!C:C)</f>
        <v>59999</v>
      </c>
      <c r="M1936" t="s">
        <v>139</v>
      </c>
    </row>
    <row r="1937" spans="1:13" x14ac:dyDescent="0.3">
      <c r="A1937">
        <v>1936</v>
      </c>
      <c r="B1937" t="s">
        <v>2595</v>
      </c>
      <c r="C1937" s="3">
        <v>19018</v>
      </c>
      <c r="D1937" t="s">
        <v>666</v>
      </c>
      <c r="E1937">
        <v>45</v>
      </c>
      <c r="F1937" s="1">
        <v>45572</v>
      </c>
      <c r="G1937" s="1" t="str">
        <f>TEXT(Table1[[#This Row],[Enrollment date]], "mmm")</f>
        <v>Oct</v>
      </c>
      <c r="H1937" t="s">
        <v>360</v>
      </c>
      <c r="I1937" t="s">
        <v>659</v>
      </c>
      <c r="J1937" t="str">
        <f>_xlfn.XLOOKUP(Table1[[#This Row],[Course ]], CCF!B:B, CCF!A:A)</f>
        <v>DM101</v>
      </c>
      <c r="K1937" t="s">
        <v>365</v>
      </c>
      <c r="L1937">
        <f>_xlfn.XLOOKUP(K1937, CCF!B:B, CCF!C:C)</f>
        <v>85499</v>
      </c>
      <c r="M1937" t="s">
        <v>64</v>
      </c>
    </row>
    <row r="1938" spans="1:13" x14ac:dyDescent="0.3">
      <c r="A1938">
        <v>1937</v>
      </c>
      <c r="B1938" t="s">
        <v>2596</v>
      </c>
      <c r="C1938" s="3">
        <v>84053</v>
      </c>
      <c r="D1938" t="s">
        <v>666</v>
      </c>
      <c r="E1938">
        <v>47</v>
      </c>
      <c r="F1938" s="1">
        <v>45573</v>
      </c>
      <c r="G1938" s="1" t="str">
        <f>TEXT(Table1[[#This Row],[Enrollment date]], "mmm")</f>
        <v>Oct</v>
      </c>
      <c r="H1938" t="s">
        <v>360</v>
      </c>
      <c r="I1938" t="s">
        <v>661</v>
      </c>
      <c r="J1938" t="str">
        <f>_xlfn.XLOOKUP(Table1[[#This Row],[Course ]], CCF!B:B, CCF!A:A)</f>
        <v>DM101</v>
      </c>
      <c r="K1938" t="s">
        <v>365</v>
      </c>
      <c r="L1938">
        <f>_xlfn.XLOOKUP(K1938, CCF!B:B, CCF!C:C)</f>
        <v>85499</v>
      </c>
      <c r="M1938" t="s">
        <v>9</v>
      </c>
    </row>
    <row r="1939" spans="1:13" x14ac:dyDescent="0.3">
      <c r="A1939">
        <v>1938</v>
      </c>
      <c r="B1939" t="s">
        <v>2597</v>
      </c>
      <c r="C1939" s="3">
        <v>88429</v>
      </c>
      <c r="D1939" t="s">
        <v>667</v>
      </c>
      <c r="E1939">
        <v>34</v>
      </c>
      <c r="F1939" s="1">
        <v>45573</v>
      </c>
      <c r="G1939" s="1" t="str">
        <f>TEXT(Table1[[#This Row],[Enrollment date]], "mmm")</f>
        <v>Oct</v>
      </c>
      <c r="H1939" t="s">
        <v>360</v>
      </c>
      <c r="I1939" t="s">
        <v>660</v>
      </c>
      <c r="J1939" t="str">
        <f>_xlfn.XLOOKUP(Table1[[#This Row],[Course ]], CCF!B:B, CCF!A:A)</f>
        <v>DM101</v>
      </c>
      <c r="K1939" t="s">
        <v>365</v>
      </c>
      <c r="L1939">
        <f>_xlfn.XLOOKUP(K1939, CCF!B:B, CCF!C:C)</f>
        <v>85499</v>
      </c>
      <c r="M1939" t="s">
        <v>104</v>
      </c>
    </row>
    <row r="1940" spans="1:13" x14ac:dyDescent="0.3">
      <c r="A1940">
        <v>1939</v>
      </c>
      <c r="B1940" t="s">
        <v>2598</v>
      </c>
      <c r="C1940" s="3">
        <v>42882</v>
      </c>
      <c r="D1940" t="s">
        <v>666</v>
      </c>
      <c r="E1940">
        <v>66</v>
      </c>
      <c r="F1940" s="1">
        <v>45573</v>
      </c>
      <c r="G1940" s="1" t="str">
        <f>TEXT(Table1[[#This Row],[Enrollment date]], "mmm")</f>
        <v>Oct</v>
      </c>
      <c r="H1940" t="s">
        <v>360</v>
      </c>
      <c r="I1940" t="s">
        <v>661</v>
      </c>
      <c r="J1940" t="str">
        <f>_xlfn.XLOOKUP(Table1[[#This Row],[Course ]], CCF!B:B, CCF!A:A)</f>
        <v>DM101</v>
      </c>
      <c r="K1940" t="s">
        <v>365</v>
      </c>
      <c r="L1940">
        <f>_xlfn.XLOOKUP(K1940, CCF!B:B, CCF!C:C)</f>
        <v>85499</v>
      </c>
      <c r="M1940" t="s">
        <v>16</v>
      </c>
    </row>
    <row r="1941" spans="1:13" x14ac:dyDescent="0.3">
      <c r="A1941">
        <v>1940</v>
      </c>
      <c r="B1941" t="s">
        <v>2599</v>
      </c>
      <c r="C1941" s="3">
        <v>45798</v>
      </c>
      <c r="D1941" t="s">
        <v>666</v>
      </c>
      <c r="E1941">
        <v>25</v>
      </c>
      <c r="F1941" s="1">
        <v>45573</v>
      </c>
      <c r="G1941" s="1" t="str">
        <f>TEXT(Table1[[#This Row],[Enrollment date]], "mmm")</f>
        <v>Oct</v>
      </c>
      <c r="H1941" t="s">
        <v>360</v>
      </c>
      <c r="I1941" t="s">
        <v>661</v>
      </c>
      <c r="J1941" t="str">
        <f>_xlfn.XLOOKUP(Table1[[#This Row],[Course ]], CCF!B:B, CCF!A:A)</f>
        <v>FSD103</v>
      </c>
      <c r="K1941" t="s">
        <v>366</v>
      </c>
      <c r="L1941">
        <f>_xlfn.XLOOKUP(K1941, CCF!B:B, CCF!C:C)</f>
        <v>109990</v>
      </c>
      <c r="M1941" t="s">
        <v>18</v>
      </c>
    </row>
    <row r="1942" spans="1:13" x14ac:dyDescent="0.3">
      <c r="A1942">
        <v>1941</v>
      </c>
      <c r="B1942" t="s">
        <v>2600</v>
      </c>
      <c r="C1942" s="3">
        <v>34433</v>
      </c>
      <c r="D1942" t="s">
        <v>666</v>
      </c>
      <c r="E1942">
        <v>22</v>
      </c>
      <c r="F1942" s="1">
        <v>45573</v>
      </c>
      <c r="G1942" s="1" t="str">
        <f>TEXT(Table1[[#This Row],[Enrollment date]], "mmm")</f>
        <v>Oct</v>
      </c>
      <c r="H1942" t="s">
        <v>360</v>
      </c>
      <c r="I1942" t="s">
        <v>659</v>
      </c>
      <c r="J1942" t="str">
        <f>_xlfn.XLOOKUP(Table1[[#This Row],[Course ]], CCF!B:B, CCF!A:A)</f>
        <v>BA301</v>
      </c>
      <c r="K1942" t="s">
        <v>364</v>
      </c>
      <c r="L1942">
        <f>_xlfn.XLOOKUP(K1942, CCF!B:B, CCF!C:C)</f>
        <v>59999</v>
      </c>
      <c r="M1942" t="s">
        <v>335</v>
      </c>
    </row>
    <row r="1943" spans="1:13" x14ac:dyDescent="0.3">
      <c r="A1943">
        <v>1942</v>
      </c>
      <c r="B1943" t="s">
        <v>2601</v>
      </c>
      <c r="C1943" s="3">
        <v>50794</v>
      </c>
      <c r="D1943" t="s">
        <v>666</v>
      </c>
      <c r="E1943">
        <v>45</v>
      </c>
      <c r="F1943" s="1">
        <v>45573</v>
      </c>
      <c r="G1943" s="1" t="str">
        <f>TEXT(Table1[[#This Row],[Enrollment date]], "mmm")</f>
        <v>Oct</v>
      </c>
      <c r="H1943" t="s">
        <v>360</v>
      </c>
      <c r="I1943" t="s">
        <v>661</v>
      </c>
      <c r="J1943" t="str">
        <f>_xlfn.XLOOKUP(Table1[[#This Row],[Course ]], CCF!B:B, CCF!A:A)</f>
        <v>DM101</v>
      </c>
      <c r="K1943" t="s">
        <v>365</v>
      </c>
      <c r="L1943">
        <f>_xlfn.XLOOKUP(K1943, CCF!B:B, CCF!C:C)</f>
        <v>85499</v>
      </c>
      <c r="M1943" t="s">
        <v>6</v>
      </c>
    </row>
    <row r="1944" spans="1:13" x14ac:dyDescent="0.3">
      <c r="A1944">
        <v>1943</v>
      </c>
      <c r="B1944" t="s">
        <v>2602</v>
      </c>
      <c r="C1944" s="3">
        <v>23334</v>
      </c>
      <c r="D1944" t="s">
        <v>667</v>
      </c>
      <c r="E1944">
        <v>48</v>
      </c>
      <c r="F1944" s="1">
        <v>45574</v>
      </c>
      <c r="G1944" s="1" t="str">
        <f>TEXT(Table1[[#This Row],[Enrollment date]], "mmm")</f>
        <v>Oct</v>
      </c>
      <c r="H1944" t="s">
        <v>360</v>
      </c>
      <c r="I1944" t="s">
        <v>661</v>
      </c>
      <c r="J1944" t="str">
        <f>_xlfn.XLOOKUP(Table1[[#This Row],[Course ]], CCF!B:B, CCF!A:A)</f>
        <v>UX401</v>
      </c>
      <c r="K1944" t="s">
        <v>367</v>
      </c>
      <c r="L1944">
        <f>_xlfn.XLOOKUP(K1944, CCF!B:B, CCF!C:C)</f>
        <v>67990</v>
      </c>
      <c r="M1944" t="s">
        <v>53</v>
      </c>
    </row>
    <row r="1945" spans="1:13" x14ac:dyDescent="0.3">
      <c r="A1945">
        <v>1944</v>
      </c>
      <c r="B1945" t="s">
        <v>2603</v>
      </c>
      <c r="C1945" s="3">
        <v>90683</v>
      </c>
      <c r="D1945" t="s">
        <v>666</v>
      </c>
      <c r="E1945">
        <v>71</v>
      </c>
      <c r="F1945" s="1">
        <v>45574</v>
      </c>
      <c r="G1945" s="1" t="str">
        <f>TEXT(Table1[[#This Row],[Enrollment date]], "mmm")</f>
        <v>Oct</v>
      </c>
      <c r="H1945" t="s">
        <v>360</v>
      </c>
      <c r="I1945" t="s">
        <v>659</v>
      </c>
      <c r="J1945" t="str">
        <f>_xlfn.XLOOKUP(Table1[[#This Row],[Course ]], CCF!B:B, CCF!A:A)</f>
        <v>BA301</v>
      </c>
      <c r="K1945" t="s">
        <v>364</v>
      </c>
      <c r="L1945">
        <f>_xlfn.XLOOKUP(K1945, CCF!B:B, CCF!C:C)</f>
        <v>59999</v>
      </c>
      <c r="M1945" t="s">
        <v>17</v>
      </c>
    </row>
    <row r="1946" spans="1:13" x14ac:dyDescent="0.3">
      <c r="A1946">
        <v>1945</v>
      </c>
      <c r="B1946" t="s">
        <v>2604</v>
      </c>
      <c r="C1946" s="3">
        <v>48202</v>
      </c>
      <c r="D1946" t="s">
        <v>666</v>
      </c>
      <c r="E1946">
        <v>42</v>
      </c>
      <c r="F1946" s="1">
        <v>45574</v>
      </c>
      <c r="G1946" s="1" t="str">
        <f>TEXT(Table1[[#This Row],[Enrollment date]], "mmm")</f>
        <v>Oct</v>
      </c>
      <c r="H1946" t="s">
        <v>360</v>
      </c>
      <c r="I1946" t="s">
        <v>663</v>
      </c>
      <c r="J1946" t="str">
        <f>_xlfn.XLOOKUP(Table1[[#This Row],[Course ]], CCF!B:B, CCF!A:A)</f>
        <v>DA202</v>
      </c>
      <c r="K1946" t="s">
        <v>363</v>
      </c>
      <c r="L1946">
        <f>_xlfn.XLOOKUP(K1946, CCF!B:B, CCF!C:C)</f>
        <v>79999</v>
      </c>
      <c r="M1946" t="s">
        <v>157</v>
      </c>
    </row>
    <row r="1947" spans="1:13" x14ac:dyDescent="0.3">
      <c r="A1947">
        <v>1946</v>
      </c>
      <c r="B1947" t="s">
        <v>2605</v>
      </c>
      <c r="C1947" s="3">
        <v>64011</v>
      </c>
      <c r="D1947" t="s">
        <v>666</v>
      </c>
      <c r="E1947">
        <v>58</v>
      </c>
      <c r="F1947" s="1">
        <v>45574</v>
      </c>
      <c r="G1947" s="1" t="str">
        <f>TEXT(Table1[[#This Row],[Enrollment date]], "mmm")</f>
        <v>Oct</v>
      </c>
      <c r="H1947" t="s">
        <v>360</v>
      </c>
      <c r="I1947" t="s">
        <v>660</v>
      </c>
      <c r="J1947" t="str">
        <f>_xlfn.XLOOKUP(Table1[[#This Row],[Course ]], CCF!B:B, CCF!A:A)</f>
        <v>DM101</v>
      </c>
      <c r="K1947" t="s">
        <v>365</v>
      </c>
      <c r="L1947">
        <f>_xlfn.XLOOKUP(K1947, CCF!B:B, CCF!C:C)</f>
        <v>85499</v>
      </c>
      <c r="M1947" t="s">
        <v>77</v>
      </c>
    </row>
    <row r="1948" spans="1:13" x14ac:dyDescent="0.3">
      <c r="A1948">
        <v>1947</v>
      </c>
      <c r="B1948" t="s">
        <v>2606</v>
      </c>
      <c r="C1948" s="3">
        <v>20298</v>
      </c>
      <c r="D1948" t="s">
        <v>666</v>
      </c>
      <c r="E1948">
        <v>78</v>
      </c>
      <c r="F1948" s="1">
        <v>45574</v>
      </c>
      <c r="G1948" s="1" t="str">
        <f>TEXT(Table1[[#This Row],[Enrollment date]], "mmm")</f>
        <v>Oct</v>
      </c>
      <c r="H1948" t="s">
        <v>360</v>
      </c>
      <c r="I1948" t="s">
        <v>662</v>
      </c>
      <c r="J1948" t="str">
        <f>_xlfn.XLOOKUP(Table1[[#This Row],[Course ]], CCF!B:B, CCF!A:A)</f>
        <v>DA202</v>
      </c>
      <c r="K1948" t="s">
        <v>363</v>
      </c>
      <c r="L1948">
        <f>_xlfn.XLOOKUP(K1948, CCF!B:B, CCF!C:C)</f>
        <v>79999</v>
      </c>
      <c r="M1948" t="s">
        <v>228</v>
      </c>
    </row>
    <row r="1949" spans="1:13" x14ac:dyDescent="0.3">
      <c r="A1949">
        <v>1948</v>
      </c>
      <c r="B1949" t="s">
        <v>2607</v>
      </c>
      <c r="C1949" s="3">
        <v>77223</v>
      </c>
      <c r="D1949" t="s">
        <v>667</v>
      </c>
      <c r="E1949">
        <v>24</v>
      </c>
      <c r="F1949" s="1">
        <v>45575</v>
      </c>
      <c r="G1949" s="1" t="str">
        <f>TEXT(Table1[[#This Row],[Enrollment date]], "mmm")</f>
        <v>Oct</v>
      </c>
      <c r="H1949" t="s">
        <v>360</v>
      </c>
      <c r="I1949" t="s">
        <v>659</v>
      </c>
      <c r="J1949" t="str">
        <f>_xlfn.XLOOKUP(Table1[[#This Row],[Course ]], CCF!B:B, CCF!A:A)</f>
        <v>FSD103</v>
      </c>
      <c r="K1949" t="s">
        <v>366</v>
      </c>
      <c r="L1949">
        <f>_xlfn.XLOOKUP(K1949, CCF!B:B, CCF!C:C)</f>
        <v>109990</v>
      </c>
      <c r="M1949" t="s">
        <v>80</v>
      </c>
    </row>
    <row r="1950" spans="1:13" x14ac:dyDescent="0.3">
      <c r="A1950">
        <v>1949</v>
      </c>
      <c r="B1950" t="s">
        <v>2608</v>
      </c>
      <c r="C1950" s="3">
        <v>60299</v>
      </c>
      <c r="D1950" t="s">
        <v>666</v>
      </c>
      <c r="E1950">
        <v>42</v>
      </c>
      <c r="F1950" s="1">
        <v>45575</v>
      </c>
      <c r="G1950" s="1" t="str">
        <f>TEXT(Table1[[#This Row],[Enrollment date]], "mmm")</f>
        <v>Oct</v>
      </c>
      <c r="H1950" t="s">
        <v>360</v>
      </c>
      <c r="I1950" t="s">
        <v>660</v>
      </c>
      <c r="J1950" t="str">
        <f>_xlfn.XLOOKUP(Table1[[#This Row],[Course ]], CCF!B:B, CCF!A:A)</f>
        <v>DA202</v>
      </c>
      <c r="K1950" t="s">
        <v>363</v>
      </c>
      <c r="L1950">
        <f>_xlfn.XLOOKUP(K1950, CCF!B:B, CCF!C:C)</f>
        <v>79999</v>
      </c>
      <c r="M1950" t="s">
        <v>604</v>
      </c>
    </row>
    <row r="1951" spans="1:13" x14ac:dyDescent="0.3">
      <c r="A1951">
        <v>1950</v>
      </c>
      <c r="B1951" t="s">
        <v>2609</v>
      </c>
      <c r="C1951" s="3">
        <v>59878</v>
      </c>
      <c r="D1951" t="s">
        <v>666</v>
      </c>
      <c r="E1951">
        <v>20</v>
      </c>
      <c r="F1951" s="1">
        <v>45575</v>
      </c>
      <c r="G1951" s="1" t="str">
        <f>TEXT(Table1[[#This Row],[Enrollment date]], "mmm")</f>
        <v>Oct</v>
      </c>
      <c r="H1951" t="s">
        <v>360</v>
      </c>
      <c r="I1951" t="s">
        <v>660</v>
      </c>
      <c r="J1951" t="str">
        <f>_xlfn.XLOOKUP(Table1[[#This Row],[Course ]], CCF!B:B, CCF!A:A)</f>
        <v>DA202</v>
      </c>
      <c r="K1951" t="s">
        <v>363</v>
      </c>
      <c r="L1951">
        <f>_xlfn.XLOOKUP(K1951, CCF!B:B, CCF!C:C)</f>
        <v>79999</v>
      </c>
      <c r="M1951" t="s">
        <v>144</v>
      </c>
    </row>
    <row r="1952" spans="1:13" x14ac:dyDescent="0.3">
      <c r="A1952">
        <v>1951</v>
      </c>
      <c r="B1952" t="s">
        <v>2610</v>
      </c>
      <c r="C1952" s="3">
        <v>47659</v>
      </c>
      <c r="D1952" t="s">
        <v>666</v>
      </c>
      <c r="E1952">
        <v>69</v>
      </c>
      <c r="F1952" s="1">
        <v>45575</v>
      </c>
      <c r="G1952" s="1" t="str">
        <f>TEXT(Table1[[#This Row],[Enrollment date]], "mmm")</f>
        <v>Oct</v>
      </c>
      <c r="H1952" t="s">
        <v>360</v>
      </c>
      <c r="I1952" t="s">
        <v>661</v>
      </c>
      <c r="J1952" t="str">
        <f>_xlfn.XLOOKUP(Table1[[#This Row],[Course ]], CCF!B:B, CCF!A:A)</f>
        <v>HR201</v>
      </c>
      <c r="K1952" t="s">
        <v>3152</v>
      </c>
      <c r="L1952">
        <f>_xlfn.XLOOKUP(K1952, CCF!B:B, CCF!C:C)</f>
        <v>41999</v>
      </c>
      <c r="M1952" t="s">
        <v>294</v>
      </c>
    </row>
    <row r="1953" spans="1:13" x14ac:dyDescent="0.3">
      <c r="A1953">
        <v>1952</v>
      </c>
      <c r="B1953" t="s">
        <v>2611</v>
      </c>
      <c r="C1953" s="3">
        <v>60238</v>
      </c>
      <c r="D1953" t="s">
        <v>667</v>
      </c>
      <c r="E1953">
        <v>39</v>
      </c>
      <c r="F1953" s="1">
        <v>45575</v>
      </c>
      <c r="G1953" s="1" t="str">
        <f>TEXT(Table1[[#This Row],[Enrollment date]], "mmm")</f>
        <v>Oct</v>
      </c>
      <c r="H1953" t="s">
        <v>360</v>
      </c>
      <c r="I1953" t="s">
        <v>660</v>
      </c>
      <c r="J1953" t="str">
        <f>_xlfn.XLOOKUP(Table1[[#This Row],[Course ]], CCF!B:B, CCF!A:A)</f>
        <v>DM101</v>
      </c>
      <c r="K1953" t="s">
        <v>365</v>
      </c>
      <c r="L1953">
        <f>_xlfn.XLOOKUP(K1953, CCF!B:B, CCF!C:C)</f>
        <v>85499</v>
      </c>
      <c r="M1953" t="s">
        <v>20</v>
      </c>
    </row>
    <row r="1954" spans="1:13" x14ac:dyDescent="0.3">
      <c r="A1954">
        <v>1953</v>
      </c>
      <c r="B1954" t="s">
        <v>2612</v>
      </c>
      <c r="C1954" s="3">
        <v>13621</v>
      </c>
      <c r="D1954" t="s">
        <v>666</v>
      </c>
      <c r="E1954">
        <v>19</v>
      </c>
      <c r="F1954" s="1">
        <v>45575</v>
      </c>
      <c r="G1954" s="1" t="str">
        <f>TEXT(Table1[[#This Row],[Enrollment date]], "mmm")</f>
        <v>Oct</v>
      </c>
      <c r="H1954" t="s">
        <v>3</v>
      </c>
      <c r="I1954" t="s">
        <v>662</v>
      </c>
      <c r="J1954" t="str">
        <f>_xlfn.XLOOKUP(Table1[[#This Row],[Course ]], CCF!B:B, CCF!A:A)</f>
        <v>DA202</v>
      </c>
      <c r="K1954" t="s">
        <v>363</v>
      </c>
      <c r="L1954">
        <f>_xlfn.XLOOKUP(K1954, CCF!B:B, CCF!C:C)</f>
        <v>79999</v>
      </c>
      <c r="M1954" t="s">
        <v>605</v>
      </c>
    </row>
    <row r="1955" spans="1:13" x14ac:dyDescent="0.3">
      <c r="A1955">
        <v>1954</v>
      </c>
      <c r="B1955" t="s">
        <v>2613</v>
      </c>
      <c r="C1955" s="3">
        <v>54444</v>
      </c>
      <c r="D1955" t="s">
        <v>666</v>
      </c>
      <c r="E1955">
        <v>23</v>
      </c>
      <c r="F1955" s="1">
        <v>45576</v>
      </c>
      <c r="G1955" s="1" t="str">
        <f>TEXT(Table1[[#This Row],[Enrollment date]], "mmm")</f>
        <v>Oct</v>
      </c>
      <c r="H1955" t="s">
        <v>360</v>
      </c>
      <c r="I1955" t="s">
        <v>659</v>
      </c>
      <c r="J1955" t="str">
        <f>_xlfn.XLOOKUP(Table1[[#This Row],[Course ]], CCF!B:B, CCF!A:A)</f>
        <v>BA301</v>
      </c>
      <c r="K1955" t="s">
        <v>364</v>
      </c>
      <c r="L1955">
        <f>_xlfn.XLOOKUP(K1955, CCF!B:B, CCF!C:C)</f>
        <v>59999</v>
      </c>
      <c r="M1955" t="s">
        <v>9</v>
      </c>
    </row>
    <row r="1956" spans="1:13" x14ac:dyDescent="0.3">
      <c r="A1956">
        <v>1955</v>
      </c>
      <c r="B1956" t="s">
        <v>2614</v>
      </c>
      <c r="C1956" s="3">
        <v>49794</v>
      </c>
      <c r="D1956" t="s">
        <v>666</v>
      </c>
      <c r="E1956">
        <v>32</v>
      </c>
      <c r="F1956" s="1">
        <v>45576</v>
      </c>
      <c r="G1956" s="1" t="str">
        <f>TEXT(Table1[[#This Row],[Enrollment date]], "mmm")</f>
        <v>Oct</v>
      </c>
      <c r="H1956" t="s">
        <v>360</v>
      </c>
      <c r="I1956" t="s">
        <v>659</v>
      </c>
      <c r="J1956" t="str">
        <f>_xlfn.XLOOKUP(Table1[[#This Row],[Course ]], CCF!B:B, CCF!A:A)</f>
        <v>DM101</v>
      </c>
      <c r="K1956" t="s">
        <v>365</v>
      </c>
      <c r="L1956">
        <f>_xlfn.XLOOKUP(K1956, CCF!B:B, CCF!C:C)</f>
        <v>85499</v>
      </c>
      <c r="M1956" t="s">
        <v>7</v>
      </c>
    </row>
    <row r="1957" spans="1:13" x14ac:dyDescent="0.3">
      <c r="A1957">
        <v>1956</v>
      </c>
      <c r="B1957" t="s">
        <v>2615</v>
      </c>
      <c r="C1957" s="3">
        <v>81930</v>
      </c>
      <c r="D1957" t="s">
        <v>666</v>
      </c>
      <c r="E1957">
        <v>60</v>
      </c>
      <c r="F1957" s="1">
        <v>45576</v>
      </c>
      <c r="G1957" s="1" t="str">
        <f>TEXT(Table1[[#This Row],[Enrollment date]], "mmm")</f>
        <v>Oct</v>
      </c>
      <c r="H1957" t="s">
        <v>360</v>
      </c>
      <c r="I1957" t="s">
        <v>660</v>
      </c>
      <c r="J1957" t="str">
        <f>_xlfn.XLOOKUP(Table1[[#This Row],[Course ]], CCF!B:B, CCF!A:A)</f>
        <v>BA301</v>
      </c>
      <c r="K1957" t="s">
        <v>364</v>
      </c>
      <c r="L1957">
        <f>_xlfn.XLOOKUP(K1957, CCF!B:B, CCF!C:C)</f>
        <v>59999</v>
      </c>
      <c r="M1957" t="s">
        <v>20</v>
      </c>
    </row>
    <row r="1958" spans="1:13" x14ac:dyDescent="0.3">
      <c r="A1958">
        <v>1957</v>
      </c>
      <c r="B1958" t="s">
        <v>2616</v>
      </c>
      <c r="C1958" s="3">
        <v>15839</v>
      </c>
      <c r="D1958" t="s">
        <v>666</v>
      </c>
      <c r="E1958">
        <v>45</v>
      </c>
      <c r="F1958" s="1">
        <v>45576</v>
      </c>
      <c r="G1958" s="1" t="str">
        <f>TEXT(Table1[[#This Row],[Enrollment date]], "mmm")</f>
        <v>Oct</v>
      </c>
      <c r="H1958" t="s">
        <v>360</v>
      </c>
      <c r="I1958" t="s">
        <v>660</v>
      </c>
      <c r="J1958" t="str">
        <f>_xlfn.XLOOKUP(Table1[[#This Row],[Course ]], CCF!B:B, CCF!A:A)</f>
        <v>DA202</v>
      </c>
      <c r="K1958" t="s">
        <v>363</v>
      </c>
      <c r="L1958">
        <f>_xlfn.XLOOKUP(K1958, CCF!B:B, CCF!C:C)</f>
        <v>79999</v>
      </c>
      <c r="M1958" t="s">
        <v>473</v>
      </c>
    </row>
    <row r="1959" spans="1:13" x14ac:dyDescent="0.3">
      <c r="A1959">
        <v>1958</v>
      </c>
      <c r="B1959" t="s">
        <v>2617</v>
      </c>
      <c r="C1959" s="3">
        <v>66730</v>
      </c>
      <c r="D1959" t="s">
        <v>666</v>
      </c>
      <c r="E1959">
        <v>34</v>
      </c>
      <c r="F1959" s="1">
        <v>45576</v>
      </c>
      <c r="G1959" s="1" t="str">
        <f>TEXT(Table1[[#This Row],[Enrollment date]], "mmm")</f>
        <v>Oct</v>
      </c>
      <c r="H1959" t="s">
        <v>360</v>
      </c>
      <c r="I1959" t="s">
        <v>665</v>
      </c>
      <c r="J1959" t="str">
        <f>_xlfn.XLOOKUP(Table1[[#This Row],[Course ]], CCF!B:B, CCF!A:A)</f>
        <v>DM101</v>
      </c>
      <c r="K1959" t="s">
        <v>365</v>
      </c>
      <c r="L1959">
        <f>_xlfn.XLOOKUP(K1959, CCF!B:B, CCF!C:C)</f>
        <v>85499</v>
      </c>
      <c r="M1959" t="s">
        <v>9</v>
      </c>
    </row>
    <row r="1960" spans="1:13" x14ac:dyDescent="0.3">
      <c r="A1960">
        <v>1959</v>
      </c>
      <c r="B1960" t="s">
        <v>2618</v>
      </c>
      <c r="C1960" s="3">
        <v>91995</v>
      </c>
      <c r="D1960" t="s">
        <v>667</v>
      </c>
      <c r="E1960">
        <v>31</v>
      </c>
      <c r="F1960" s="1">
        <v>45577</v>
      </c>
      <c r="G1960" s="1" t="str">
        <f>TEXT(Table1[[#This Row],[Enrollment date]], "mmm")</f>
        <v>Oct</v>
      </c>
      <c r="H1960" t="s">
        <v>360</v>
      </c>
      <c r="I1960" t="s">
        <v>665</v>
      </c>
      <c r="J1960" t="str">
        <f>_xlfn.XLOOKUP(Table1[[#This Row],[Course ]], CCF!B:B, CCF!A:A)</f>
        <v>DM101</v>
      </c>
      <c r="K1960" t="s">
        <v>365</v>
      </c>
      <c r="L1960">
        <f>_xlfn.XLOOKUP(K1960, CCF!B:B, CCF!C:C)</f>
        <v>85499</v>
      </c>
      <c r="M1960" t="s">
        <v>606</v>
      </c>
    </row>
    <row r="1961" spans="1:13" x14ac:dyDescent="0.3">
      <c r="A1961">
        <v>1960</v>
      </c>
      <c r="B1961" t="s">
        <v>2619</v>
      </c>
      <c r="C1961" s="3">
        <v>40330</v>
      </c>
      <c r="D1961" t="s">
        <v>666</v>
      </c>
      <c r="E1961">
        <v>25</v>
      </c>
      <c r="F1961" s="1">
        <v>45577</v>
      </c>
      <c r="G1961" s="1" t="str">
        <f>TEXT(Table1[[#This Row],[Enrollment date]], "mmm")</f>
        <v>Oct</v>
      </c>
      <c r="H1961" t="s">
        <v>360</v>
      </c>
      <c r="I1961" t="s">
        <v>664</v>
      </c>
      <c r="J1961" t="str">
        <f>_xlfn.XLOOKUP(Table1[[#This Row],[Course ]], CCF!B:B, CCF!A:A)</f>
        <v>DA202</v>
      </c>
      <c r="K1961" t="s">
        <v>363</v>
      </c>
      <c r="L1961">
        <f>_xlfn.XLOOKUP(K1961, CCF!B:B, CCF!C:C)</f>
        <v>79999</v>
      </c>
      <c r="M1961" t="s">
        <v>516</v>
      </c>
    </row>
    <row r="1962" spans="1:13" x14ac:dyDescent="0.3">
      <c r="A1962">
        <v>1961</v>
      </c>
      <c r="B1962" t="s">
        <v>2620</v>
      </c>
      <c r="C1962" s="3">
        <v>86271</v>
      </c>
      <c r="D1962" t="s">
        <v>666</v>
      </c>
      <c r="E1962">
        <v>46</v>
      </c>
      <c r="F1962" s="1">
        <v>45577</v>
      </c>
      <c r="G1962" s="1" t="str">
        <f>TEXT(Table1[[#This Row],[Enrollment date]], "mmm")</f>
        <v>Oct</v>
      </c>
      <c r="H1962" t="s">
        <v>360</v>
      </c>
      <c r="I1962" t="s">
        <v>659</v>
      </c>
      <c r="J1962" t="str">
        <f>_xlfn.XLOOKUP(Table1[[#This Row],[Course ]], CCF!B:B, CCF!A:A)</f>
        <v>BA301</v>
      </c>
      <c r="K1962" t="s">
        <v>364</v>
      </c>
      <c r="L1962">
        <f>_xlfn.XLOOKUP(K1962, CCF!B:B, CCF!C:C)</f>
        <v>59999</v>
      </c>
      <c r="M1962" t="s">
        <v>80</v>
      </c>
    </row>
    <row r="1963" spans="1:13" x14ac:dyDescent="0.3">
      <c r="A1963">
        <v>1962</v>
      </c>
      <c r="B1963" t="s">
        <v>2621</v>
      </c>
      <c r="C1963" s="3">
        <v>89908</v>
      </c>
      <c r="D1963" t="s">
        <v>667</v>
      </c>
      <c r="E1963">
        <v>21</v>
      </c>
      <c r="F1963" s="1">
        <v>45577</v>
      </c>
      <c r="G1963" s="1" t="str">
        <f>TEXT(Table1[[#This Row],[Enrollment date]], "mmm")</f>
        <v>Oct</v>
      </c>
      <c r="H1963" t="s">
        <v>360</v>
      </c>
      <c r="I1963" t="s">
        <v>661</v>
      </c>
      <c r="J1963" t="str">
        <f>_xlfn.XLOOKUP(Table1[[#This Row],[Course ]], CCF!B:B, CCF!A:A)</f>
        <v>FSD103</v>
      </c>
      <c r="K1963" t="s">
        <v>366</v>
      </c>
      <c r="L1963">
        <f>_xlfn.XLOOKUP(K1963, CCF!B:B, CCF!C:C)</f>
        <v>109990</v>
      </c>
      <c r="M1963" t="s">
        <v>17</v>
      </c>
    </row>
    <row r="1964" spans="1:13" x14ac:dyDescent="0.3">
      <c r="A1964">
        <v>1963</v>
      </c>
      <c r="B1964" t="s">
        <v>2622</v>
      </c>
      <c r="C1964" s="3">
        <v>89113</v>
      </c>
      <c r="D1964" t="s">
        <v>667</v>
      </c>
      <c r="E1964">
        <v>31</v>
      </c>
      <c r="F1964" s="1">
        <v>45577</v>
      </c>
      <c r="G1964" s="1" t="str">
        <f>TEXT(Table1[[#This Row],[Enrollment date]], "mmm")</f>
        <v>Oct</v>
      </c>
      <c r="H1964" t="s">
        <v>3</v>
      </c>
      <c r="I1964" t="s">
        <v>661</v>
      </c>
      <c r="J1964" t="str">
        <f>_xlfn.XLOOKUP(Table1[[#This Row],[Course ]], CCF!B:B, CCF!A:A)</f>
        <v>DA202</v>
      </c>
      <c r="K1964" t="s">
        <v>363</v>
      </c>
      <c r="L1964">
        <f>_xlfn.XLOOKUP(K1964, CCF!B:B, CCF!C:C)</f>
        <v>79999</v>
      </c>
      <c r="M1964" t="s">
        <v>291</v>
      </c>
    </row>
    <row r="1965" spans="1:13" x14ac:dyDescent="0.3">
      <c r="A1965">
        <v>1964</v>
      </c>
      <c r="B1965" t="s">
        <v>2623</v>
      </c>
      <c r="C1965" s="3">
        <v>38463</v>
      </c>
      <c r="D1965" t="s">
        <v>666</v>
      </c>
      <c r="E1965">
        <v>32</v>
      </c>
      <c r="F1965" s="1">
        <v>45577</v>
      </c>
      <c r="G1965" s="1" t="str">
        <f>TEXT(Table1[[#This Row],[Enrollment date]], "mmm")</f>
        <v>Oct</v>
      </c>
      <c r="H1965" t="s">
        <v>360</v>
      </c>
      <c r="I1965" t="s">
        <v>665</v>
      </c>
      <c r="J1965" t="str">
        <f>_xlfn.XLOOKUP(Table1[[#This Row],[Course ]], CCF!B:B, CCF!A:A)</f>
        <v>DM101</v>
      </c>
      <c r="K1965" t="s">
        <v>365</v>
      </c>
      <c r="L1965">
        <f>_xlfn.XLOOKUP(K1965, CCF!B:B, CCF!C:C)</f>
        <v>85499</v>
      </c>
      <c r="M1965" t="s">
        <v>126</v>
      </c>
    </row>
    <row r="1966" spans="1:13" x14ac:dyDescent="0.3">
      <c r="A1966">
        <v>1965</v>
      </c>
      <c r="B1966" t="s">
        <v>2624</v>
      </c>
      <c r="C1966" s="3">
        <v>69171</v>
      </c>
      <c r="D1966" t="s">
        <v>666</v>
      </c>
      <c r="E1966">
        <v>27</v>
      </c>
      <c r="F1966" s="1">
        <v>45578</v>
      </c>
      <c r="G1966" s="1" t="str">
        <f>TEXT(Table1[[#This Row],[Enrollment date]], "mmm")</f>
        <v>Oct</v>
      </c>
      <c r="H1966" t="s">
        <v>360</v>
      </c>
      <c r="I1966" t="s">
        <v>663</v>
      </c>
      <c r="J1966" t="str">
        <f>_xlfn.XLOOKUP(Table1[[#This Row],[Course ]], CCF!B:B, CCF!A:A)</f>
        <v>DA202</v>
      </c>
      <c r="K1966" t="s">
        <v>363</v>
      </c>
      <c r="L1966">
        <f>_xlfn.XLOOKUP(K1966, CCF!B:B, CCF!C:C)</f>
        <v>79999</v>
      </c>
      <c r="M1966" t="s">
        <v>18</v>
      </c>
    </row>
    <row r="1967" spans="1:13" x14ac:dyDescent="0.3">
      <c r="A1967">
        <v>1966</v>
      </c>
      <c r="B1967" t="s">
        <v>2625</v>
      </c>
      <c r="C1967" s="3">
        <v>84063</v>
      </c>
      <c r="D1967" t="s">
        <v>666</v>
      </c>
      <c r="E1967">
        <v>28</v>
      </c>
      <c r="F1967" s="1">
        <v>45578</v>
      </c>
      <c r="G1967" s="1" t="str">
        <f>TEXT(Table1[[#This Row],[Enrollment date]], "mmm")</f>
        <v>Oct</v>
      </c>
      <c r="H1967" t="s">
        <v>360</v>
      </c>
      <c r="I1967" t="s">
        <v>661</v>
      </c>
      <c r="J1967" t="str">
        <f>_xlfn.XLOOKUP(Table1[[#This Row],[Course ]], CCF!B:B, CCF!A:A)</f>
        <v>DM101</v>
      </c>
      <c r="K1967" t="s">
        <v>365</v>
      </c>
      <c r="L1967">
        <f>_xlfn.XLOOKUP(K1967, CCF!B:B, CCF!C:C)</f>
        <v>85499</v>
      </c>
      <c r="M1967" t="s">
        <v>17</v>
      </c>
    </row>
    <row r="1968" spans="1:13" x14ac:dyDescent="0.3">
      <c r="A1968">
        <v>1967</v>
      </c>
      <c r="B1968" t="s">
        <v>2626</v>
      </c>
      <c r="C1968" s="3">
        <v>13873</v>
      </c>
      <c r="D1968" t="s">
        <v>666</v>
      </c>
      <c r="E1968">
        <v>45</v>
      </c>
      <c r="F1968" s="1">
        <v>45578</v>
      </c>
      <c r="G1968" s="1" t="str">
        <f>TEXT(Table1[[#This Row],[Enrollment date]], "mmm")</f>
        <v>Oct</v>
      </c>
      <c r="H1968" t="s">
        <v>3</v>
      </c>
      <c r="I1968" t="s">
        <v>661</v>
      </c>
      <c r="J1968" t="str">
        <f>_xlfn.XLOOKUP(Table1[[#This Row],[Course ]], CCF!B:B, CCF!A:A)</f>
        <v>DA202</v>
      </c>
      <c r="K1968" t="s">
        <v>363</v>
      </c>
      <c r="L1968">
        <f>_xlfn.XLOOKUP(K1968, CCF!B:B, CCF!C:C)</f>
        <v>79999</v>
      </c>
      <c r="M1968" t="s">
        <v>240</v>
      </c>
    </row>
    <row r="1969" spans="1:13" x14ac:dyDescent="0.3">
      <c r="A1969">
        <v>1968</v>
      </c>
      <c r="B1969" t="s">
        <v>2627</v>
      </c>
      <c r="C1969" s="3">
        <v>65945</v>
      </c>
      <c r="D1969" t="s">
        <v>666</v>
      </c>
      <c r="E1969">
        <v>30</v>
      </c>
      <c r="F1969" s="1">
        <v>45578</v>
      </c>
      <c r="G1969" s="1" t="str">
        <f>TEXT(Table1[[#This Row],[Enrollment date]], "mmm")</f>
        <v>Oct</v>
      </c>
      <c r="H1969" t="s">
        <v>360</v>
      </c>
      <c r="I1969" t="s">
        <v>660</v>
      </c>
      <c r="J1969" t="str">
        <f>_xlfn.XLOOKUP(Table1[[#This Row],[Course ]], CCF!B:B, CCF!A:A)</f>
        <v>DM101</v>
      </c>
      <c r="K1969" t="s">
        <v>365</v>
      </c>
      <c r="L1969">
        <f>_xlfn.XLOOKUP(K1969, CCF!B:B, CCF!C:C)</f>
        <v>85499</v>
      </c>
      <c r="M1969" t="s">
        <v>607</v>
      </c>
    </row>
    <row r="1970" spans="1:13" x14ac:dyDescent="0.3">
      <c r="A1970">
        <v>1969</v>
      </c>
      <c r="B1970" t="s">
        <v>893</v>
      </c>
      <c r="C1970" s="3">
        <v>86306</v>
      </c>
      <c r="D1970" t="s">
        <v>666</v>
      </c>
      <c r="E1970">
        <v>24</v>
      </c>
      <c r="F1970" s="1">
        <v>45578</v>
      </c>
      <c r="G1970" s="1" t="str">
        <f>TEXT(Table1[[#This Row],[Enrollment date]], "mmm")</f>
        <v>Oct</v>
      </c>
      <c r="H1970" t="s">
        <v>360</v>
      </c>
      <c r="I1970" t="s">
        <v>659</v>
      </c>
      <c r="J1970" t="str">
        <f>_xlfn.XLOOKUP(Table1[[#This Row],[Course ]], CCF!B:B, CCF!A:A)</f>
        <v>AI001</v>
      </c>
      <c r="K1970" t="s">
        <v>368</v>
      </c>
      <c r="L1970">
        <f>_xlfn.XLOOKUP(K1970, CCF!B:B, CCF!C:C)</f>
        <v>119990</v>
      </c>
      <c r="M1970" t="s">
        <v>17</v>
      </c>
    </row>
    <row r="1971" spans="1:13" x14ac:dyDescent="0.3">
      <c r="A1971">
        <v>1970</v>
      </c>
      <c r="B1971" t="s">
        <v>2628</v>
      </c>
      <c r="C1971" s="3">
        <v>68388</v>
      </c>
      <c r="D1971" t="s">
        <v>666</v>
      </c>
      <c r="E1971">
        <v>26</v>
      </c>
      <c r="F1971" s="1">
        <v>45578</v>
      </c>
      <c r="G1971" s="1" t="str">
        <f>TEXT(Table1[[#This Row],[Enrollment date]], "mmm")</f>
        <v>Oct</v>
      </c>
      <c r="H1971" t="s">
        <v>360</v>
      </c>
      <c r="I1971" t="s">
        <v>661</v>
      </c>
      <c r="J1971" t="str">
        <f>_xlfn.XLOOKUP(Table1[[#This Row],[Course ]], CCF!B:B, CCF!A:A)</f>
        <v>DA202</v>
      </c>
      <c r="K1971" t="s">
        <v>363</v>
      </c>
      <c r="L1971">
        <f>_xlfn.XLOOKUP(K1971, CCF!B:B, CCF!C:C)</f>
        <v>79999</v>
      </c>
      <c r="M1971" t="s">
        <v>2</v>
      </c>
    </row>
    <row r="1972" spans="1:13" x14ac:dyDescent="0.3">
      <c r="A1972">
        <v>1971</v>
      </c>
      <c r="B1972" t="s">
        <v>2629</v>
      </c>
      <c r="C1972" s="3">
        <v>16895</v>
      </c>
      <c r="D1972" t="s">
        <v>666</v>
      </c>
      <c r="E1972">
        <v>37</v>
      </c>
      <c r="F1972" s="1">
        <v>45578</v>
      </c>
      <c r="G1972" s="1" t="str">
        <f>TEXT(Table1[[#This Row],[Enrollment date]], "mmm")</f>
        <v>Oct</v>
      </c>
      <c r="H1972" t="s">
        <v>360</v>
      </c>
      <c r="I1972" t="s">
        <v>659</v>
      </c>
      <c r="J1972" t="str">
        <f>_xlfn.XLOOKUP(Table1[[#This Row],[Course ]], CCF!B:B, CCF!A:A)</f>
        <v>DA202</v>
      </c>
      <c r="K1972" t="s">
        <v>363</v>
      </c>
      <c r="L1972">
        <f>_xlfn.XLOOKUP(K1972, CCF!B:B, CCF!C:C)</f>
        <v>79999</v>
      </c>
      <c r="M1972" t="s">
        <v>109</v>
      </c>
    </row>
    <row r="1973" spans="1:13" x14ac:dyDescent="0.3">
      <c r="A1973">
        <v>1972</v>
      </c>
      <c r="B1973" t="s">
        <v>2630</v>
      </c>
      <c r="C1973" s="3">
        <v>30389</v>
      </c>
      <c r="D1973" t="s">
        <v>666</v>
      </c>
      <c r="E1973">
        <v>32</v>
      </c>
      <c r="F1973" s="1">
        <v>45578</v>
      </c>
      <c r="G1973" s="1" t="str">
        <f>TEXT(Table1[[#This Row],[Enrollment date]], "mmm")</f>
        <v>Oct</v>
      </c>
      <c r="H1973" t="s">
        <v>360</v>
      </c>
      <c r="I1973" t="s">
        <v>660</v>
      </c>
      <c r="J1973" t="str">
        <f>_xlfn.XLOOKUP(Table1[[#This Row],[Course ]], CCF!B:B, CCF!A:A)</f>
        <v>DM101</v>
      </c>
      <c r="K1973" t="s">
        <v>365</v>
      </c>
      <c r="L1973">
        <f>_xlfn.XLOOKUP(K1973, CCF!B:B, CCF!C:C)</f>
        <v>85499</v>
      </c>
      <c r="M1973" t="s">
        <v>109</v>
      </c>
    </row>
    <row r="1974" spans="1:13" x14ac:dyDescent="0.3">
      <c r="A1974">
        <v>1973</v>
      </c>
      <c r="B1974" t="s">
        <v>2631</v>
      </c>
      <c r="C1974" s="3">
        <v>48019</v>
      </c>
      <c r="D1974" t="s">
        <v>666</v>
      </c>
      <c r="E1974">
        <v>24</v>
      </c>
      <c r="F1974" s="1">
        <v>45578</v>
      </c>
      <c r="G1974" s="1" t="str">
        <f>TEXT(Table1[[#This Row],[Enrollment date]], "mmm")</f>
        <v>Oct</v>
      </c>
      <c r="H1974" t="s">
        <v>360</v>
      </c>
      <c r="I1974" t="s">
        <v>659</v>
      </c>
      <c r="J1974" t="str">
        <f>_xlfn.XLOOKUP(Table1[[#This Row],[Course ]], CCF!B:B, CCF!A:A)</f>
        <v>DM101</v>
      </c>
      <c r="K1974" t="s">
        <v>365</v>
      </c>
      <c r="L1974">
        <f>_xlfn.XLOOKUP(K1974, CCF!B:B, CCF!C:C)</f>
        <v>85499</v>
      </c>
      <c r="M1974" t="s">
        <v>247</v>
      </c>
    </row>
    <row r="1975" spans="1:13" x14ac:dyDescent="0.3">
      <c r="A1975">
        <v>1974</v>
      </c>
      <c r="B1975" t="s">
        <v>2632</v>
      </c>
      <c r="C1975" s="3">
        <v>60721</v>
      </c>
      <c r="D1975" t="s">
        <v>666</v>
      </c>
      <c r="E1975">
        <v>29</v>
      </c>
      <c r="F1975" s="1">
        <v>45578</v>
      </c>
      <c r="G1975" s="1" t="str">
        <f>TEXT(Table1[[#This Row],[Enrollment date]], "mmm")</f>
        <v>Oct</v>
      </c>
      <c r="H1975" t="s">
        <v>360</v>
      </c>
      <c r="I1975" t="s">
        <v>660</v>
      </c>
      <c r="J1975" t="str">
        <f>_xlfn.XLOOKUP(Table1[[#This Row],[Course ]], CCF!B:B, CCF!A:A)</f>
        <v>UX401</v>
      </c>
      <c r="K1975" t="s">
        <v>367</v>
      </c>
      <c r="L1975">
        <f>_xlfn.XLOOKUP(K1975, CCF!B:B, CCF!C:C)</f>
        <v>67990</v>
      </c>
      <c r="M1975" t="s">
        <v>106</v>
      </c>
    </row>
    <row r="1976" spans="1:13" x14ac:dyDescent="0.3">
      <c r="A1976">
        <v>1975</v>
      </c>
      <c r="B1976" t="s">
        <v>2633</v>
      </c>
      <c r="C1976" s="3">
        <v>59789</v>
      </c>
      <c r="D1976" t="s">
        <v>666</v>
      </c>
      <c r="E1976">
        <v>18</v>
      </c>
      <c r="F1976" s="1">
        <v>45578</v>
      </c>
      <c r="G1976" s="1" t="str">
        <f>TEXT(Table1[[#This Row],[Enrollment date]], "mmm")</f>
        <v>Oct</v>
      </c>
      <c r="H1976" t="s">
        <v>360</v>
      </c>
      <c r="I1976" t="s">
        <v>659</v>
      </c>
      <c r="J1976" t="str">
        <f>_xlfn.XLOOKUP(Table1[[#This Row],[Course ]], CCF!B:B, CCF!A:A)</f>
        <v>UX401</v>
      </c>
      <c r="K1976" t="s">
        <v>367</v>
      </c>
      <c r="L1976">
        <f>_xlfn.XLOOKUP(K1976, CCF!B:B, CCF!C:C)</f>
        <v>67990</v>
      </c>
      <c r="M1976" t="s">
        <v>19</v>
      </c>
    </row>
    <row r="1977" spans="1:13" x14ac:dyDescent="0.3">
      <c r="A1977">
        <v>1976</v>
      </c>
      <c r="B1977" t="s">
        <v>2634</v>
      </c>
      <c r="C1977" s="3">
        <v>71015</v>
      </c>
      <c r="D1977" t="s">
        <v>666</v>
      </c>
      <c r="E1977">
        <v>43</v>
      </c>
      <c r="F1977" s="1">
        <v>45579</v>
      </c>
      <c r="G1977" s="1" t="str">
        <f>TEXT(Table1[[#This Row],[Enrollment date]], "mmm")</f>
        <v>Oct</v>
      </c>
      <c r="H1977" t="s">
        <v>360</v>
      </c>
      <c r="I1977" t="s">
        <v>662</v>
      </c>
      <c r="J1977" t="str">
        <f>_xlfn.XLOOKUP(Table1[[#This Row],[Course ]], CCF!B:B, CCF!A:A)</f>
        <v>DM101</v>
      </c>
      <c r="K1977" t="s">
        <v>365</v>
      </c>
      <c r="L1977">
        <f>_xlfn.XLOOKUP(K1977, CCF!B:B, CCF!C:C)</f>
        <v>85499</v>
      </c>
      <c r="M1977" t="s">
        <v>12</v>
      </c>
    </row>
    <row r="1978" spans="1:13" x14ac:dyDescent="0.3">
      <c r="A1978">
        <v>1977</v>
      </c>
      <c r="B1978" t="s">
        <v>2635</v>
      </c>
      <c r="C1978" s="3">
        <v>59708</v>
      </c>
      <c r="D1978" t="s">
        <v>667</v>
      </c>
      <c r="E1978">
        <v>27</v>
      </c>
      <c r="F1978" s="1">
        <v>45579</v>
      </c>
      <c r="G1978" s="1" t="str">
        <f>TEXT(Table1[[#This Row],[Enrollment date]], "mmm")</f>
        <v>Oct</v>
      </c>
      <c r="H1978" t="s">
        <v>360</v>
      </c>
      <c r="I1978" t="s">
        <v>659</v>
      </c>
      <c r="J1978" t="str">
        <f>_xlfn.XLOOKUP(Table1[[#This Row],[Course ]], CCF!B:B, CCF!A:A)</f>
        <v>DM101</v>
      </c>
      <c r="K1978" t="s">
        <v>365</v>
      </c>
      <c r="L1978">
        <f>_xlfn.XLOOKUP(K1978, CCF!B:B, CCF!C:C)</f>
        <v>85499</v>
      </c>
      <c r="M1978" t="s">
        <v>16</v>
      </c>
    </row>
    <row r="1979" spans="1:13" x14ac:dyDescent="0.3">
      <c r="A1979">
        <v>1978</v>
      </c>
      <c r="B1979" t="s">
        <v>2636</v>
      </c>
      <c r="C1979" s="3">
        <v>66705</v>
      </c>
      <c r="D1979" t="s">
        <v>667</v>
      </c>
      <c r="E1979">
        <v>27</v>
      </c>
      <c r="F1979" s="1">
        <v>45579</v>
      </c>
      <c r="G1979" s="1" t="str">
        <f>TEXT(Table1[[#This Row],[Enrollment date]], "mmm")</f>
        <v>Oct</v>
      </c>
      <c r="H1979" t="s">
        <v>360</v>
      </c>
      <c r="I1979" t="s">
        <v>660</v>
      </c>
      <c r="J1979" t="str">
        <f>_xlfn.XLOOKUP(Table1[[#This Row],[Course ]], CCF!B:B, CCF!A:A)</f>
        <v>DM101</v>
      </c>
      <c r="K1979" t="s">
        <v>365</v>
      </c>
      <c r="L1979">
        <f>_xlfn.XLOOKUP(K1979, CCF!B:B, CCF!C:C)</f>
        <v>85499</v>
      </c>
      <c r="M1979" t="s">
        <v>16</v>
      </c>
    </row>
    <row r="1980" spans="1:13" x14ac:dyDescent="0.3">
      <c r="A1980">
        <v>1979</v>
      </c>
      <c r="B1980" t="s">
        <v>2637</v>
      </c>
      <c r="C1980" s="3">
        <v>72102</v>
      </c>
      <c r="D1980" t="s">
        <v>666</v>
      </c>
      <c r="E1980">
        <v>46</v>
      </c>
      <c r="F1980" s="1">
        <v>45579</v>
      </c>
      <c r="G1980" s="1" t="str">
        <f>TEXT(Table1[[#This Row],[Enrollment date]], "mmm")</f>
        <v>Oct</v>
      </c>
      <c r="H1980" t="s">
        <v>360</v>
      </c>
      <c r="I1980" t="s">
        <v>662</v>
      </c>
      <c r="J1980" t="str">
        <f>_xlfn.XLOOKUP(Table1[[#This Row],[Course ]], CCF!B:B, CCF!A:A)</f>
        <v>BA301</v>
      </c>
      <c r="K1980" t="s">
        <v>364</v>
      </c>
      <c r="L1980">
        <f>_xlfn.XLOOKUP(K1980, CCF!B:B, CCF!C:C)</f>
        <v>59999</v>
      </c>
      <c r="M1980" t="s">
        <v>328</v>
      </c>
    </row>
    <row r="1981" spans="1:13" x14ac:dyDescent="0.3">
      <c r="A1981">
        <v>1980</v>
      </c>
      <c r="B1981" t="s">
        <v>2638</v>
      </c>
      <c r="C1981" s="3">
        <v>72288</v>
      </c>
      <c r="D1981" t="s">
        <v>666</v>
      </c>
      <c r="E1981">
        <v>26</v>
      </c>
      <c r="F1981" s="1">
        <v>45579</v>
      </c>
      <c r="G1981" s="1" t="str">
        <f>TEXT(Table1[[#This Row],[Enrollment date]], "mmm")</f>
        <v>Oct</v>
      </c>
      <c r="H1981" t="s">
        <v>360</v>
      </c>
      <c r="I1981" t="s">
        <v>660</v>
      </c>
      <c r="J1981" t="str">
        <f>_xlfn.XLOOKUP(Table1[[#This Row],[Course ]], CCF!B:B, CCF!A:A)</f>
        <v>DA202</v>
      </c>
      <c r="K1981" t="s">
        <v>363</v>
      </c>
      <c r="L1981">
        <f>_xlfn.XLOOKUP(K1981, CCF!B:B, CCF!C:C)</f>
        <v>79999</v>
      </c>
      <c r="M1981" t="s">
        <v>608</v>
      </c>
    </row>
    <row r="1982" spans="1:13" x14ac:dyDescent="0.3">
      <c r="A1982">
        <v>1981</v>
      </c>
      <c r="B1982" t="s">
        <v>2639</v>
      </c>
      <c r="C1982" s="3">
        <v>44126</v>
      </c>
      <c r="D1982" t="s">
        <v>666</v>
      </c>
      <c r="E1982">
        <v>48</v>
      </c>
      <c r="F1982" s="1">
        <v>45579</v>
      </c>
      <c r="G1982" s="1" t="str">
        <f>TEXT(Table1[[#This Row],[Enrollment date]], "mmm")</f>
        <v>Oct</v>
      </c>
      <c r="H1982" t="s">
        <v>360</v>
      </c>
      <c r="I1982" t="s">
        <v>662</v>
      </c>
      <c r="J1982" t="str">
        <f>_xlfn.XLOOKUP(Table1[[#This Row],[Course ]], CCF!B:B, CCF!A:A)</f>
        <v>DM101</v>
      </c>
      <c r="K1982" t="s">
        <v>365</v>
      </c>
      <c r="L1982">
        <f>_xlfn.XLOOKUP(K1982, CCF!B:B, CCF!C:C)</f>
        <v>85499</v>
      </c>
      <c r="M1982" t="s">
        <v>38</v>
      </c>
    </row>
    <row r="1983" spans="1:13" x14ac:dyDescent="0.3">
      <c r="A1983">
        <v>1982</v>
      </c>
      <c r="B1983" t="s">
        <v>2640</v>
      </c>
      <c r="C1983" s="3">
        <v>39442</v>
      </c>
      <c r="D1983" t="s">
        <v>667</v>
      </c>
      <c r="E1983">
        <v>47</v>
      </c>
      <c r="F1983" s="1">
        <v>45579</v>
      </c>
      <c r="G1983" s="1" t="str">
        <f>TEXT(Table1[[#This Row],[Enrollment date]], "mmm")</f>
        <v>Oct</v>
      </c>
      <c r="H1983" t="s">
        <v>360</v>
      </c>
      <c r="I1983" t="s">
        <v>660</v>
      </c>
      <c r="J1983" t="str">
        <f>_xlfn.XLOOKUP(Table1[[#This Row],[Course ]], CCF!B:B, CCF!A:A)</f>
        <v>DA202</v>
      </c>
      <c r="K1983" t="s">
        <v>363</v>
      </c>
      <c r="L1983">
        <f>_xlfn.XLOOKUP(K1983, CCF!B:B, CCF!C:C)</f>
        <v>79999</v>
      </c>
      <c r="M1983" t="s">
        <v>149</v>
      </c>
    </row>
    <row r="1984" spans="1:13" x14ac:dyDescent="0.3">
      <c r="A1984">
        <v>1983</v>
      </c>
      <c r="B1984" t="s">
        <v>2641</v>
      </c>
      <c r="C1984" s="3">
        <v>59525</v>
      </c>
      <c r="D1984" t="s">
        <v>666</v>
      </c>
      <c r="E1984">
        <v>31</v>
      </c>
      <c r="F1984" s="1">
        <v>45579</v>
      </c>
      <c r="G1984" s="1" t="str">
        <f>TEXT(Table1[[#This Row],[Enrollment date]], "mmm")</f>
        <v>Oct</v>
      </c>
      <c r="H1984" t="s">
        <v>360</v>
      </c>
      <c r="I1984" t="s">
        <v>664</v>
      </c>
      <c r="J1984" t="str">
        <f>_xlfn.XLOOKUP(Table1[[#This Row],[Course ]], CCF!B:B, CCF!A:A)</f>
        <v>DM101</v>
      </c>
      <c r="K1984" t="s">
        <v>365</v>
      </c>
      <c r="L1984">
        <f>_xlfn.XLOOKUP(K1984, CCF!B:B, CCF!C:C)</f>
        <v>85499</v>
      </c>
      <c r="M1984" t="s">
        <v>20</v>
      </c>
    </row>
    <row r="1985" spans="1:13" x14ac:dyDescent="0.3">
      <c r="A1985">
        <v>1984</v>
      </c>
      <c r="B1985" t="s">
        <v>2642</v>
      </c>
      <c r="C1985" s="3">
        <v>47584</v>
      </c>
      <c r="D1985" t="s">
        <v>666</v>
      </c>
      <c r="E1985">
        <v>72</v>
      </c>
      <c r="F1985" s="1">
        <v>45580</v>
      </c>
      <c r="G1985" s="1" t="str">
        <f>TEXT(Table1[[#This Row],[Enrollment date]], "mmm")</f>
        <v>Oct</v>
      </c>
      <c r="H1985" t="s">
        <v>360</v>
      </c>
      <c r="I1985" t="s">
        <v>663</v>
      </c>
      <c r="J1985" t="str">
        <f>_xlfn.XLOOKUP(Table1[[#This Row],[Course ]], CCF!B:B, CCF!A:A)</f>
        <v>DA202</v>
      </c>
      <c r="K1985" t="s">
        <v>363</v>
      </c>
      <c r="L1985">
        <f>_xlfn.XLOOKUP(K1985, CCF!B:B, CCF!C:C)</f>
        <v>79999</v>
      </c>
      <c r="M1985" t="s">
        <v>224</v>
      </c>
    </row>
    <row r="1986" spans="1:13" x14ac:dyDescent="0.3">
      <c r="A1986">
        <v>1985</v>
      </c>
      <c r="B1986" t="s">
        <v>2643</v>
      </c>
      <c r="C1986" s="3">
        <v>90767</v>
      </c>
      <c r="D1986" t="s">
        <v>666</v>
      </c>
      <c r="E1986">
        <v>70</v>
      </c>
      <c r="F1986" s="1">
        <v>45580</v>
      </c>
      <c r="G1986" s="1" t="str">
        <f>TEXT(Table1[[#This Row],[Enrollment date]], "mmm")</f>
        <v>Oct</v>
      </c>
      <c r="H1986" t="s">
        <v>360</v>
      </c>
      <c r="I1986" t="s">
        <v>661</v>
      </c>
      <c r="J1986" t="str">
        <f>_xlfn.XLOOKUP(Table1[[#This Row],[Course ]], CCF!B:B, CCF!A:A)</f>
        <v>DA202</v>
      </c>
      <c r="K1986" t="s">
        <v>363</v>
      </c>
      <c r="L1986">
        <f>_xlfn.XLOOKUP(K1986, CCF!B:B, CCF!C:C)</f>
        <v>79999</v>
      </c>
      <c r="M1986" t="s">
        <v>247</v>
      </c>
    </row>
    <row r="1987" spans="1:13" x14ac:dyDescent="0.3">
      <c r="A1987">
        <v>1986</v>
      </c>
      <c r="B1987" t="s">
        <v>2644</v>
      </c>
      <c r="C1987" s="3">
        <v>51555</v>
      </c>
      <c r="D1987" t="s">
        <v>666</v>
      </c>
      <c r="E1987">
        <v>45</v>
      </c>
      <c r="F1987" s="1">
        <v>45580</v>
      </c>
      <c r="G1987" s="1" t="str">
        <f>TEXT(Table1[[#This Row],[Enrollment date]], "mmm")</f>
        <v>Oct</v>
      </c>
      <c r="H1987" t="s">
        <v>360</v>
      </c>
      <c r="I1987" t="s">
        <v>661</v>
      </c>
      <c r="J1987" t="str">
        <f>_xlfn.XLOOKUP(Table1[[#This Row],[Course ]], CCF!B:B, CCF!A:A)</f>
        <v>DM101</v>
      </c>
      <c r="K1987" t="s">
        <v>365</v>
      </c>
      <c r="L1987">
        <f>_xlfn.XLOOKUP(K1987, CCF!B:B, CCF!C:C)</f>
        <v>85499</v>
      </c>
      <c r="M1987" t="s">
        <v>145</v>
      </c>
    </row>
    <row r="1988" spans="1:13" x14ac:dyDescent="0.3">
      <c r="A1988">
        <v>1987</v>
      </c>
      <c r="B1988" t="s">
        <v>2645</v>
      </c>
      <c r="C1988" s="3">
        <v>52235</v>
      </c>
      <c r="D1988" t="s">
        <v>666</v>
      </c>
      <c r="E1988">
        <v>34</v>
      </c>
      <c r="F1988" s="1">
        <v>45580</v>
      </c>
      <c r="G1988" s="1" t="str">
        <f>TEXT(Table1[[#This Row],[Enrollment date]], "mmm")</f>
        <v>Oct</v>
      </c>
      <c r="H1988" t="s">
        <v>360</v>
      </c>
      <c r="I1988" t="s">
        <v>660</v>
      </c>
      <c r="J1988" t="str">
        <f>_xlfn.XLOOKUP(Table1[[#This Row],[Course ]], CCF!B:B, CCF!A:A)</f>
        <v>FSD103</v>
      </c>
      <c r="K1988" t="s">
        <v>366</v>
      </c>
      <c r="L1988">
        <f>_xlfn.XLOOKUP(K1988, CCF!B:B, CCF!C:C)</f>
        <v>109990</v>
      </c>
      <c r="M1988" t="s">
        <v>207</v>
      </c>
    </row>
    <row r="1989" spans="1:13" x14ac:dyDescent="0.3">
      <c r="A1989">
        <v>1988</v>
      </c>
      <c r="B1989" t="s">
        <v>2646</v>
      </c>
      <c r="C1989" s="3">
        <v>53214</v>
      </c>
      <c r="D1989" t="s">
        <v>666</v>
      </c>
      <c r="E1989">
        <v>40</v>
      </c>
      <c r="F1989" s="1">
        <v>45580</v>
      </c>
      <c r="G1989" s="1" t="str">
        <f>TEXT(Table1[[#This Row],[Enrollment date]], "mmm")</f>
        <v>Oct</v>
      </c>
      <c r="H1989" t="s">
        <v>360</v>
      </c>
      <c r="I1989" t="s">
        <v>659</v>
      </c>
      <c r="J1989" t="str">
        <f>_xlfn.XLOOKUP(Table1[[#This Row],[Course ]], CCF!B:B, CCF!A:A)</f>
        <v>DA202</v>
      </c>
      <c r="K1989" t="s">
        <v>363</v>
      </c>
      <c r="L1989">
        <f>_xlfn.XLOOKUP(K1989, CCF!B:B, CCF!C:C)</f>
        <v>79999</v>
      </c>
      <c r="M1989" t="s">
        <v>86</v>
      </c>
    </row>
    <row r="1990" spans="1:13" x14ac:dyDescent="0.3">
      <c r="A1990">
        <v>1989</v>
      </c>
      <c r="B1990" t="s">
        <v>2647</v>
      </c>
      <c r="C1990" s="3">
        <v>28933</v>
      </c>
      <c r="D1990" t="s">
        <v>667</v>
      </c>
      <c r="E1990">
        <v>44</v>
      </c>
      <c r="F1990" s="1">
        <v>45580</v>
      </c>
      <c r="G1990" s="1" t="str">
        <f>TEXT(Table1[[#This Row],[Enrollment date]], "mmm")</f>
        <v>Oct</v>
      </c>
      <c r="H1990" t="s">
        <v>360</v>
      </c>
      <c r="I1990" t="s">
        <v>660</v>
      </c>
      <c r="J1990" t="str">
        <f>_xlfn.XLOOKUP(Table1[[#This Row],[Course ]], CCF!B:B, CCF!A:A)</f>
        <v>DA202</v>
      </c>
      <c r="K1990" t="s">
        <v>363</v>
      </c>
      <c r="L1990">
        <f>_xlfn.XLOOKUP(K1990, CCF!B:B, CCF!C:C)</f>
        <v>79999</v>
      </c>
      <c r="M1990" t="s">
        <v>9</v>
      </c>
    </row>
    <row r="1991" spans="1:13" x14ac:dyDescent="0.3">
      <c r="A1991">
        <v>1990</v>
      </c>
      <c r="B1991" t="s">
        <v>2648</v>
      </c>
      <c r="C1991" s="3">
        <v>94353</v>
      </c>
      <c r="D1991" t="s">
        <v>667</v>
      </c>
      <c r="E1991">
        <v>44</v>
      </c>
      <c r="F1991" s="1">
        <v>45581</v>
      </c>
      <c r="G1991" s="1" t="str">
        <f>TEXT(Table1[[#This Row],[Enrollment date]], "mmm")</f>
        <v>Oct</v>
      </c>
      <c r="H1991" t="s">
        <v>3</v>
      </c>
      <c r="I1991" t="s">
        <v>659</v>
      </c>
      <c r="J1991" t="str">
        <f>_xlfn.XLOOKUP(Table1[[#This Row],[Course ]], CCF!B:B, CCF!A:A)</f>
        <v>BA301</v>
      </c>
      <c r="K1991" t="s">
        <v>364</v>
      </c>
      <c r="L1991">
        <f>_xlfn.XLOOKUP(K1991, CCF!B:B, CCF!C:C)</f>
        <v>59999</v>
      </c>
      <c r="M1991" t="s">
        <v>20</v>
      </c>
    </row>
    <row r="1992" spans="1:13" x14ac:dyDescent="0.3">
      <c r="A1992">
        <v>1991</v>
      </c>
      <c r="B1992" t="s">
        <v>2649</v>
      </c>
      <c r="C1992" s="3">
        <v>37811</v>
      </c>
      <c r="D1992" t="s">
        <v>666</v>
      </c>
      <c r="E1992">
        <v>25</v>
      </c>
      <c r="F1992" s="1">
        <v>45581</v>
      </c>
      <c r="G1992" s="1" t="str">
        <f>TEXT(Table1[[#This Row],[Enrollment date]], "mmm")</f>
        <v>Oct</v>
      </c>
      <c r="H1992" t="s">
        <v>360</v>
      </c>
      <c r="I1992" t="s">
        <v>660</v>
      </c>
      <c r="J1992" t="str">
        <f>_xlfn.XLOOKUP(Table1[[#This Row],[Course ]], CCF!B:B, CCF!A:A)</f>
        <v>DM101</v>
      </c>
      <c r="K1992" t="s">
        <v>365</v>
      </c>
      <c r="L1992">
        <f>_xlfn.XLOOKUP(K1992, CCF!B:B, CCF!C:C)</f>
        <v>85499</v>
      </c>
      <c r="M1992" t="s">
        <v>43</v>
      </c>
    </row>
    <row r="1993" spans="1:13" x14ac:dyDescent="0.3">
      <c r="A1993">
        <v>1992</v>
      </c>
      <c r="B1993" t="s">
        <v>2650</v>
      </c>
      <c r="C1993" s="3">
        <v>43679</v>
      </c>
      <c r="D1993" t="s">
        <v>666</v>
      </c>
      <c r="E1993">
        <v>33</v>
      </c>
      <c r="F1993" s="1">
        <v>45581</v>
      </c>
      <c r="G1993" s="1" t="str">
        <f>TEXT(Table1[[#This Row],[Enrollment date]], "mmm")</f>
        <v>Oct</v>
      </c>
      <c r="H1993" t="s">
        <v>360</v>
      </c>
      <c r="I1993" t="s">
        <v>659</v>
      </c>
      <c r="J1993" t="str">
        <f>_xlfn.XLOOKUP(Table1[[#This Row],[Course ]], CCF!B:B, CCF!A:A)</f>
        <v>UX401</v>
      </c>
      <c r="K1993" t="s">
        <v>367</v>
      </c>
      <c r="L1993">
        <f>_xlfn.XLOOKUP(K1993, CCF!B:B, CCF!C:C)</f>
        <v>67990</v>
      </c>
      <c r="M1993" t="s">
        <v>53</v>
      </c>
    </row>
    <row r="1994" spans="1:13" x14ac:dyDescent="0.3">
      <c r="A1994">
        <v>1993</v>
      </c>
      <c r="B1994" t="s">
        <v>2651</v>
      </c>
      <c r="C1994" s="3">
        <v>39014</v>
      </c>
      <c r="D1994" t="s">
        <v>666</v>
      </c>
      <c r="E1994">
        <v>30</v>
      </c>
      <c r="F1994" s="1">
        <v>45582</v>
      </c>
      <c r="G1994" s="1" t="str">
        <f>TEXT(Table1[[#This Row],[Enrollment date]], "mmm")</f>
        <v>Oct</v>
      </c>
      <c r="H1994" t="s">
        <v>3</v>
      </c>
      <c r="I1994" t="s">
        <v>661</v>
      </c>
      <c r="J1994" t="str">
        <f>_xlfn.XLOOKUP(Table1[[#This Row],[Course ]], CCF!B:B, CCF!A:A)</f>
        <v>DM101</v>
      </c>
      <c r="K1994" t="s">
        <v>365</v>
      </c>
      <c r="L1994">
        <f>_xlfn.XLOOKUP(K1994, CCF!B:B, CCF!C:C)</f>
        <v>85499</v>
      </c>
      <c r="M1994" t="s">
        <v>91</v>
      </c>
    </row>
    <row r="1995" spans="1:13" x14ac:dyDescent="0.3">
      <c r="A1995">
        <v>1994</v>
      </c>
      <c r="B1995" t="s">
        <v>2652</v>
      </c>
      <c r="C1995" s="3">
        <v>70745</v>
      </c>
      <c r="D1995" t="s">
        <v>667</v>
      </c>
      <c r="E1995">
        <v>31</v>
      </c>
      <c r="F1995" s="1">
        <v>45582</v>
      </c>
      <c r="G1995" s="1" t="str">
        <f>TEXT(Table1[[#This Row],[Enrollment date]], "mmm")</f>
        <v>Oct</v>
      </c>
      <c r="H1995" t="s">
        <v>360</v>
      </c>
      <c r="I1995" t="s">
        <v>663</v>
      </c>
      <c r="J1995" t="str">
        <f>_xlfn.XLOOKUP(Table1[[#This Row],[Course ]], CCF!B:B, CCF!A:A)</f>
        <v>FSD103</v>
      </c>
      <c r="K1995" t="s">
        <v>366</v>
      </c>
      <c r="L1995">
        <f>_xlfn.XLOOKUP(K1995, CCF!B:B, CCF!C:C)</f>
        <v>109990</v>
      </c>
      <c r="M1995" t="s">
        <v>172</v>
      </c>
    </row>
    <row r="1996" spans="1:13" x14ac:dyDescent="0.3">
      <c r="A1996">
        <v>1995</v>
      </c>
      <c r="B1996" t="s">
        <v>2653</v>
      </c>
      <c r="C1996" s="3">
        <v>98904</v>
      </c>
      <c r="D1996" t="s">
        <v>666</v>
      </c>
      <c r="E1996">
        <v>21</v>
      </c>
      <c r="F1996" s="1">
        <v>45582</v>
      </c>
      <c r="G1996" s="1" t="str">
        <f>TEXT(Table1[[#This Row],[Enrollment date]], "mmm")</f>
        <v>Oct</v>
      </c>
      <c r="H1996" t="s">
        <v>360</v>
      </c>
      <c r="I1996" t="s">
        <v>660</v>
      </c>
      <c r="J1996" t="str">
        <f>_xlfn.XLOOKUP(Table1[[#This Row],[Course ]], CCF!B:B, CCF!A:A)</f>
        <v>DA202</v>
      </c>
      <c r="K1996" t="s">
        <v>363</v>
      </c>
      <c r="L1996">
        <f>_xlfn.XLOOKUP(K1996, CCF!B:B, CCF!C:C)</f>
        <v>79999</v>
      </c>
      <c r="M1996" t="s">
        <v>9</v>
      </c>
    </row>
    <row r="1997" spans="1:13" x14ac:dyDescent="0.3">
      <c r="A1997">
        <v>1996</v>
      </c>
      <c r="B1997" t="s">
        <v>2654</v>
      </c>
      <c r="C1997" s="3">
        <v>44598</v>
      </c>
      <c r="D1997" t="s">
        <v>666</v>
      </c>
      <c r="E1997">
        <v>51</v>
      </c>
      <c r="F1997" s="1">
        <v>45582</v>
      </c>
      <c r="G1997" s="1" t="str">
        <f>TEXT(Table1[[#This Row],[Enrollment date]], "mmm")</f>
        <v>Oct</v>
      </c>
      <c r="H1997" t="s">
        <v>360</v>
      </c>
      <c r="I1997" t="s">
        <v>665</v>
      </c>
      <c r="J1997" t="str">
        <f>_xlfn.XLOOKUP(Table1[[#This Row],[Course ]], CCF!B:B, CCF!A:A)</f>
        <v>DA202</v>
      </c>
      <c r="K1997" t="s">
        <v>363</v>
      </c>
      <c r="L1997">
        <f>_xlfn.XLOOKUP(K1997, CCF!B:B, CCF!C:C)</f>
        <v>79999</v>
      </c>
      <c r="M1997" t="s">
        <v>138</v>
      </c>
    </row>
    <row r="1998" spans="1:13" x14ac:dyDescent="0.3">
      <c r="A1998">
        <v>1997</v>
      </c>
      <c r="B1998" t="s">
        <v>2655</v>
      </c>
      <c r="C1998" s="3">
        <v>14210</v>
      </c>
      <c r="D1998" t="s">
        <v>667</v>
      </c>
      <c r="E1998">
        <v>28</v>
      </c>
      <c r="F1998" s="1">
        <v>45583</v>
      </c>
      <c r="G1998" s="1" t="str">
        <f>TEXT(Table1[[#This Row],[Enrollment date]], "mmm")</f>
        <v>Oct</v>
      </c>
      <c r="H1998" t="s">
        <v>360</v>
      </c>
      <c r="I1998" t="s">
        <v>660</v>
      </c>
      <c r="J1998" t="str">
        <f>_xlfn.XLOOKUP(Table1[[#This Row],[Course ]], CCF!B:B, CCF!A:A)</f>
        <v>BA301</v>
      </c>
      <c r="K1998" t="s">
        <v>364</v>
      </c>
      <c r="L1998">
        <f>_xlfn.XLOOKUP(K1998, CCF!B:B, CCF!C:C)</f>
        <v>59999</v>
      </c>
      <c r="M1998" t="s">
        <v>16</v>
      </c>
    </row>
    <row r="1999" spans="1:13" x14ac:dyDescent="0.3">
      <c r="A1999">
        <v>1998</v>
      </c>
      <c r="B1999" t="s">
        <v>2656</v>
      </c>
      <c r="C1999" s="3">
        <v>79742</v>
      </c>
      <c r="D1999" t="s">
        <v>666</v>
      </c>
      <c r="E1999">
        <v>30</v>
      </c>
      <c r="F1999" s="1">
        <v>45583</v>
      </c>
      <c r="G1999" s="1" t="str">
        <f>TEXT(Table1[[#This Row],[Enrollment date]], "mmm")</f>
        <v>Oct</v>
      </c>
      <c r="H1999" t="s">
        <v>360</v>
      </c>
      <c r="I1999" t="s">
        <v>660</v>
      </c>
      <c r="J1999" t="str">
        <f>_xlfn.XLOOKUP(Table1[[#This Row],[Course ]], CCF!B:B, CCF!A:A)</f>
        <v>DM101</v>
      </c>
      <c r="K1999" t="s">
        <v>365</v>
      </c>
      <c r="L1999">
        <f>_xlfn.XLOOKUP(K1999, CCF!B:B, CCF!C:C)</f>
        <v>85499</v>
      </c>
      <c r="M1999" t="s">
        <v>27</v>
      </c>
    </row>
    <row r="2000" spans="1:13" x14ac:dyDescent="0.3">
      <c r="A2000">
        <v>1999</v>
      </c>
      <c r="B2000" t="s">
        <v>2657</v>
      </c>
      <c r="C2000" s="3">
        <v>43713</v>
      </c>
      <c r="D2000" t="s">
        <v>666</v>
      </c>
      <c r="E2000">
        <v>30</v>
      </c>
      <c r="F2000" s="1">
        <v>45583</v>
      </c>
      <c r="G2000" s="1" t="str">
        <f>TEXT(Table1[[#This Row],[Enrollment date]], "mmm")</f>
        <v>Oct</v>
      </c>
      <c r="H2000" t="s">
        <v>360</v>
      </c>
      <c r="I2000" t="s">
        <v>660</v>
      </c>
      <c r="J2000" t="str">
        <f>_xlfn.XLOOKUP(Table1[[#This Row],[Course ]], CCF!B:B, CCF!A:A)</f>
        <v>FSD103</v>
      </c>
      <c r="K2000" t="s">
        <v>366</v>
      </c>
      <c r="L2000">
        <f>_xlfn.XLOOKUP(K2000, CCF!B:B, CCF!C:C)</f>
        <v>109990</v>
      </c>
      <c r="M2000" t="s">
        <v>12</v>
      </c>
    </row>
    <row r="2001" spans="1:13" x14ac:dyDescent="0.3">
      <c r="A2001">
        <v>2000</v>
      </c>
      <c r="B2001" t="s">
        <v>2658</v>
      </c>
      <c r="C2001" s="3">
        <v>51828</v>
      </c>
      <c r="D2001" t="s">
        <v>666</v>
      </c>
      <c r="E2001">
        <v>24</v>
      </c>
      <c r="F2001" s="1">
        <v>45584</v>
      </c>
      <c r="G2001" s="1" t="str">
        <f>TEXT(Table1[[#This Row],[Enrollment date]], "mmm")</f>
        <v>Oct</v>
      </c>
      <c r="H2001" t="s">
        <v>3</v>
      </c>
      <c r="I2001" t="s">
        <v>659</v>
      </c>
      <c r="J2001" t="str">
        <f>_xlfn.XLOOKUP(Table1[[#This Row],[Course ]], CCF!B:B, CCF!A:A)</f>
        <v>BA301</v>
      </c>
      <c r="K2001" t="s">
        <v>364</v>
      </c>
      <c r="L2001">
        <f>_xlfn.XLOOKUP(K2001, CCF!B:B, CCF!C:C)</f>
        <v>59999</v>
      </c>
      <c r="M2001" t="s">
        <v>20</v>
      </c>
    </row>
    <row r="2002" spans="1:13" x14ac:dyDescent="0.3">
      <c r="A2002">
        <v>2001</v>
      </c>
      <c r="B2002" t="s">
        <v>850</v>
      </c>
      <c r="C2002" s="3">
        <v>32376</v>
      </c>
      <c r="D2002" t="s">
        <v>666</v>
      </c>
      <c r="E2002">
        <v>24</v>
      </c>
      <c r="F2002" s="1">
        <v>45584</v>
      </c>
      <c r="G2002" s="1" t="str">
        <f>TEXT(Table1[[#This Row],[Enrollment date]], "mmm")</f>
        <v>Oct</v>
      </c>
      <c r="H2002" t="s">
        <v>360</v>
      </c>
      <c r="I2002" t="s">
        <v>663</v>
      </c>
      <c r="J2002" t="str">
        <f>_xlfn.XLOOKUP(Table1[[#This Row],[Course ]], CCF!B:B, CCF!A:A)</f>
        <v>BA301</v>
      </c>
      <c r="K2002" t="s">
        <v>364</v>
      </c>
      <c r="L2002">
        <f>_xlfn.XLOOKUP(K2002, CCF!B:B, CCF!C:C)</f>
        <v>59999</v>
      </c>
      <c r="M2002" t="s">
        <v>16</v>
      </c>
    </row>
    <row r="2003" spans="1:13" x14ac:dyDescent="0.3">
      <c r="A2003">
        <v>2002</v>
      </c>
      <c r="B2003" t="s">
        <v>2659</v>
      </c>
      <c r="C2003" s="3">
        <v>91806</v>
      </c>
      <c r="D2003" t="s">
        <v>666</v>
      </c>
      <c r="E2003">
        <v>25</v>
      </c>
      <c r="F2003" s="1">
        <v>45584</v>
      </c>
      <c r="G2003" s="1" t="str">
        <f>TEXT(Table1[[#This Row],[Enrollment date]], "mmm")</f>
        <v>Oct</v>
      </c>
      <c r="H2003" t="s">
        <v>360</v>
      </c>
      <c r="I2003" t="s">
        <v>663</v>
      </c>
      <c r="J2003" t="str">
        <f>_xlfn.XLOOKUP(Table1[[#This Row],[Course ]], CCF!B:B, CCF!A:A)</f>
        <v>DA202</v>
      </c>
      <c r="K2003" t="s">
        <v>363</v>
      </c>
      <c r="L2003">
        <f>_xlfn.XLOOKUP(K2003, CCF!B:B, CCF!C:C)</f>
        <v>79999</v>
      </c>
      <c r="M2003" t="s">
        <v>159</v>
      </c>
    </row>
    <row r="2004" spans="1:13" x14ac:dyDescent="0.3">
      <c r="A2004">
        <v>2003</v>
      </c>
      <c r="B2004" t="s">
        <v>2660</v>
      </c>
      <c r="C2004" s="3">
        <v>93314</v>
      </c>
      <c r="D2004" t="s">
        <v>666</v>
      </c>
      <c r="E2004">
        <v>19</v>
      </c>
      <c r="F2004" s="1">
        <v>45584</v>
      </c>
      <c r="G2004" s="1" t="str">
        <f>TEXT(Table1[[#This Row],[Enrollment date]], "mmm")</f>
        <v>Oct</v>
      </c>
      <c r="H2004" t="s">
        <v>360</v>
      </c>
      <c r="I2004" t="s">
        <v>659</v>
      </c>
      <c r="J2004" t="str">
        <f>_xlfn.XLOOKUP(Table1[[#This Row],[Course ]], CCF!B:B, CCF!A:A)</f>
        <v>DM101</v>
      </c>
      <c r="K2004" t="s">
        <v>365</v>
      </c>
      <c r="L2004">
        <f>_xlfn.XLOOKUP(K2004, CCF!B:B, CCF!C:C)</f>
        <v>85499</v>
      </c>
      <c r="M2004" t="s">
        <v>20</v>
      </c>
    </row>
    <row r="2005" spans="1:13" x14ac:dyDescent="0.3">
      <c r="A2005">
        <v>2004</v>
      </c>
      <c r="B2005" t="s">
        <v>2661</v>
      </c>
      <c r="C2005" s="3">
        <v>47762</v>
      </c>
      <c r="D2005" t="s">
        <v>666</v>
      </c>
      <c r="E2005">
        <v>73</v>
      </c>
      <c r="F2005" s="1">
        <v>45584</v>
      </c>
      <c r="G2005" s="1" t="str">
        <f>TEXT(Table1[[#This Row],[Enrollment date]], "mmm")</f>
        <v>Oct</v>
      </c>
      <c r="H2005" t="s">
        <v>360</v>
      </c>
      <c r="I2005" t="s">
        <v>661</v>
      </c>
      <c r="J2005" t="str">
        <f>_xlfn.XLOOKUP(Table1[[#This Row],[Course ]], CCF!B:B, CCF!A:A)</f>
        <v>BA301</v>
      </c>
      <c r="K2005" t="s">
        <v>364</v>
      </c>
      <c r="L2005">
        <f>_xlfn.XLOOKUP(K2005, CCF!B:B, CCF!C:C)</f>
        <v>59999</v>
      </c>
      <c r="M2005" t="s">
        <v>299</v>
      </c>
    </row>
    <row r="2006" spans="1:13" x14ac:dyDescent="0.3">
      <c r="A2006">
        <v>2005</v>
      </c>
      <c r="B2006" t="s">
        <v>2662</v>
      </c>
      <c r="C2006" s="3">
        <v>25708</v>
      </c>
      <c r="D2006" t="s">
        <v>666</v>
      </c>
      <c r="E2006">
        <v>30</v>
      </c>
      <c r="F2006" s="1">
        <v>45585</v>
      </c>
      <c r="G2006" s="1" t="str">
        <f>TEXT(Table1[[#This Row],[Enrollment date]], "mmm")</f>
        <v>Oct</v>
      </c>
      <c r="H2006" t="s">
        <v>360</v>
      </c>
      <c r="I2006" t="s">
        <v>664</v>
      </c>
      <c r="J2006" t="str">
        <f>_xlfn.XLOOKUP(Table1[[#This Row],[Course ]], CCF!B:B, CCF!A:A)</f>
        <v>DA202</v>
      </c>
      <c r="K2006" t="s">
        <v>363</v>
      </c>
      <c r="L2006">
        <f>_xlfn.XLOOKUP(K2006, CCF!B:B, CCF!C:C)</f>
        <v>79999</v>
      </c>
      <c r="M2006" t="s">
        <v>172</v>
      </c>
    </row>
    <row r="2007" spans="1:13" x14ac:dyDescent="0.3">
      <c r="A2007">
        <v>2006</v>
      </c>
      <c r="B2007" t="s">
        <v>2663</v>
      </c>
      <c r="C2007" s="3">
        <v>53104</v>
      </c>
      <c r="D2007" t="s">
        <v>666</v>
      </c>
      <c r="E2007">
        <v>49</v>
      </c>
      <c r="F2007" s="1">
        <v>45585</v>
      </c>
      <c r="G2007" s="1" t="str">
        <f>TEXT(Table1[[#This Row],[Enrollment date]], "mmm")</f>
        <v>Oct</v>
      </c>
      <c r="H2007" t="s">
        <v>3</v>
      </c>
      <c r="I2007" t="s">
        <v>659</v>
      </c>
      <c r="J2007" t="str">
        <f>_xlfn.XLOOKUP(Table1[[#This Row],[Course ]], CCF!B:B, CCF!A:A)</f>
        <v>DA202</v>
      </c>
      <c r="K2007" t="s">
        <v>363</v>
      </c>
      <c r="L2007">
        <f>_xlfn.XLOOKUP(K2007, CCF!B:B, CCF!C:C)</f>
        <v>79999</v>
      </c>
      <c r="M2007" t="s">
        <v>609</v>
      </c>
    </row>
    <row r="2008" spans="1:13" x14ac:dyDescent="0.3">
      <c r="A2008">
        <v>2007</v>
      </c>
      <c r="B2008" t="s">
        <v>2664</v>
      </c>
      <c r="C2008" s="3">
        <v>59990</v>
      </c>
      <c r="D2008" t="s">
        <v>667</v>
      </c>
      <c r="E2008">
        <v>30</v>
      </c>
      <c r="F2008" s="1">
        <v>45585</v>
      </c>
      <c r="G2008" s="1" t="str">
        <f>TEXT(Table1[[#This Row],[Enrollment date]], "mmm")</f>
        <v>Oct</v>
      </c>
      <c r="H2008" t="s">
        <v>360</v>
      </c>
      <c r="I2008" t="s">
        <v>661</v>
      </c>
      <c r="J2008" t="str">
        <f>_xlfn.XLOOKUP(Table1[[#This Row],[Course ]], CCF!B:B, CCF!A:A)</f>
        <v>DA202</v>
      </c>
      <c r="K2008" t="s">
        <v>363</v>
      </c>
      <c r="L2008">
        <f>_xlfn.XLOOKUP(K2008, CCF!B:B, CCF!C:C)</f>
        <v>79999</v>
      </c>
      <c r="M2008" t="s">
        <v>610</v>
      </c>
    </row>
    <row r="2009" spans="1:13" x14ac:dyDescent="0.3">
      <c r="A2009">
        <v>2008</v>
      </c>
      <c r="B2009" t="s">
        <v>2665</v>
      </c>
      <c r="C2009" s="3">
        <v>91814</v>
      </c>
      <c r="D2009" t="s">
        <v>667</v>
      </c>
      <c r="E2009">
        <v>76</v>
      </c>
      <c r="F2009" s="1">
        <v>45585</v>
      </c>
      <c r="G2009" s="1" t="str">
        <f>TEXT(Table1[[#This Row],[Enrollment date]], "mmm")</f>
        <v>Oct</v>
      </c>
      <c r="H2009" t="s">
        <v>360</v>
      </c>
      <c r="I2009" t="s">
        <v>661</v>
      </c>
      <c r="J2009" t="str">
        <f>_xlfn.XLOOKUP(Table1[[#This Row],[Course ]], CCF!B:B, CCF!A:A)</f>
        <v>DM101</v>
      </c>
      <c r="K2009" t="s">
        <v>365</v>
      </c>
      <c r="L2009">
        <f>_xlfn.XLOOKUP(K2009, CCF!B:B, CCF!C:C)</f>
        <v>85499</v>
      </c>
      <c r="M2009" t="s">
        <v>33</v>
      </c>
    </row>
    <row r="2010" spans="1:13" x14ac:dyDescent="0.3">
      <c r="A2010">
        <v>2009</v>
      </c>
      <c r="B2010" t="s">
        <v>2666</v>
      </c>
      <c r="C2010" s="3">
        <v>11997</v>
      </c>
      <c r="D2010" t="s">
        <v>666</v>
      </c>
      <c r="E2010">
        <v>42</v>
      </c>
      <c r="F2010" s="1">
        <v>45585</v>
      </c>
      <c r="G2010" s="1" t="str">
        <f>TEXT(Table1[[#This Row],[Enrollment date]], "mmm")</f>
        <v>Oct</v>
      </c>
      <c r="H2010" t="s">
        <v>360</v>
      </c>
      <c r="I2010" t="s">
        <v>660</v>
      </c>
      <c r="J2010" t="str">
        <f>_xlfn.XLOOKUP(Table1[[#This Row],[Course ]], CCF!B:B, CCF!A:A)</f>
        <v>DA202</v>
      </c>
      <c r="K2010" t="s">
        <v>363</v>
      </c>
      <c r="L2010">
        <f>_xlfn.XLOOKUP(K2010, CCF!B:B, CCF!C:C)</f>
        <v>79999</v>
      </c>
      <c r="M2010" t="s">
        <v>312</v>
      </c>
    </row>
    <row r="2011" spans="1:13" x14ac:dyDescent="0.3">
      <c r="A2011">
        <v>2010</v>
      </c>
      <c r="B2011" t="s">
        <v>2667</v>
      </c>
      <c r="C2011" s="3">
        <v>20439</v>
      </c>
      <c r="D2011" t="s">
        <v>666</v>
      </c>
      <c r="E2011">
        <v>49</v>
      </c>
      <c r="F2011" s="1">
        <v>45585</v>
      </c>
      <c r="G2011" s="1" t="str">
        <f>TEXT(Table1[[#This Row],[Enrollment date]], "mmm")</f>
        <v>Oct</v>
      </c>
      <c r="H2011" t="s">
        <v>360</v>
      </c>
      <c r="I2011" t="s">
        <v>659</v>
      </c>
      <c r="J2011" t="str">
        <f>_xlfn.XLOOKUP(Table1[[#This Row],[Course ]], CCF!B:B, CCF!A:A)</f>
        <v>DA202</v>
      </c>
      <c r="K2011" t="s">
        <v>363</v>
      </c>
      <c r="L2011">
        <f>_xlfn.XLOOKUP(K2011, CCF!B:B, CCF!C:C)</f>
        <v>79999</v>
      </c>
      <c r="M2011" t="s">
        <v>235</v>
      </c>
    </row>
    <row r="2012" spans="1:13" x14ac:dyDescent="0.3">
      <c r="A2012">
        <v>2011</v>
      </c>
      <c r="B2012" t="s">
        <v>2668</v>
      </c>
      <c r="C2012" s="3">
        <v>22566</v>
      </c>
      <c r="D2012" t="s">
        <v>666</v>
      </c>
      <c r="E2012">
        <v>23</v>
      </c>
      <c r="F2012" s="1">
        <v>45585</v>
      </c>
      <c r="G2012" s="1" t="str">
        <f>TEXT(Table1[[#This Row],[Enrollment date]], "mmm")</f>
        <v>Oct</v>
      </c>
      <c r="H2012" t="s">
        <v>360</v>
      </c>
      <c r="I2012" t="s">
        <v>661</v>
      </c>
      <c r="J2012" t="str">
        <f>_xlfn.XLOOKUP(Table1[[#This Row],[Course ]], CCF!B:B, CCF!A:A)</f>
        <v>DM101</v>
      </c>
      <c r="K2012" t="s">
        <v>365</v>
      </c>
      <c r="L2012">
        <f>_xlfn.XLOOKUP(K2012, CCF!B:B, CCF!C:C)</f>
        <v>85499</v>
      </c>
      <c r="M2012" t="s">
        <v>611</v>
      </c>
    </row>
    <row r="2013" spans="1:13" x14ac:dyDescent="0.3">
      <c r="A2013">
        <v>2012</v>
      </c>
      <c r="B2013" t="s">
        <v>2669</v>
      </c>
      <c r="C2013" s="3">
        <v>41517</v>
      </c>
      <c r="D2013" t="s">
        <v>666</v>
      </c>
      <c r="E2013">
        <v>27</v>
      </c>
      <c r="F2013" s="1">
        <v>45585</v>
      </c>
      <c r="G2013" s="1" t="str">
        <f>TEXT(Table1[[#This Row],[Enrollment date]], "mmm")</f>
        <v>Oct</v>
      </c>
      <c r="H2013" t="s">
        <v>360</v>
      </c>
      <c r="I2013" t="s">
        <v>665</v>
      </c>
      <c r="J2013" t="str">
        <f>_xlfn.XLOOKUP(Table1[[#This Row],[Course ]], CCF!B:B, CCF!A:A)</f>
        <v>DM101</v>
      </c>
      <c r="K2013" t="s">
        <v>365</v>
      </c>
      <c r="L2013">
        <f>_xlfn.XLOOKUP(K2013, CCF!B:B, CCF!C:C)</f>
        <v>85499</v>
      </c>
      <c r="M2013" t="s">
        <v>9</v>
      </c>
    </row>
    <row r="2014" spans="1:13" x14ac:dyDescent="0.3">
      <c r="A2014">
        <v>2013</v>
      </c>
      <c r="B2014" t="s">
        <v>2670</v>
      </c>
      <c r="C2014" s="3">
        <v>73364</v>
      </c>
      <c r="D2014" t="s">
        <v>666</v>
      </c>
      <c r="E2014">
        <v>49</v>
      </c>
      <c r="F2014" s="1">
        <v>45585</v>
      </c>
      <c r="G2014" s="1" t="str">
        <f>TEXT(Table1[[#This Row],[Enrollment date]], "mmm")</f>
        <v>Oct</v>
      </c>
      <c r="H2014" t="s">
        <v>360</v>
      </c>
      <c r="I2014" t="s">
        <v>660</v>
      </c>
      <c r="J2014" t="str">
        <f>_xlfn.XLOOKUP(Table1[[#This Row],[Course ]], CCF!B:B, CCF!A:A)</f>
        <v>DA202</v>
      </c>
      <c r="K2014" t="s">
        <v>363</v>
      </c>
      <c r="L2014">
        <f>_xlfn.XLOOKUP(K2014, CCF!B:B, CCF!C:C)</f>
        <v>79999</v>
      </c>
      <c r="M2014" t="s">
        <v>27</v>
      </c>
    </row>
    <row r="2015" spans="1:13" x14ac:dyDescent="0.3">
      <c r="A2015">
        <v>2014</v>
      </c>
      <c r="B2015" t="s">
        <v>2671</v>
      </c>
      <c r="C2015" s="3">
        <v>21572</v>
      </c>
      <c r="D2015" t="s">
        <v>667</v>
      </c>
      <c r="E2015">
        <v>61</v>
      </c>
      <c r="F2015" s="1">
        <v>45586</v>
      </c>
      <c r="G2015" s="1" t="str">
        <f>TEXT(Table1[[#This Row],[Enrollment date]], "mmm")</f>
        <v>Oct</v>
      </c>
      <c r="H2015" t="s">
        <v>360</v>
      </c>
      <c r="I2015" t="s">
        <v>662</v>
      </c>
      <c r="J2015" t="str">
        <f>_xlfn.XLOOKUP(Table1[[#This Row],[Course ]], CCF!B:B, CCF!A:A)</f>
        <v>DA202</v>
      </c>
      <c r="K2015" t="s">
        <v>363</v>
      </c>
      <c r="L2015">
        <f>_xlfn.XLOOKUP(K2015, CCF!B:B, CCF!C:C)</f>
        <v>79999</v>
      </c>
      <c r="M2015" t="s">
        <v>612</v>
      </c>
    </row>
    <row r="2016" spans="1:13" x14ac:dyDescent="0.3">
      <c r="A2016">
        <v>2015</v>
      </c>
      <c r="B2016" t="s">
        <v>2672</v>
      </c>
      <c r="C2016" s="3">
        <v>67552</v>
      </c>
      <c r="D2016" t="s">
        <v>666</v>
      </c>
      <c r="E2016">
        <v>23</v>
      </c>
      <c r="F2016" s="1">
        <v>45586</v>
      </c>
      <c r="G2016" s="1" t="str">
        <f>TEXT(Table1[[#This Row],[Enrollment date]], "mmm")</f>
        <v>Oct</v>
      </c>
      <c r="H2016" t="s">
        <v>360</v>
      </c>
      <c r="I2016" t="s">
        <v>659</v>
      </c>
      <c r="J2016" t="str">
        <f>_xlfn.XLOOKUP(Table1[[#This Row],[Course ]], CCF!B:B, CCF!A:A)</f>
        <v>UX401</v>
      </c>
      <c r="K2016" t="s">
        <v>367</v>
      </c>
      <c r="L2016">
        <f>_xlfn.XLOOKUP(K2016, CCF!B:B, CCF!C:C)</f>
        <v>67990</v>
      </c>
      <c r="M2016" t="s">
        <v>315</v>
      </c>
    </row>
    <row r="2017" spans="1:13" x14ac:dyDescent="0.3">
      <c r="A2017">
        <v>2016</v>
      </c>
      <c r="B2017" t="s">
        <v>2673</v>
      </c>
      <c r="C2017" s="3">
        <v>66082</v>
      </c>
      <c r="D2017" t="s">
        <v>666</v>
      </c>
      <c r="E2017">
        <v>45</v>
      </c>
      <c r="F2017" s="1">
        <v>45586</v>
      </c>
      <c r="G2017" s="1" t="str">
        <f>TEXT(Table1[[#This Row],[Enrollment date]], "mmm")</f>
        <v>Oct</v>
      </c>
      <c r="H2017" t="s">
        <v>360</v>
      </c>
      <c r="I2017" t="s">
        <v>660</v>
      </c>
      <c r="J2017" t="str">
        <f>_xlfn.XLOOKUP(Table1[[#This Row],[Course ]], CCF!B:B, CCF!A:A)</f>
        <v>DA202</v>
      </c>
      <c r="K2017" t="s">
        <v>363</v>
      </c>
      <c r="L2017">
        <f>_xlfn.XLOOKUP(K2017, CCF!B:B, CCF!C:C)</f>
        <v>79999</v>
      </c>
      <c r="M2017" t="s">
        <v>60</v>
      </c>
    </row>
    <row r="2018" spans="1:13" x14ac:dyDescent="0.3">
      <c r="A2018">
        <v>2017</v>
      </c>
      <c r="B2018" t="s">
        <v>2674</v>
      </c>
      <c r="C2018" s="3">
        <v>54629</v>
      </c>
      <c r="D2018" t="s">
        <v>666</v>
      </c>
      <c r="E2018">
        <v>20</v>
      </c>
      <c r="F2018" s="1">
        <v>45586</v>
      </c>
      <c r="G2018" s="1" t="str">
        <f>TEXT(Table1[[#This Row],[Enrollment date]], "mmm")</f>
        <v>Oct</v>
      </c>
      <c r="H2018" t="s">
        <v>360</v>
      </c>
      <c r="I2018" t="s">
        <v>661</v>
      </c>
      <c r="J2018" t="str">
        <f>_xlfn.XLOOKUP(Table1[[#This Row],[Course ]], CCF!B:B, CCF!A:A)</f>
        <v>DM101</v>
      </c>
      <c r="K2018" t="s">
        <v>365</v>
      </c>
      <c r="L2018">
        <f>_xlfn.XLOOKUP(K2018, CCF!B:B, CCF!C:C)</f>
        <v>85499</v>
      </c>
      <c r="M2018" t="s">
        <v>238</v>
      </c>
    </row>
    <row r="2019" spans="1:13" x14ac:dyDescent="0.3">
      <c r="A2019">
        <v>2018</v>
      </c>
      <c r="B2019" t="s">
        <v>2675</v>
      </c>
      <c r="C2019" s="3">
        <v>89842</v>
      </c>
      <c r="D2019" t="s">
        <v>667</v>
      </c>
      <c r="E2019">
        <v>33</v>
      </c>
      <c r="F2019" s="1">
        <v>45586</v>
      </c>
      <c r="G2019" s="1" t="str">
        <f>TEXT(Table1[[#This Row],[Enrollment date]], "mmm")</f>
        <v>Oct</v>
      </c>
      <c r="H2019" t="s">
        <v>360</v>
      </c>
      <c r="I2019" t="s">
        <v>660</v>
      </c>
      <c r="J2019" t="str">
        <f>_xlfn.XLOOKUP(Table1[[#This Row],[Course ]], CCF!B:B, CCF!A:A)</f>
        <v>FSD103</v>
      </c>
      <c r="K2019" t="s">
        <v>366</v>
      </c>
      <c r="L2019">
        <f>_xlfn.XLOOKUP(K2019, CCF!B:B, CCF!C:C)</f>
        <v>109990</v>
      </c>
      <c r="M2019" t="s">
        <v>184</v>
      </c>
    </row>
    <row r="2020" spans="1:13" x14ac:dyDescent="0.3">
      <c r="A2020">
        <v>2019</v>
      </c>
      <c r="B2020" t="s">
        <v>2676</v>
      </c>
      <c r="C2020" s="3">
        <v>78722</v>
      </c>
      <c r="D2020" t="s">
        <v>667</v>
      </c>
      <c r="E2020">
        <v>53</v>
      </c>
      <c r="F2020" s="1">
        <v>45586</v>
      </c>
      <c r="G2020" s="1" t="str">
        <f>TEXT(Table1[[#This Row],[Enrollment date]], "mmm")</f>
        <v>Oct</v>
      </c>
      <c r="H2020" t="s">
        <v>360</v>
      </c>
      <c r="I2020" t="s">
        <v>663</v>
      </c>
      <c r="J2020" t="str">
        <f>_xlfn.XLOOKUP(Table1[[#This Row],[Course ]], CCF!B:B, CCF!A:A)</f>
        <v>DM101</v>
      </c>
      <c r="K2020" t="s">
        <v>365</v>
      </c>
      <c r="L2020">
        <f>_xlfn.XLOOKUP(K2020, CCF!B:B, CCF!C:C)</f>
        <v>85499</v>
      </c>
      <c r="M2020" t="s">
        <v>27</v>
      </c>
    </row>
    <row r="2021" spans="1:13" x14ac:dyDescent="0.3">
      <c r="A2021">
        <v>2020</v>
      </c>
      <c r="B2021" t="s">
        <v>2677</v>
      </c>
      <c r="C2021" s="3">
        <v>41901</v>
      </c>
      <c r="D2021" t="s">
        <v>667</v>
      </c>
      <c r="E2021">
        <v>48</v>
      </c>
      <c r="F2021" s="1">
        <v>45586</v>
      </c>
      <c r="G2021" s="1" t="str">
        <f>TEXT(Table1[[#This Row],[Enrollment date]], "mmm")</f>
        <v>Oct</v>
      </c>
      <c r="H2021" t="s">
        <v>360</v>
      </c>
      <c r="I2021" t="s">
        <v>660</v>
      </c>
      <c r="J2021" t="str">
        <f>_xlfn.XLOOKUP(Table1[[#This Row],[Course ]], CCF!B:B, CCF!A:A)</f>
        <v>BA301</v>
      </c>
      <c r="K2021" t="s">
        <v>364</v>
      </c>
      <c r="L2021">
        <f>_xlfn.XLOOKUP(K2021, CCF!B:B, CCF!C:C)</f>
        <v>59999</v>
      </c>
      <c r="M2021" t="s">
        <v>91</v>
      </c>
    </row>
    <row r="2022" spans="1:13" x14ac:dyDescent="0.3">
      <c r="A2022">
        <v>2021</v>
      </c>
      <c r="B2022" t="s">
        <v>2678</v>
      </c>
      <c r="C2022" s="3">
        <v>93956</v>
      </c>
      <c r="D2022" t="s">
        <v>667</v>
      </c>
      <c r="E2022">
        <v>29</v>
      </c>
      <c r="F2022" s="1">
        <v>45587</v>
      </c>
      <c r="G2022" s="1" t="str">
        <f>TEXT(Table1[[#This Row],[Enrollment date]], "mmm")</f>
        <v>Oct</v>
      </c>
      <c r="H2022" t="s">
        <v>360</v>
      </c>
      <c r="I2022" t="s">
        <v>660</v>
      </c>
      <c r="J2022" t="str">
        <f>_xlfn.XLOOKUP(Table1[[#This Row],[Course ]], CCF!B:B, CCF!A:A)</f>
        <v>DA202</v>
      </c>
      <c r="K2022" t="s">
        <v>363</v>
      </c>
      <c r="L2022">
        <f>_xlfn.XLOOKUP(K2022, CCF!B:B, CCF!C:C)</f>
        <v>79999</v>
      </c>
      <c r="M2022" t="s">
        <v>20</v>
      </c>
    </row>
    <row r="2023" spans="1:13" x14ac:dyDescent="0.3">
      <c r="A2023">
        <v>2022</v>
      </c>
      <c r="B2023" t="s">
        <v>2679</v>
      </c>
      <c r="C2023" s="3">
        <v>25619</v>
      </c>
      <c r="D2023" t="s">
        <v>666</v>
      </c>
      <c r="E2023">
        <v>43</v>
      </c>
      <c r="F2023" s="1">
        <v>45587</v>
      </c>
      <c r="G2023" s="1" t="str">
        <f>TEXT(Table1[[#This Row],[Enrollment date]], "mmm")</f>
        <v>Oct</v>
      </c>
      <c r="H2023" t="s">
        <v>360</v>
      </c>
      <c r="I2023" t="s">
        <v>661</v>
      </c>
      <c r="J2023" t="str">
        <f>_xlfn.XLOOKUP(Table1[[#This Row],[Course ]], CCF!B:B, CCF!A:A)</f>
        <v>DA202</v>
      </c>
      <c r="K2023" t="s">
        <v>363</v>
      </c>
      <c r="L2023">
        <f>_xlfn.XLOOKUP(K2023, CCF!B:B, CCF!C:C)</f>
        <v>79999</v>
      </c>
      <c r="M2023" t="s">
        <v>27</v>
      </c>
    </row>
    <row r="2024" spans="1:13" x14ac:dyDescent="0.3">
      <c r="A2024">
        <v>2023</v>
      </c>
      <c r="B2024" t="s">
        <v>2680</v>
      </c>
      <c r="C2024" s="3">
        <v>72761</v>
      </c>
      <c r="D2024" t="s">
        <v>667</v>
      </c>
      <c r="E2024">
        <v>46</v>
      </c>
      <c r="F2024" s="1">
        <v>45587</v>
      </c>
      <c r="G2024" s="1" t="str">
        <f>TEXT(Table1[[#This Row],[Enrollment date]], "mmm")</f>
        <v>Oct</v>
      </c>
      <c r="H2024" t="s">
        <v>360</v>
      </c>
      <c r="I2024" t="s">
        <v>660</v>
      </c>
      <c r="J2024" t="str">
        <f>_xlfn.XLOOKUP(Table1[[#This Row],[Course ]], CCF!B:B, CCF!A:A)</f>
        <v>DM101</v>
      </c>
      <c r="K2024" t="s">
        <v>365</v>
      </c>
      <c r="L2024">
        <f>_xlfn.XLOOKUP(K2024, CCF!B:B, CCF!C:C)</f>
        <v>85499</v>
      </c>
      <c r="M2024" t="s">
        <v>2</v>
      </c>
    </row>
    <row r="2025" spans="1:13" x14ac:dyDescent="0.3">
      <c r="A2025">
        <v>2024</v>
      </c>
      <c r="B2025" t="s">
        <v>2681</v>
      </c>
      <c r="C2025" s="3">
        <v>89253</v>
      </c>
      <c r="D2025" t="s">
        <v>666</v>
      </c>
      <c r="E2025">
        <v>41</v>
      </c>
      <c r="F2025" s="1">
        <v>45587</v>
      </c>
      <c r="G2025" s="1" t="str">
        <f>TEXT(Table1[[#This Row],[Enrollment date]], "mmm")</f>
        <v>Oct</v>
      </c>
      <c r="H2025" t="s">
        <v>360</v>
      </c>
      <c r="I2025" t="s">
        <v>662</v>
      </c>
      <c r="J2025" t="str">
        <f>_xlfn.XLOOKUP(Table1[[#This Row],[Course ]], CCF!B:B, CCF!A:A)</f>
        <v>DA202</v>
      </c>
      <c r="K2025" t="s">
        <v>363</v>
      </c>
      <c r="L2025">
        <f>_xlfn.XLOOKUP(K2025, CCF!B:B, CCF!C:C)</f>
        <v>79999</v>
      </c>
      <c r="M2025" t="s">
        <v>148</v>
      </c>
    </row>
    <row r="2026" spans="1:13" x14ac:dyDescent="0.3">
      <c r="A2026">
        <v>2025</v>
      </c>
      <c r="B2026" t="s">
        <v>2682</v>
      </c>
      <c r="C2026" s="3">
        <v>51070</v>
      </c>
      <c r="D2026" t="s">
        <v>666</v>
      </c>
      <c r="E2026">
        <v>42</v>
      </c>
      <c r="F2026" s="1">
        <v>45587</v>
      </c>
      <c r="G2026" s="1" t="str">
        <f>TEXT(Table1[[#This Row],[Enrollment date]], "mmm")</f>
        <v>Oct</v>
      </c>
      <c r="H2026" t="s">
        <v>360</v>
      </c>
      <c r="I2026" t="s">
        <v>660</v>
      </c>
      <c r="J2026" t="str">
        <f>_xlfn.XLOOKUP(Table1[[#This Row],[Course ]], CCF!B:B, CCF!A:A)</f>
        <v>DA202</v>
      </c>
      <c r="K2026" t="s">
        <v>363</v>
      </c>
      <c r="L2026">
        <f>_xlfn.XLOOKUP(K2026, CCF!B:B, CCF!C:C)</f>
        <v>79999</v>
      </c>
      <c r="M2026" t="s">
        <v>20</v>
      </c>
    </row>
    <row r="2027" spans="1:13" x14ac:dyDescent="0.3">
      <c r="A2027">
        <v>2026</v>
      </c>
      <c r="B2027" t="s">
        <v>2683</v>
      </c>
      <c r="C2027" s="3">
        <v>85674</v>
      </c>
      <c r="D2027" t="s">
        <v>667</v>
      </c>
      <c r="E2027">
        <v>31</v>
      </c>
      <c r="F2027" s="1">
        <v>45588</v>
      </c>
      <c r="G2027" s="1" t="str">
        <f>TEXT(Table1[[#This Row],[Enrollment date]], "mmm")</f>
        <v>Oct</v>
      </c>
      <c r="H2027" t="s">
        <v>360</v>
      </c>
      <c r="I2027" t="s">
        <v>660</v>
      </c>
      <c r="J2027" t="str">
        <f>_xlfn.XLOOKUP(Table1[[#This Row],[Course ]], CCF!B:B, CCF!A:A)</f>
        <v>FSD103</v>
      </c>
      <c r="K2027" t="s">
        <v>366</v>
      </c>
      <c r="L2027">
        <f>_xlfn.XLOOKUP(K2027, CCF!B:B, CCF!C:C)</f>
        <v>109990</v>
      </c>
      <c r="M2027" t="s">
        <v>38</v>
      </c>
    </row>
    <row r="2028" spans="1:13" x14ac:dyDescent="0.3">
      <c r="A2028">
        <v>2027</v>
      </c>
      <c r="B2028" t="s">
        <v>2684</v>
      </c>
      <c r="C2028" s="3">
        <v>84607</v>
      </c>
      <c r="D2028" t="s">
        <v>666</v>
      </c>
      <c r="E2028">
        <v>40</v>
      </c>
      <c r="F2028" s="1">
        <v>45588</v>
      </c>
      <c r="G2028" s="1" t="str">
        <f>TEXT(Table1[[#This Row],[Enrollment date]], "mmm")</f>
        <v>Oct</v>
      </c>
      <c r="H2028" t="s">
        <v>360</v>
      </c>
      <c r="I2028" t="s">
        <v>663</v>
      </c>
      <c r="J2028" t="str">
        <f>_xlfn.XLOOKUP(Table1[[#This Row],[Course ]], CCF!B:B, CCF!A:A)</f>
        <v>DM101</v>
      </c>
      <c r="K2028" t="s">
        <v>365</v>
      </c>
      <c r="L2028">
        <f>_xlfn.XLOOKUP(K2028, CCF!B:B, CCF!C:C)</f>
        <v>85499</v>
      </c>
      <c r="M2028" t="s">
        <v>613</v>
      </c>
    </row>
    <row r="2029" spans="1:13" x14ac:dyDescent="0.3">
      <c r="A2029">
        <v>2028</v>
      </c>
      <c r="B2029" t="s">
        <v>2685</v>
      </c>
      <c r="C2029" s="3">
        <v>84491</v>
      </c>
      <c r="D2029" t="s">
        <v>667</v>
      </c>
      <c r="E2029">
        <v>30</v>
      </c>
      <c r="F2029" s="1">
        <v>45588</v>
      </c>
      <c r="G2029" s="1" t="str">
        <f>TEXT(Table1[[#This Row],[Enrollment date]], "mmm")</f>
        <v>Oct</v>
      </c>
      <c r="H2029" t="s">
        <v>360</v>
      </c>
      <c r="I2029" t="s">
        <v>662</v>
      </c>
      <c r="J2029" t="str">
        <f>_xlfn.XLOOKUP(Table1[[#This Row],[Course ]], CCF!B:B, CCF!A:A)</f>
        <v>DA202</v>
      </c>
      <c r="K2029" t="s">
        <v>363</v>
      </c>
      <c r="L2029">
        <f>_xlfn.XLOOKUP(K2029, CCF!B:B, CCF!C:C)</f>
        <v>79999</v>
      </c>
      <c r="M2029" t="s">
        <v>175</v>
      </c>
    </row>
    <row r="2030" spans="1:13" x14ac:dyDescent="0.3">
      <c r="A2030">
        <v>2029</v>
      </c>
      <c r="B2030" t="s">
        <v>2686</v>
      </c>
      <c r="C2030" s="3">
        <v>56070</v>
      </c>
      <c r="D2030" t="s">
        <v>666</v>
      </c>
      <c r="E2030">
        <v>72</v>
      </c>
      <c r="F2030" s="1">
        <v>45588</v>
      </c>
      <c r="G2030" s="1" t="str">
        <f>TEXT(Table1[[#This Row],[Enrollment date]], "mmm")</f>
        <v>Oct</v>
      </c>
      <c r="H2030" t="s">
        <v>360</v>
      </c>
      <c r="I2030" t="s">
        <v>660</v>
      </c>
      <c r="J2030" t="str">
        <f>_xlfn.XLOOKUP(Table1[[#This Row],[Course ]], CCF!B:B, CCF!A:A)</f>
        <v>DM101</v>
      </c>
      <c r="K2030" t="s">
        <v>365</v>
      </c>
      <c r="L2030">
        <f>_xlfn.XLOOKUP(K2030, CCF!B:B, CCF!C:C)</f>
        <v>85499</v>
      </c>
      <c r="M2030" t="s">
        <v>614</v>
      </c>
    </row>
    <row r="2031" spans="1:13" x14ac:dyDescent="0.3">
      <c r="A2031">
        <v>2030</v>
      </c>
      <c r="B2031" t="s">
        <v>2687</v>
      </c>
      <c r="C2031" s="3">
        <v>37996</v>
      </c>
      <c r="D2031" t="s">
        <v>667</v>
      </c>
      <c r="E2031">
        <v>70</v>
      </c>
      <c r="F2031" s="1">
        <v>45588</v>
      </c>
      <c r="G2031" s="1" t="str">
        <f>TEXT(Table1[[#This Row],[Enrollment date]], "mmm")</f>
        <v>Oct</v>
      </c>
      <c r="H2031" t="s">
        <v>360</v>
      </c>
      <c r="I2031" t="s">
        <v>660</v>
      </c>
      <c r="J2031" t="str">
        <f>_xlfn.XLOOKUP(Table1[[#This Row],[Course ]], CCF!B:B, CCF!A:A)</f>
        <v>DM101</v>
      </c>
      <c r="K2031" t="s">
        <v>365</v>
      </c>
      <c r="L2031">
        <f>_xlfn.XLOOKUP(K2031, CCF!B:B, CCF!C:C)</f>
        <v>85499</v>
      </c>
      <c r="M2031" t="s">
        <v>615</v>
      </c>
    </row>
    <row r="2032" spans="1:13" x14ac:dyDescent="0.3">
      <c r="A2032">
        <v>2031</v>
      </c>
      <c r="B2032" t="s">
        <v>2688</v>
      </c>
      <c r="C2032" s="3">
        <v>70020</v>
      </c>
      <c r="D2032" t="s">
        <v>666</v>
      </c>
      <c r="E2032">
        <v>65</v>
      </c>
      <c r="F2032" s="1">
        <v>45588</v>
      </c>
      <c r="G2032" s="1" t="str">
        <f>TEXT(Table1[[#This Row],[Enrollment date]], "mmm")</f>
        <v>Oct</v>
      </c>
      <c r="H2032" t="s">
        <v>360</v>
      </c>
      <c r="I2032" t="s">
        <v>661</v>
      </c>
      <c r="J2032" t="str">
        <f>_xlfn.XLOOKUP(Table1[[#This Row],[Course ]], CCF!B:B, CCF!A:A)</f>
        <v>DM101</v>
      </c>
      <c r="K2032" t="s">
        <v>365</v>
      </c>
      <c r="L2032">
        <f>_xlfn.XLOOKUP(K2032, CCF!B:B, CCF!C:C)</f>
        <v>85499</v>
      </c>
      <c r="M2032" t="s">
        <v>144</v>
      </c>
    </row>
    <row r="2033" spans="1:13" x14ac:dyDescent="0.3">
      <c r="A2033">
        <v>2032</v>
      </c>
      <c r="B2033" t="s">
        <v>2689</v>
      </c>
      <c r="C2033" s="3">
        <v>79031</v>
      </c>
      <c r="D2033" t="s">
        <v>666</v>
      </c>
      <c r="E2033">
        <v>26</v>
      </c>
      <c r="F2033" s="1">
        <v>45589</v>
      </c>
      <c r="G2033" s="1" t="str">
        <f>TEXT(Table1[[#This Row],[Enrollment date]], "mmm")</f>
        <v>Oct</v>
      </c>
      <c r="H2033" t="s">
        <v>360</v>
      </c>
      <c r="I2033" t="s">
        <v>660</v>
      </c>
      <c r="J2033" t="str">
        <f>_xlfn.XLOOKUP(Table1[[#This Row],[Course ]], CCF!B:B, CCF!A:A)</f>
        <v>DA202</v>
      </c>
      <c r="K2033" t="s">
        <v>363</v>
      </c>
      <c r="L2033">
        <f>_xlfn.XLOOKUP(K2033, CCF!B:B, CCF!C:C)</f>
        <v>79999</v>
      </c>
      <c r="M2033" t="s">
        <v>9</v>
      </c>
    </row>
    <row r="2034" spans="1:13" x14ac:dyDescent="0.3">
      <c r="A2034">
        <v>2033</v>
      </c>
      <c r="B2034" t="s">
        <v>2690</v>
      </c>
      <c r="C2034" s="3">
        <v>68021</v>
      </c>
      <c r="D2034" t="s">
        <v>666</v>
      </c>
      <c r="E2034">
        <v>18</v>
      </c>
      <c r="F2034" s="1">
        <v>45589</v>
      </c>
      <c r="G2034" s="1" t="str">
        <f>TEXT(Table1[[#This Row],[Enrollment date]], "mmm")</f>
        <v>Oct</v>
      </c>
      <c r="H2034" t="s">
        <v>360</v>
      </c>
      <c r="I2034" t="s">
        <v>660</v>
      </c>
      <c r="J2034" t="str">
        <f>_xlfn.XLOOKUP(Table1[[#This Row],[Course ]], CCF!B:B, CCF!A:A)</f>
        <v>DM101</v>
      </c>
      <c r="K2034" t="s">
        <v>365</v>
      </c>
      <c r="L2034">
        <f>_xlfn.XLOOKUP(K2034, CCF!B:B, CCF!C:C)</f>
        <v>85499</v>
      </c>
      <c r="M2034" t="s">
        <v>71</v>
      </c>
    </row>
    <row r="2035" spans="1:13" x14ac:dyDescent="0.3">
      <c r="A2035">
        <v>2034</v>
      </c>
      <c r="B2035" t="s">
        <v>2691</v>
      </c>
      <c r="C2035" s="3">
        <v>95507</v>
      </c>
      <c r="D2035" t="s">
        <v>667</v>
      </c>
      <c r="E2035">
        <v>44</v>
      </c>
      <c r="F2035" s="1">
        <v>45589</v>
      </c>
      <c r="G2035" s="1" t="str">
        <f>TEXT(Table1[[#This Row],[Enrollment date]], "mmm")</f>
        <v>Oct</v>
      </c>
      <c r="H2035" t="s">
        <v>3</v>
      </c>
      <c r="I2035" t="s">
        <v>662</v>
      </c>
      <c r="J2035" t="str">
        <f>_xlfn.XLOOKUP(Table1[[#This Row],[Course ]], CCF!B:B, CCF!A:A)</f>
        <v>DA202</v>
      </c>
      <c r="K2035" t="s">
        <v>363</v>
      </c>
      <c r="L2035">
        <f>_xlfn.XLOOKUP(K2035, CCF!B:B, CCF!C:C)</f>
        <v>79999</v>
      </c>
      <c r="M2035" t="s">
        <v>20</v>
      </c>
    </row>
    <row r="2036" spans="1:13" x14ac:dyDescent="0.3">
      <c r="A2036">
        <v>2035</v>
      </c>
      <c r="B2036" t="s">
        <v>2692</v>
      </c>
      <c r="C2036" s="3">
        <v>33676</v>
      </c>
      <c r="D2036" t="s">
        <v>666</v>
      </c>
      <c r="E2036">
        <v>47</v>
      </c>
      <c r="F2036" s="1">
        <v>45589</v>
      </c>
      <c r="G2036" s="1" t="str">
        <f>TEXT(Table1[[#This Row],[Enrollment date]], "mmm")</f>
        <v>Oct</v>
      </c>
      <c r="H2036" t="s">
        <v>360</v>
      </c>
      <c r="I2036" t="s">
        <v>660</v>
      </c>
      <c r="J2036" t="str">
        <f>_xlfn.XLOOKUP(Table1[[#This Row],[Course ]], CCF!B:B, CCF!A:A)</f>
        <v>DA202</v>
      </c>
      <c r="K2036" t="s">
        <v>363</v>
      </c>
      <c r="L2036">
        <f>_xlfn.XLOOKUP(K2036, CCF!B:B, CCF!C:C)</f>
        <v>79999</v>
      </c>
      <c r="M2036" t="s">
        <v>27</v>
      </c>
    </row>
    <row r="2037" spans="1:13" x14ac:dyDescent="0.3">
      <c r="A2037">
        <v>2036</v>
      </c>
      <c r="B2037" t="s">
        <v>2693</v>
      </c>
      <c r="C2037" s="3">
        <v>12008</v>
      </c>
      <c r="D2037" t="s">
        <v>666</v>
      </c>
      <c r="E2037">
        <v>31</v>
      </c>
      <c r="F2037" s="1">
        <v>45589</v>
      </c>
      <c r="G2037" s="1" t="str">
        <f>TEXT(Table1[[#This Row],[Enrollment date]], "mmm")</f>
        <v>Oct</v>
      </c>
      <c r="H2037" t="s">
        <v>360</v>
      </c>
      <c r="I2037" t="s">
        <v>661</v>
      </c>
      <c r="J2037" t="str">
        <f>_xlfn.XLOOKUP(Table1[[#This Row],[Course ]], CCF!B:B, CCF!A:A)</f>
        <v>DA202</v>
      </c>
      <c r="K2037" t="s">
        <v>363</v>
      </c>
      <c r="L2037">
        <f>_xlfn.XLOOKUP(K2037, CCF!B:B, CCF!C:C)</f>
        <v>79999</v>
      </c>
      <c r="M2037" t="s">
        <v>16</v>
      </c>
    </row>
    <row r="2038" spans="1:13" x14ac:dyDescent="0.3">
      <c r="A2038">
        <v>2037</v>
      </c>
      <c r="B2038" t="s">
        <v>2694</v>
      </c>
      <c r="C2038" s="3">
        <v>98201</v>
      </c>
      <c r="D2038" t="s">
        <v>666</v>
      </c>
      <c r="E2038">
        <v>26</v>
      </c>
      <c r="F2038" s="1">
        <v>45590</v>
      </c>
      <c r="G2038" s="1" t="str">
        <f>TEXT(Table1[[#This Row],[Enrollment date]], "mmm")</f>
        <v>Oct</v>
      </c>
      <c r="H2038" t="s">
        <v>360</v>
      </c>
      <c r="I2038" t="s">
        <v>659</v>
      </c>
      <c r="J2038" t="str">
        <f>_xlfn.XLOOKUP(Table1[[#This Row],[Course ]], CCF!B:B, CCF!A:A)</f>
        <v>DA202</v>
      </c>
      <c r="K2038" t="s">
        <v>363</v>
      </c>
      <c r="L2038">
        <f>_xlfn.XLOOKUP(K2038, CCF!B:B, CCF!C:C)</f>
        <v>79999</v>
      </c>
      <c r="M2038" t="s">
        <v>144</v>
      </c>
    </row>
    <row r="2039" spans="1:13" x14ac:dyDescent="0.3">
      <c r="A2039">
        <v>2038</v>
      </c>
      <c r="B2039" t="s">
        <v>2695</v>
      </c>
      <c r="C2039" s="3">
        <v>18814</v>
      </c>
      <c r="D2039" t="s">
        <v>666</v>
      </c>
      <c r="E2039">
        <v>26</v>
      </c>
      <c r="F2039" s="1">
        <v>45590</v>
      </c>
      <c r="G2039" s="1" t="str">
        <f>TEXT(Table1[[#This Row],[Enrollment date]], "mmm")</f>
        <v>Oct</v>
      </c>
      <c r="H2039" t="s">
        <v>360</v>
      </c>
      <c r="I2039" t="s">
        <v>662</v>
      </c>
      <c r="J2039" t="str">
        <f>_xlfn.XLOOKUP(Table1[[#This Row],[Course ]], CCF!B:B, CCF!A:A)</f>
        <v>DM101</v>
      </c>
      <c r="K2039" t="s">
        <v>365</v>
      </c>
      <c r="L2039">
        <f>_xlfn.XLOOKUP(K2039, CCF!B:B, CCF!C:C)</f>
        <v>85499</v>
      </c>
      <c r="M2039" t="s">
        <v>16</v>
      </c>
    </row>
    <row r="2040" spans="1:13" x14ac:dyDescent="0.3">
      <c r="A2040">
        <v>2039</v>
      </c>
      <c r="B2040" t="s">
        <v>2696</v>
      </c>
      <c r="C2040" s="3">
        <v>12943</v>
      </c>
      <c r="D2040" t="s">
        <v>666</v>
      </c>
      <c r="E2040">
        <v>42</v>
      </c>
      <c r="F2040" s="1">
        <v>45590</v>
      </c>
      <c r="G2040" s="1" t="str">
        <f>TEXT(Table1[[#This Row],[Enrollment date]], "mmm")</f>
        <v>Oct</v>
      </c>
      <c r="H2040" t="s">
        <v>3</v>
      </c>
      <c r="I2040" t="s">
        <v>665</v>
      </c>
      <c r="J2040" t="str">
        <f>_xlfn.XLOOKUP(Table1[[#This Row],[Course ]], CCF!B:B, CCF!A:A)</f>
        <v>DM101</v>
      </c>
      <c r="K2040" t="s">
        <v>365</v>
      </c>
      <c r="L2040">
        <f>_xlfn.XLOOKUP(K2040, CCF!B:B, CCF!C:C)</f>
        <v>85499</v>
      </c>
      <c r="M2040" t="s">
        <v>9</v>
      </c>
    </row>
    <row r="2041" spans="1:13" x14ac:dyDescent="0.3">
      <c r="A2041">
        <v>2040</v>
      </c>
      <c r="B2041" t="s">
        <v>2697</v>
      </c>
      <c r="C2041" s="3">
        <v>41212</v>
      </c>
      <c r="D2041" t="s">
        <v>667</v>
      </c>
      <c r="E2041">
        <v>41</v>
      </c>
      <c r="F2041" s="1">
        <v>45590</v>
      </c>
      <c r="G2041" s="1" t="str">
        <f>TEXT(Table1[[#This Row],[Enrollment date]], "mmm")</f>
        <v>Oct</v>
      </c>
      <c r="H2041" t="s">
        <v>360</v>
      </c>
      <c r="I2041" t="s">
        <v>660</v>
      </c>
      <c r="J2041" t="str">
        <f>_xlfn.XLOOKUP(Table1[[#This Row],[Course ]], CCF!B:B, CCF!A:A)</f>
        <v>DA202</v>
      </c>
      <c r="K2041" t="s">
        <v>363</v>
      </c>
      <c r="L2041">
        <f>_xlfn.XLOOKUP(K2041, CCF!B:B, CCF!C:C)</f>
        <v>79999</v>
      </c>
      <c r="M2041" t="s">
        <v>43</v>
      </c>
    </row>
    <row r="2042" spans="1:13" x14ac:dyDescent="0.3">
      <c r="A2042">
        <v>2041</v>
      </c>
      <c r="B2042" t="s">
        <v>2698</v>
      </c>
      <c r="C2042" s="3">
        <v>17727</v>
      </c>
      <c r="D2042" t="s">
        <v>666</v>
      </c>
      <c r="E2042">
        <v>40</v>
      </c>
      <c r="F2042" s="1">
        <v>45590</v>
      </c>
      <c r="G2042" s="1" t="str">
        <f>TEXT(Table1[[#This Row],[Enrollment date]], "mmm")</f>
        <v>Oct</v>
      </c>
      <c r="H2042" t="s">
        <v>361</v>
      </c>
      <c r="I2042" t="s">
        <v>660</v>
      </c>
      <c r="J2042" t="str">
        <f>_xlfn.XLOOKUP(Table1[[#This Row],[Course ]], CCF!B:B, CCF!A:A)</f>
        <v>DA202</v>
      </c>
      <c r="K2042" t="s">
        <v>363</v>
      </c>
      <c r="L2042">
        <f>_xlfn.XLOOKUP(K2042, CCF!B:B, CCF!C:C)</f>
        <v>79999</v>
      </c>
      <c r="M2042" t="s">
        <v>16</v>
      </c>
    </row>
    <row r="2043" spans="1:13" x14ac:dyDescent="0.3">
      <c r="A2043">
        <v>2042</v>
      </c>
      <c r="B2043" t="s">
        <v>2699</v>
      </c>
      <c r="C2043" s="3">
        <v>85497</v>
      </c>
      <c r="D2043" t="s">
        <v>666</v>
      </c>
      <c r="E2043">
        <v>21</v>
      </c>
      <c r="F2043" s="1">
        <v>45590</v>
      </c>
      <c r="G2043" s="1" t="str">
        <f>TEXT(Table1[[#This Row],[Enrollment date]], "mmm")</f>
        <v>Oct</v>
      </c>
      <c r="H2043" t="s">
        <v>360</v>
      </c>
      <c r="I2043" t="s">
        <v>661</v>
      </c>
      <c r="J2043" t="str">
        <f>_xlfn.XLOOKUP(Table1[[#This Row],[Course ]], CCF!B:B, CCF!A:A)</f>
        <v>DA202</v>
      </c>
      <c r="K2043" t="s">
        <v>363</v>
      </c>
      <c r="L2043">
        <f>_xlfn.XLOOKUP(K2043, CCF!B:B, CCF!C:C)</f>
        <v>79999</v>
      </c>
      <c r="M2043" t="s">
        <v>434</v>
      </c>
    </row>
    <row r="2044" spans="1:13" x14ac:dyDescent="0.3">
      <c r="A2044">
        <v>2043</v>
      </c>
      <c r="B2044" t="s">
        <v>2700</v>
      </c>
      <c r="C2044" s="3">
        <v>16904</v>
      </c>
      <c r="D2044" t="s">
        <v>666</v>
      </c>
      <c r="E2044">
        <v>51</v>
      </c>
      <c r="F2044" s="1">
        <v>45591</v>
      </c>
      <c r="G2044" s="1" t="str">
        <f>TEXT(Table1[[#This Row],[Enrollment date]], "mmm")</f>
        <v>Oct</v>
      </c>
      <c r="H2044" t="s">
        <v>360</v>
      </c>
      <c r="I2044" t="s">
        <v>660</v>
      </c>
      <c r="J2044" t="str">
        <f>_xlfn.XLOOKUP(Table1[[#This Row],[Course ]], CCF!B:B, CCF!A:A)</f>
        <v>DM101</v>
      </c>
      <c r="K2044" t="s">
        <v>365</v>
      </c>
      <c r="L2044">
        <f>_xlfn.XLOOKUP(K2044, CCF!B:B, CCF!C:C)</f>
        <v>85499</v>
      </c>
      <c r="M2044" t="s">
        <v>9</v>
      </c>
    </row>
    <row r="2045" spans="1:13" x14ac:dyDescent="0.3">
      <c r="A2045">
        <v>2044</v>
      </c>
      <c r="B2045" t="s">
        <v>2701</v>
      </c>
      <c r="C2045" s="3">
        <v>86134</v>
      </c>
      <c r="D2045" t="s">
        <v>667</v>
      </c>
      <c r="E2045">
        <v>61</v>
      </c>
      <c r="F2045" s="1">
        <v>45591</v>
      </c>
      <c r="G2045" s="1" t="str">
        <f>TEXT(Table1[[#This Row],[Enrollment date]], "mmm")</f>
        <v>Oct</v>
      </c>
      <c r="H2045" t="s">
        <v>360</v>
      </c>
      <c r="I2045" t="s">
        <v>660</v>
      </c>
      <c r="J2045" t="str">
        <f>_xlfn.XLOOKUP(Table1[[#This Row],[Course ]], CCF!B:B, CCF!A:A)</f>
        <v>DM101</v>
      </c>
      <c r="K2045" t="s">
        <v>365</v>
      </c>
      <c r="L2045">
        <f>_xlfn.XLOOKUP(K2045, CCF!B:B, CCF!C:C)</f>
        <v>85499</v>
      </c>
      <c r="M2045" t="s">
        <v>2</v>
      </c>
    </row>
    <row r="2046" spans="1:13" x14ac:dyDescent="0.3">
      <c r="A2046">
        <v>2045</v>
      </c>
      <c r="B2046" t="s">
        <v>2702</v>
      </c>
      <c r="C2046" s="3">
        <v>11373</v>
      </c>
      <c r="D2046" t="s">
        <v>666</v>
      </c>
      <c r="E2046">
        <v>47</v>
      </c>
      <c r="F2046" s="1">
        <v>45591</v>
      </c>
      <c r="G2046" s="1" t="str">
        <f>TEXT(Table1[[#This Row],[Enrollment date]], "mmm")</f>
        <v>Oct</v>
      </c>
      <c r="H2046" t="s">
        <v>360</v>
      </c>
      <c r="I2046" t="s">
        <v>662</v>
      </c>
      <c r="J2046" t="str">
        <f>_xlfn.XLOOKUP(Table1[[#This Row],[Course ]], CCF!B:B, CCF!A:A)</f>
        <v>DM101</v>
      </c>
      <c r="K2046" t="s">
        <v>365</v>
      </c>
      <c r="L2046">
        <f>_xlfn.XLOOKUP(K2046, CCF!B:B, CCF!C:C)</f>
        <v>85499</v>
      </c>
      <c r="M2046" t="s">
        <v>53</v>
      </c>
    </row>
    <row r="2047" spans="1:13" x14ac:dyDescent="0.3">
      <c r="A2047">
        <v>2046</v>
      </c>
      <c r="B2047" t="s">
        <v>2703</v>
      </c>
      <c r="C2047" s="3">
        <v>43015</v>
      </c>
      <c r="D2047" t="s">
        <v>666</v>
      </c>
      <c r="E2047">
        <v>20</v>
      </c>
      <c r="F2047" s="1">
        <v>45591</v>
      </c>
      <c r="G2047" s="1" t="str">
        <f>TEXT(Table1[[#This Row],[Enrollment date]], "mmm")</f>
        <v>Oct</v>
      </c>
      <c r="H2047" t="s">
        <v>360</v>
      </c>
      <c r="I2047" t="s">
        <v>664</v>
      </c>
      <c r="J2047" t="str">
        <f>_xlfn.XLOOKUP(Table1[[#This Row],[Course ]], CCF!B:B, CCF!A:A)</f>
        <v>DA202</v>
      </c>
      <c r="K2047" t="s">
        <v>363</v>
      </c>
      <c r="L2047">
        <f>_xlfn.XLOOKUP(K2047, CCF!B:B, CCF!C:C)</f>
        <v>79999</v>
      </c>
      <c r="M2047" t="s">
        <v>144</v>
      </c>
    </row>
    <row r="2048" spans="1:13" x14ac:dyDescent="0.3">
      <c r="A2048">
        <v>2047</v>
      </c>
      <c r="B2048" t="s">
        <v>2704</v>
      </c>
      <c r="C2048" s="3">
        <v>53212</v>
      </c>
      <c r="D2048" t="s">
        <v>667</v>
      </c>
      <c r="E2048">
        <v>21</v>
      </c>
      <c r="F2048" s="1">
        <v>45591</v>
      </c>
      <c r="G2048" s="1" t="str">
        <f>TEXT(Table1[[#This Row],[Enrollment date]], "mmm")</f>
        <v>Oct</v>
      </c>
      <c r="H2048" t="s">
        <v>360</v>
      </c>
      <c r="I2048" t="s">
        <v>659</v>
      </c>
      <c r="J2048" t="str">
        <f>_xlfn.XLOOKUP(Table1[[#This Row],[Course ]], CCF!B:B, CCF!A:A)</f>
        <v>DM101</v>
      </c>
      <c r="K2048" t="s">
        <v>365</v>
      </c>
      <c r="L2048">
        <f>_xlfn.XLOOKUP(K2048, CCF!B:B, CCF!C:C)</f>
        <v>85499</v>
      </c>
      <c r="M2048" t="s">
        <v>9</v>
      </c>
    </row>
    <row r="2049" spans="1:13" x14ac:dyDescent="0.3">
      <c r="A2049">
        <v>2048</v>
      </c>
      <c r="B2049" t="s">
        <v>2705</v>
      </c>
      <c r="C2049" s="3">
        <v>40058</v>
      </c>
      <c r="D2049" t="s">
        <v>666</v>
      </c>
      <c r="E2049">
        <v>22</v>
      </c>
      <c r="F2049" s="1">
        <v>45591</v>
      </c>
      <c r="G2049" s="1" t="str">
        <f>TEXT(Table1[[#This Row],[Enrollment date]], "mmm")</f>
        <v>Oct</v>
      </c>
      <c r="H2049" t="s">
        <v>360</v>
      </c>
      <c r="I2049" t="s">
        <v>660</v>
      </c>
      <c r="J2049" t="str">
        <f>_xlfn.XLOOKUP(Table1[[#This Row],[Course ]], CCF!B:B, CCF!A:A)</f>
        <v>UX401</v>
      </c>
      <c r="K2049" t="s">
        <v>367</v>
      </c>
      <c r="L2049">
        <f>_xlfn.XLOOKUP(K2049, CCF!B:B, CCF!C:C)</f>
        <v>67990</v>
      </c>
      <c r="M2049" t="s">
        <v>9</v>
      </c>
    </row>
    <row r="2050" spans="1:13" x14ac:dyDescent="0.3">
      <c r="A2050">
        <v>2049</v>
      </c>
      <c r="B2050" t="s">
        <v>2706</v>
      </c>
      <c r="C2050" s="3">
        <v>46589</v>
      </c>
      <c r="D2050" t="s">
        <v>666</v>
      </c>
      <c r="E2050">
        <v>20</v>
      </c>
      <c r="F2050" s="1">
        <v>45591</v>
      </c>
      <c r="G2050" s="1" t="str">
        <f>TEXT(Table1[[#This Row],[Enrollment date]], "mmm")</f>
        <v>Oct</v>
      </c>
      <c r="H2050" t="s">
        <v>360</v>
      </c>
      <c r="I2050" t="s">
        <v>661</v>
      </c>
      <c r="J2050" t="str">
        <f>_xlfn.XLOOKUP(Table1[[#This Row],[Course ]], CCF!B:B, CCF!A:A)</f>
        <v>DA202</v>
      </c>
      <c r="K2050" t="s">
        <v>363</v>
      </c>
      <c r="L2050">
        <f>_xlfn.XLOOKUP(K2050, CCF!B:B, CCF!C:C)</f>
        <v>79999</v>
      </c>
      <c r="M2050" t="s">
        <v>20</v>
      </c>
    </row>
    <row r="2051" spans="1:13" x14ac:dyDescent="0.3">
      <c r="A2051">
        <v>2050</v>
      </c>
      <c r="B2051" t="s">
        <v>2707</v>
      </c>
      <c r="C2051" s="3">
        <v>38467</v>
      </c>
      <c r="D2051" t="s">
        <v>667</v>
      </c>
      <c r="E2051">
        <v>39</v>
      </c>
      <c r="F2051" s="1">
        <v>45592</v>
      </c>
      <c r="G2051" s="1" t="str">
        <f>TEXT(Table1[[#This Row],[Enrollment date]], "mmm")</f>
        <v>Oct</v>
      </c>
      <c r="H2051" t="s">
        <v>361</v>
      </c>
      <c r="I2051" t="s">
        <v>660</v>
      </c>
      <c r="J2051" t="str">
        <f>_xlfn.XLOOKUP(Table1[[#This Row],[Course ]], CCF!B:B, CCF!A:A)</f>
        <v>DM101</v>
      </c>
      <c r="K2051" t="s">
        <v>365</v>
      </c>
      <c r="L2051">
        <f>_xlfn.XLOOKUP(K2051, CCF!B:B, CCF!C:C)</f>
        <v>85499</v>
      </c>
      <c r="M2051" t="s">
        <v>247</v>
      </c>
    </row>
    <row r="2052" spans="1:13" x14ac:dyDescent="0.3">
      <c r="A2052">
        <v>2051</v>
      </c>
      <c r="B2052" t="s">
        <v>2708</v>
      </c>
      <c r="C2052" s="3">
        <v>43141</v>
      </c>
      <c r="D2052" t="s">
        <v>666</v>
      </c>
      <c r="E2052">
        <v>47</v>
      </c>
      <c r="F2052" s="1">
        <v>45592</v>
      </c>
      <c r="G2052" s="1" t="str">
        <f>TEXT(Table1[[#This Row],[Enrollment date]], "mmm")</f>
        <v>Oct</v>
      </c>
      <c r="H2052" t="s">
        <v>360</v>
      </c>
      <c r="I2052" t="s">
        <v>664</v>
      </c>
      <c r="J2052" t="str">
        <f>_xlfn.XLOOKUP(Table1[[#This Row],[Course ]], CCF!B:B, CCF!A:A)</f>
        <v>DA202</v>
      </c>
      <c r="K2052" t="s">
        <v>363</v>
      </c>
      <c r="L2052">
        <f>_xlfn.XLOOKUP(K2052, CCF!B:B, CCF!C:C)</f>
        <v>79999</v>
      </c>
      <c r="M2052" t="s">
        <v>134</v>
      </c>
    </row>
    <row r="2053" spans="1:13" x14ac:dyDescent="0.3">
      <c r="A2053">
        <v>2052</v>
      </c>
      <c r="B2053" t="s">
        <v>2709</v>
      </c>
      <c r="C2053" s="3">
        <v>76794</v>
      </c>
      <c r="D2053" t="s">
        <v>666</v>
      </c>
      <c r="E2053">
        <v>35</v>
      </c>
      <c r="F2053" s="1">
        <v>45592</v>
      </c>
      <c r="G2053" s="1" t="str">
        <f>TEXT(Table1[[#This Row],[Enrollment date]], "mmm")</f>
        <v>Oct</v>
      </c>
      <c r="H2053" t="s">
        <v>360</v>
      </c>
      <c r="I2053" t="s">
        <v>659</v>
      </c>
      <c r="J2053" t="str">
        <f>_xlfn.XLOOKUP(Table1[[#This Row],[Course ]], CCF!B:B, CCF!A:A)</f>
        <v>DM101</v>
      </c>
      <c r="K2053" t="s">
        <v>365</v>
      </c>
      <c r="L2053">
        <f>_xlfn.XLOOKUP(K2053, CCF!B:B, CCF!C:C)</f>
        <v>85499</v>
      </c>
      <c r="M2053" t="s">
        <v>9</v>
      </c>
    </row>
    <row r="2054" spans="1:13" x14ac:dyDescent="0.3">
      <c r="A2054">
        <v>2053</v>
      </c>
      <c r="B2054" t="s">
        <v>2710</v>
      </c>
      <c r="C2054" s="3">
        <v>99445</v>
      </c>
      <c r="D2054" t="s">
        <v>666</v>
      </c>
      <c r="E2054">
        <v>34</v>
      </c>
      <c r="F2054" s="1">
        <v>45592</v>
      </c>
      <c r="G2054" s="1" t="str">
        <f>TEXT(Table1[[#This Row],[Enrollment date]], "mmm")</f>
        <v>Oct</v>
      </c>
      <c r="H2054" t="s">
        <v>360</v>
      </c>
      <c r="I2054" t="s">
        <v>659</v>
      </c>
      <c r="J2054" t="str">
        <f>_xlfn.XLOOKUP(Table1[[#This Row],[Course ]], CCF!B:B, CCF!A:A)</f>
        <v>BA301</v>
      </c>
      <c r="K2054" t="s">
        <v>364</v>
      </c>
      <c r="L2054">
        <f>_xlfn.XLOOKUP(K2054, CCF!B:B, CCF!C:C)</f>
        <v>59999</v>
      </c>
      <c r="M2054" t="s">
        <v>20</v>
      </c>
    </row>
    <row r="2055" spans="1:13" x14ac:dyDescent="0.3">
      <c r="A2055">
        <v>2054</v>
      </c>
      <c r="B2055" t="s">
        <v>2711</v>
      </c>
      <c r="C2055" s="3">
        <v>45897</v>
      </c>
      <c r="D2055" t="s">
        <v>666</v>
      </c>
      <c r="E2055">
        <v>25</v>
      </c>
      <c r="F2055" s="1">
        <v>45592</v>
      </c>
      <c r="G2055" s="1" t="str">
        <f>TEXT(Table1[[#This Row],[Enrollment date]], "mmm")</f>
        <v>Oct</v>
      </c>
      <c r="H2055" t="s">
        <v>360</v>
      </c>
      <c r="I2055" t="s">
        <v>661</v>
      </c>
      <c r="J2055" t="str">
        <f>_xlfn.XLOOKUP(Table1[[#This Row],[Course ]], CCF!B:B, CCF!A:A)</f>
        <v>BA301</v>
      </c>
      <c r="K2055" t="s">
        <v>364</v>
      </c>
      <c r="L2055">
        <f>_xlfn.XLOOKUP(K2055, CCF!B:B, CCF!C:C)</f>
        <v>59999</v>
      </c>
      <c r="M2055" t="s">
        <v>226</v>
      </c>
    </row>
    <row r="2056" spans="1:13" x14ac:dyDescent="0.3">
      <c r="A2056">
        <v>2055</v>
      </c>
      <c r="B2056" t="s">
        <v>2712</v>
      </c>
      <c r="C2056" s="3">
        <v>65805</v>
      </c>
      <c r="D2056" t="s">
        <v>666</v>
      </c>
      <c r="E2056">
        <v>30</v>
      </c>
      <c r="F2056" s="1">
        <v>45592</v>
      </c>
      <c r="G2056" s="1" t="str">
        <f>TEXT(Table1[[#This Row],[Enrollment date]], "mmm")</f>
        <v>Oct</v>
      </c>
      <c r="H2056" t="s">
        <v>360</v>
      </c>
      <c r="I2056" t="s">
        <v>662</v>
      </c>
      <c r="J2056" t="str">
        <f>_xlfn.XLOOKUP(Table1[[#This Row],[Course ]], CCF!B:B, CCF!A:A)</f>
        <v>DA202</v>
      </c>
      <c r="K2056" t="s">
        <v>363</v>
      </c>
      <c r="L2056">
        <f>_xlfn.XLOOKUP(K2056, CCF!B:B, CCF!C:C)</f>
        <v>79999</v>
      </c>
      <c r="M2056" t="s">
        <v>53</v>
      </c>
    </row>
    <row r="2057" spans="1:13" x14ac:dyDescent="0.3">
      <c r="A2057">
        <v>2056</v>
      </c>
      <c r="B2057" t="s">
        <v>2713</v>
      </c>
      <c r="C2057" s="3">
        <v>58126</v>
      </c>
      <c r="D2057" t="s">
        <v>666</v>
      </c>
      <c r="E2057">
        <v>41</v>
      </c>
      <c r="F2057" s="1">
        <v>45593</v>
      </c>
      <c r="G2057" s="1" t="str">
        <f>TEXT(Table1[[#This Row],[Enrollment date]], "mmm")</f>
        <v>Oct</v>
      </c>
      <c r="H2057" t="s">
        <v>360</v>
      </c>
      <c r="I2057" t="s">
        <v>659</v>
      </c>
      <c r="J2057" t="str">
        <f>_xlfn.XLOOKUP(Table1[[#This Row],[Course ]], CCF!B:B, CCF!A:A)</f>
        <v>BA301</v>
      </c>
      <c r="K2057" t="s">
        <v>364</v>
      </c>
      <c r="L2057">
        <f>_xlfn.XLOOKUP(K2057, CCF!B:B, CCF!C:C)</f>
        <v>59999</v>
      </c>
      <c r="M2057" t="s">
        <v>18</v>
      </c>
    </row>
    <row r="2058" spans="1:13" x14ac:dyDescent="0.3">
      <c r="A2058">
        <v>2057</v>
      </c>
      <c r="B2058" t="s">
        <v>2714</v>
      </c>
      <c r="C2058" s="3">
        <v>51070</v>
      </c>
      <c r="D2058" t="s">
        <v>666</v>
      </c>
      <c r="E2058">
        <v>20</v>
      </c>
      <c r="F2058" s="1">
        <v>45593</v>
      </c>
      <c r="G2058" s="1" t="str">
        <f>TEXT(Table1[[#This Row],[Enrollment date]], "mmm")</f>
        <v>Oct</v>
      </c>
      <c r="H2058" t="s">
        <v>360</v>
      </c>
      <c r="I2058" t="s">
        <v>661</v>
      </c>
      <c r="J2058" t="str">
        <f>_xlfn.XLOOKUP(Table1[[#This Row],[Course ]], CCF!B:B, CCF!A:A)</f>
        <v>DM101</v>
      </c>
      <c r="K2058" t="s">
        <v>365</v>
      </c>
      <c r="L2058">
        <f>_xlfn.XLOOKUP(K2058, CCF!B:B, CCF!C:C)</f>
        <v>85499</v>
      </c>
      <c r="M2058" t="s">
        <v>27</v>
      </c>
    </row>
    <row r="2059" spans="1:13" x14ac:dyDescent="0.3">
      <c r="A2059">
        <v>2058</v>
      </c>
      <c r="B2059" t="s">
        <v>2715</v>
      </c>
      <c r="C2059" s="3">
        <v>88732</v>
      </c>
      <c r="D2059" t="s">
        <v>666</v>
      </c>
      <c r="E2059">
        <v>19</v>
      </c>
      <c r="F2059" s="1">
        <v>45593</v>
      </c>
      <c r="G2059" s="1" t="str">
        <f>TEXT(Table1[[#This Row],[Enrollment date]], "mmm")</f>
        <v>Oct</v>
      </c>
      <c r="H2059" t="s">
        <v>360</v>
      </c>
      <c r="I2059" t="s">
        <v>659</v>
      </c>
      <c r="J2059" t="str">
        <f>_xlfn.XLOOKUP(Table1[[#This Row],[Course ]], CCF!B:B, CCF!A:A)</f>
        <v>DM101</v>
      </c>
      <c r="K2059" t="s">
        <v>365</v>
      </c>
      <c r="L2059">
        <f>_xlfn.XLOOKUP(K2059, CCF!B:B, CCF!C:C)</f>
        <v>85499</v>
      </c>
      <c r="M2059" t="s">
        <v>9</v>
      </c>
    </row>
    <row r="2060" spans="1:13" x14ac:dyDescent="0.3">
      <c r="A2060">
        <v>2059</v>
      </c>
      <c r="B2060" t="s">
        <v>2716</v>
      </c>
      <c r="C2060" s="3">
        <v>85117</v>
      </c>
      <c r="D2060" t="s">
        <v>666</v>
      </c>
      <c r="E2060">
        <v>52</v>
      </c>
      <c r="F2060" s="1">
        <v>45593</v>
      </c>
      <c r="G2060" s="1" t="str">
        <f>TEXT(Table1[[#This Row],[Enrollment date]], "mmm")</f>
        <v>Oct</v>
      </c>
      <c r="H2060" t="s">
        <v>360</v>
      </c>
      <c r="I2060" t="s">
        <v>663</v>
      </c>
      <c r="J2060" t="str">
        <f>_xlfn.XLOOKUP(Table1[[#This Row],[Course ]], CCF!B:B, CCF!A:A)</f>
        <v>BA301</v>
      </c>
      <c r="K2060" t="s">
        <v>364</v>
      </c>
      <c r="L2060">
        <f>_xlfn.XLOOKUP(K2060, CCF!B:B, CCF!C:C)</f>
        <v>59999</v>
      </c>
      <c r="M2060" t="s">
        <v>109</v>
      </c>
    </row>
    <row r="2061" spans="1:13" x14ac:dyDescent="0.3">
      <c r="A2061">
        <v>2060</v>
      </c>
      <c r="B2061" t="s">
        <v>2717</v>
      </c>
      <c r="C2061" s="3">
        <v>73747</v>
      </c>
      <c r="D2061" t="s">
        <v>667</v>
      </c>
      <c r="E2061">
        <v>39</v>
      </c>
      <c r="F2061" s="1">
        <v>45593</v>
      </c>
      <c r="G2061" s="1" t="str">
        <f>TEXT(Table1[[#This Row],[Enrollment date]], "mmm")</f>
        <v>Oct</v>
      </c>
      <c r="H2061" t="s">
        <v>360</v>
      </c>
      <c r="I2061" t="s">
        <v>663</v>
      </c>
      <c r="J2061" t="str">
        <f>_xlfn.XLOOKUP(Table1[[#This Row],[Course ]], CCF!B:B, CCF!A:A)</f>
        <v>DM101</v>
      </c>
      <c r="K2061" t="s">
        <v>365</v>
      </c>
      <c r="L2061">
        <f>_xlfn.XLOOKUP(K2061, CCF!B:B, CCF!C:C)</f>
        <v>85499</v>
      </c>
      <c r="M2061" t="s">
        <v>148</v>
      </c>
    </row>
    <row r="2062" spans="1:13" x14ac:dyDescent="0.3">
      <c r="A2062">
        <v>2061</v>
      </c>
      <c r="B2062" t="s">
        <v>2718</v>
      </c>
      <c r="C2062" s="3">
        <v>18865</v>
      </c>
      <c r="D2062" t="s">
        <v>666</v>
      </c>
      <c r="E2062">
        <v>45</v>
      </c>
      <c r="F2062" s="1">
        <v>45593</v>
      </c>
      <c r="G2062" s="1" t="str">
        <f>TEXT(Table1[[#This Row],[Enrollment date]], "mmm")</f>
        <v>Oct</v>
      </c>
      <c r="H2062" t="s">
        <v>360</v>
      </c>
      <c r="I2062" t="s">
        <v>660</v>
      </c>
      <c r="J2062" t="str">
        <f>_xlfn.XLOOKUP(Table1[[#This Row],[Course ]], CCF!B:B, CCF!A:A)</f>
        <v>DA202</v>
      </c>
      <c r="K2062" t="s">
        <v>363</v>
      </c>
      <c r="L2062">
        <f>_xlfn.XLOOKUP(K2062, CCF!B:B, CCF!C:C)</f>
        <v>79999</v>
      </c>
      <c r="M2062" t="s">
        <v>21</v>
      </c>
    </row>
    <row r="2063" spans="1:13" x14ac:dyDescent="0.3">
      <c r="A2063">
        <v>2062</v>
      </c>
      <c r="B2063" t="s">
        <v>2719</v>
      </c>
      <c r="C2063" s="3">
        <v>13526</v>
      </c>
      <c r="D2063" t="s">
        <v>666</v>
      </c>
      <c r="E2063">
        <v>29</v>
      </c>
      <c r="F2063" s="1">
        <v>45593</v>
      </c>
      <c r="G2063" s="1" t="str">
        <f>TEXT(Table1[[#This Row],[Enrollment date]], "mmm")</f>
        <v>Oct</v>
      </c>
      <c r="H2063" t="s">
        <v>360</v>
      </c>
      <c r="I2063" t="s">
        <v>661</v>
      </c>
      <c r="J2063" t="str">
        <f>_xlfn.XLOOKUP(Table1[[#This Row],[Course ]], CCF!B:B, CCF!A:A)</f>
        <v>DM101</v>
      </c>
      <c r="K2063" t="s">
        <v>365</v>
      </c>
      <c r="L2063">
        <f>_xlfn.XLOOKUP(K2063, CCF!B:B, CCF!C:C)</f>
        <v>85499</v>
      </c>
      <c r="M2063" t="s">
        <v>30</v>
      </c>
    </row>
    <row r="2064" spans="1:13" x14ac:dyDescent="0.3">
      <c r="A2064">
        <v>2063</v>
      </c>
      <c r="B2064" t="s">
        <v>2720</v>
      </c>
      <c r="C2064" s="3">
        <v>13166</v>
      </c>
      <c r="D2064" t="s">
        <v>667</v>
      </c>
      <c r="E2064">
        <v>39</v>
      </c>
      <c r="F2064" s="1">
        <v>45593</v>
      </c>
      <c r="G2064" s="1" t="str">
        <f>TEXT(Table1[[#This Row],[Enrollment date]], "mmm")</f>
        <v>Oct</v>
      </c>
      <c r="H2064" t="s">
        <v>360</v>
      </c>
      <c r="I2064" t="s">
        <v>661</v>
      </c>
      <c r="J2064" t="str">
        <f>_xlfn.XLOOKUP(Table1[[#This Row],[Course ]], CCF!B:B, CCF!A:A)</f>
        <v>DM101</v>
      </c>
      <c r="K2064" t="s">
        <v>365</v>
      </c>
      <c r="L2064">
        <f>_xlfn.XLOOKUP(K2064, CCF!B:B, CCF!C:C)</f>
        <v>85499</v>
      </c>
      <c r="M2064" t="s">
        <v>159</v>
      </c>
    </row>
    <row r="2065" spans="1:13" x14ac:dyDescent="0.3">
      <c r="A2065">
        <v>2064</v>
      </c>
      <c r="B2065" t="s">
        <v>2721</v>
      </c>
      <c r="C2065" s="3">
        <v>16868</v>
      </c>
      <c r="D2065" t="s">
        <v>666</v>
      </c>
      <c r="E2065">
        <v>72</v>
      </c>
      <c r="F2065" s="1">
        <v>45594</v>
      </c>
      <c r="G2065" s="1" t="str">
        <f>TEXT(Table1[[#This Row],[Enrollment date]], "mmm")</f>
        <v>Oct</v>
      </c>
      <c r="H2065" t="s">
        <v>360</v>
      </c>
      <c r="I2065" t="s">
        <v>664</v>
      </c>
      <c r="J2065" t="str">
        <f>_xlfn.XLOOKUP(Table1[[#This Row],[Course ]], CCF!B:B, CCF!A:A)</f>
        <v>UX401</v>
      </c>
      <c r="K2065" t="s">
        <v>367</v>
      </c>
      <c r="L2065">
        <f>_xlfn.XLOOKUP(K2065, CCF!B:B, CCF!C:C)</f>
        <v>67990</v>
      </c>
      <c r="M2065" t="s">
        <v>27</v>
      </c>
    </row>
    <row r="2066" spans="1:13" x14ac:dyDescent="0.3">
      <c r="A2066">
        <v>2065</v>
      </c>
      <c r="B2066" t="s">
        <v>2722</v>
      </c>
      <c r="C2066" s="3">
        <v>93988</v>
      </c>
      <c r="D2066" t="s">
        <v>667</v>
      </c>
      <c r="E2066">
        <v>27</v>
      </c>
      <c r="F2066" s="1">
        <v>45594</v>
      </c>
      <c r="G2066" s="1" t="str">
        <f>TEXT(Table1[[#This Row],[Enrollment date]], "mmm")</f>
        <v>Oct</v>
      </c>
      <c r="H2066" t="s">
        <v>360</v>
      </c>
      <c r="I2066" t="s">
        <v>660</v>
      </c>
      <c r="J2066" t="str">
        <f>_xlfn.XLOOKUP(Table1[[#This Row],[Course ]], CCF!B:B, CCF!A:A)</f>
        <v>DA202</v>
      </c>
      <c r="K2066" t="s">
        <v>363</v>
      </c>
      <c r="L2066">
        <f>_xlfn.XLOOKUP(K2066, CCF!B:B, CCF!C:C)</f>
        <v>79999</v>
      </c>
      <c r="M2066" t="s">
        <v>210</v>
      </c>
    </row>
    <row r="2067" spans="1:13" x14ac:dyDescent="0.3">
      <c r="A2067">
        <v>2066</v>
      </c>
      <c r="B2067" t="s">
        <v>2723</v>
      </c>
      <c r="C2067" s="3">
        <v>93683</v>
      </c>
      <c r="D2067" t="s">
        <v>667</v>
      </c>
      <c r="E2067">
        <v>23</v>
      </c>
      <c r="F2067" s="1">
        <v>45594</v>
      </c>
      <c r="G2067" s="1" t="str">
        <f>TEXT(Table1[[#This Row],[Enrollment date]], "mmm")</f>
        <v>Oct</v>
      </c>
      <c r="H2067" t="s">
        <v>360</v>
      </c>
      <c r="I2067" t="s">
        <v>664</v>
      </c>
      <c r="J2067" t="str">
        <f>_xlfn.XLOOKUP(Table1[[#This Row],[Course ]], CCF!B:B, CCF!A:A)</f>
        <v>DA202</v>
      </c>
      <c r="K2067" t="s">
        <v>363</v>
      </c>
      <c r="L2067">
        <f>_xlfn.XLOOKUP(K2067, CCF!B:B, CCF!C:C)</f>
        <v>79999</v>
      </c>
      <c r="M2067" t="s">
        <v>18</v>
      </c>
    </row>
    <row r="2068" spans="1:13" x14ac:dyDescent="0.3">
      <c r="A2068">
        <v>2067</v>
      </c>
      <c r="B2068" t="s">
        <v>2724</v>
      </c>
      <c r="C2068" s="3">
        <v>34783</v>
      </c>
      <c r="D2068" t="s">
        <v>666</v>
      </c>
      <c r="E2068">
        <v>45</v>
      </c>
      <c r="F2068" s="1">
        <v>45594</v>
      </c>
      <c r="G2068" s="1" t="str">
        <f>TEXT(Table1[[#This Row],[Enrollment date]], "mmm")</f>
        <v>Oct</v>
      </c>
      <c r="H2068" t="s">
        <v>360</v>
      </c>
      <c r="I2068" t="s">
        <v>660</v>
      </c>
      <c r="J2068" t="str">
        <f>_xlfn.XLOOKUP(Table1[[#This Row],[Course ]], CCF!B:B, CCF!A:A)</f>
        <v>BA301</v>
      </c>
      <c r="K2068" t="s">
        <v>364</v>
      </c>
      <c r="L2068">
        <f>_xlfn.XLOOKUP(K2068, CCF!B:B, CCF!C:C)</f>
        <v>59999</v>
      </c>
      <c r="M2068" t="s">
        <v>409</v>
      </c>
    </row>
    <row r="2069" spans="1:13" x14ac:dyDescent="0.3">
      <c r="A2069">
        <v>2068</v>
      </c>
      <c r="B2069" t="s">
        <v>2725</v>
      </c>
      <c r="C2069" s="3">
        <v>84172</v>
      </c>
      <c r="D2069" t="s">
        <v>666</v>
      </c>
      <c r="E2069">
        <v>41</v>
      </c>
      <c r="F2069" s="1">
        <v>45594</v>
      </c>
      <c r="G2069" s="1" t="str">
        <f>TEXT(Table1[[#This Row],[Enrollment date]], "mmm")</f>
        <v>Oct</v>
      </c>
      <c r="H2069" t="s">
        <v>360</v>
      </c>
      <c r="I2069" t="s">
        <v>660</v>
      </c>
      <c r="J2069" t="str">
        <f>_xlfn.XLOOKUP(Table1[[#This Row],[Course ]], CCF!B:B, CCF!A:A)</f>
        <v>DM101</v>
      </c>
      <c r="K2069" t="s">
        <v>365</v>
      </c>
      <c r="L2069">
        <f>_xlfn.XLOOKUP(K2069, CCF!B:B, CCF!C:C)</f>
        <v>85499</v>
      </c>
      <c r="M2069" t="s">
        <v>17</v>
      </c>
    </row>
    <row r="2070" spans="1:13" x14ac:dyDescent="0.3">
      <c r="A2070">
        <v>2069</v>
      </c>
      <c r="B2070" t="s">
        <v>2726</v>
      </c>
      <c r="C2070" s="3">
        <v>47085</v>
      </c>
      <c r="D2070" t="s">
        <v>666</v>
      </c>
      <c r="E2070">
        <v>40</v>
      </c>
      <c r="F2070" s="1">
        <v>45595</v>
      </c>
      <c r="G2070" s="1" t="str">
        <f>TEXT(Table1[[#This Row],[Enrollment date]], "mmm")</f>
        <v>Oct</v>
      </c>
      <c r="H2070" t="s">
        <v>360</v>
      </c>
      <c r="I2070" t="s">
        <v>664</v>
      </c>
      <c r="J2070" t="str">
        <f>_xlfn.XLOOKUP(Table1[[#This Row],[Course ]], CCF!B:B, CCF!A:A)</f>
        <v>DA202</v>
      </c>
      <c r="K2070" t="s">
        <v>363</v>
      </c>
      <c r="L2070">
        <f>_xlfn.XLOOKUP(K2070, CCF!B:B, CCF!C:C)</f>
        <v>79999</v>
      </c>
      <c r="M2070" t="s">
        <v>85</v>
      </c>
    </row>
    <row r="2071" spans="1:13" x14ac:dyDescent="0.3">
      <c r="A2071">
        <v>2070</v>
      </c>
      <c r="B2071" t="s">
        <v>2727</v>
      </c>
      <c r="C2071" s="3">
        <v>28381</v>
      </c>
      <c r="D2071" t="s">
        <v>667</v>
      </c>
      <c r="E2071">
        <v>38</v>
      </c>
      <c r="F2071" s="1">
        <v>45595</v>
      </c>
      <c r="G2071" s="1" t="str">
        <f>TEXT(Table1[[#This Row],[Enrollment date]], "mmm")</f>
        <v>Oct</v>
      </c>
      <c r="H2071" t="s">
        <v>360</v>
      </c>
      <c r="I2071" t="s">
        <v>660</v>
      </c>
      <c r="J2071" t="str">
        <f>_xlfn.XLOOKUP(Table1[[#This Row],[Course ]], CCF!B:B, CCF!A:A)</f>
        <v>DM101</v>
      </c>
      <c r="K2071" t="s">
        <v>365</v>
      </c>
      <c r="L2071">
        <f>_xlfn.XLOOKUP(K2071, CCF!B:B, CCF!C:C)</f>
        <v>85499</v>
      </c>
      <c r="M2071" t="s">
        <v>16</v>
      </c>
    </row>
    <row r="2072" spans="1:13" x14ac:dyDescent="0.3">
      <c r="A2072">
        <v>2071</v>
      </c>
      <c r="B2072" t="s">
        <v>2728</v>
      </c>
      <c r="C2072" s="3">
        <v>89803</v>
      </c>
      <c r="D2072" t="s">
        <v>666</v>
      </c>
      <c r="E2072">
        <v>37</v>
      </c>
      <c r="F2072" s="1">
        <v>45595</v>
      </c>
      <c r="G2072" s="1" t="str">
        <f>TEXT(Table1[[#This Row],[Enrollment date]], "mmm")</f>
        <v>Oct</v>
      </c>
      <c r="H2072" t="s">
        <v>360</v>
      </c>
      <c r="I2072" t="s">
        <v>659</v>
      </c>
      <c r="J2072" t="str">
        <f>_xlfn.XLOOKUP(Table1[[#This Row],[Course ]], CCF!B:B, CCF!A:A)</f>
        <v>DM101</v>
      </c>
      <c r="K2072" t="s">
        <v>365</v>
      </c>
      <c r="L2072">
        <f>_xlfn.XLOOKUP(K2072, CCF!B:B, CCF!C:C)</f>
        <v>85499</v>
      </c>
      <c r="M2072" t="s">
        <v>38</v>
      </c>
    </row>
    <row r="2073" spans="1:13" x14ac:dyDescent="0.3">
      <c r="A2073">
        <v>2072</v>
      </c>
      <c r="B2073" t="s">
        <v>2729</v>
      </c>
      <c r="C2073" s="3">
        <v>66978</v>
      </c>
      <c r="D2073" t="s">
        <v>667</v>
      </c>
      <c r="E2073">
        <v>27</v>
      </c>
      <c r="F2073" s="1">
        <v>45595</v>
      </c>
      <c r="G2073" s="1" t="str">
        <f>TEXT(Table1[[#This Row],[Enrollment date]], "mmm")</f>
        <v>Oct</v>
      </c>
      <c r="H2073" t="s">
        <v>360</v>
      </c>
      <c r="I2073" t="s">
        <v>661</v>
      </c>
      <c r="J2073" t="str">
        <f>_xlfn.XLOOKUP(Table1[[#This Row],[Course ]], CCF!B:B, CCF!A:A)</f>
        <v>DM101</v>
      </c>
      <c r="K2073" t="s">
        <v>365</v>
      </c>
      <c r="L2073">
        <f>_xlfn.XLOOKUP(K2073, CCF!B:B, CCF!C:C)</f>
        <v>85499</v>
      </c>
      <c r="M2073" t="s">
        <v>76</v>
      </c>
    </row>
    <row r="2074" spans="1:13" x14ac:dyDescent="0.3">
      <c r="A2074">
        <v>2073</v>
      </c>
      <c r="B2074" t="s">
        <v>2730</v>
      </c>
      <c r="C2074" s="3">
        <v>70506</v>
      </c>
      <c r="D2074" t="s">
        <v>666</v>
      </c>
      <c r="E2074">
        <v>35</v>
      </c>
      <c r="F2074" s="1">
        <v>45595</v>
      </c>
      <c r="G2074" s="1" t="str">
        <f>TEXT(Table1[[#This Row],[Enrollment date]], "mmm")</f>
        <v>Oct</v>
      </c>
      <c r="H2074" t="s">
        <v>360</v>
      </c>
      <c r="I2074" t="s">
        <v>659</v>
      </c>
      <c r="J2074" t="str">
        <f>_xlfn.XLOOKUP(Table1[[#This Row],[Course ]], CCF!B:B, CCF!A:A)</f>
        <v>DA202</v>
      </c>
      <c r="K2074" t="s">
        <v>363</v>
      </c>
      <c r="L2074">
        <f>_xlfn.XLOOKUP(K2074, CCF!B:B, CCF!C:C)</f>
        <v>79999</v>
      </c>
      <c r="M2074" t="s">
        <v>20</v>
      </c>
    </row>
    <row r="2075" spans="1:13" x14ac:dyDescent="0.3">
      <c r="A2075">
        <v>2074</v>
      </c>
      <c r="B2075" t="s">
        <v>2731</v>
      </c>
      <c r="C2075" s="3">
        <v>26424</v>
      </c>
      <c r="D2075" t="s">
        <v>666</v>
      </c>
      <c r="E2075">
        <v>30</v>
      </c>
      <c r="F2075" s="1">
        <v>45596</v>
      </c>
      <c r="G2075" s="1" t="str">
        <f>TEXT(Table1[[#This Row],[Enrollment date]], "mmm")</f>
        <v>Oct</v>
      </c>
      <c r="H2075" t="s">
        <v>360</v>
      </c>
      <c r="I2075" t="s">
        <v>662</v>
      </c>
      <c r="J2075" t="str">
        <f>_xlfn.XLOOKUP(Table1[[#This Row],[Course ]], CCF!B:B, CCF!A:A)</f>
        <v>DM101</v>
      </c>
      <c r="K2075" t="s">
        <v>365</v>
      </c>
      <c r="L2075">
        <f>_xlfn.XLOOKUP(K2075, CCF!B:B, CCF!C:C)</f>
        <v>85499</v>
      </c>
      <c r="M2075" t="s">
        <v>148</v>
      </c>
    </row>
    <row r="2076" spans="1:13" x14ac:dyDescent="0.3">
      <c r="A2076">
        <v>2075</v>
      </c>
      <c r="B2076" t="s">
        <v>2732</v>
      </c>
      <c r="C2076" s="3">
        <v>46519</v>
      </c>
      <c r="D2076" t="s">
        <v>666</v>
      </c>
      <c r="E2076">
        <v>65</v>
      </c>
      <c r="F2076" s="1">
        <v>45596</v>
      </c>
      <c r="G2076" s="1" t="str">
        <f>TEXT(Table1[[#This Row],[Enrollment date]], "mmm")</f>
        <v>Oct</v>
      </c>
      <c r="H2076" t="s">
        <v>360</v>
      </c>
      <c r="I2076" t="s">
        <v>661</v>
      </c>
      <c r="J2076" t="str">
        <f>_xlfn.XLOOKUP(Table1[[#This Row],[Course ]], CCF!B:B, CCF!A:A)</f>
        <v>AI001</v>
      </c>
      <c r="K2076" t="s">
        <v>368</v>
      </c>
      <c r="L2076">
        <f>_xlfn.XLOOKUP(K2076, CCF!B:B, CCF!C:C)</f>
        <v>119990</v>
      </c>
      <c r="M2076" t="s">
        <v>38</v>
      </c>
    </row>
    <row r="2077" spans="1:13" x14ac:dyDescent="0.3">
      <c r="A2077">
        <v>2076</v>
      </c>
      <c r="B2077" t="s">
        <v>2733</v>
      </c>
      <c r="C2077" s="3">
        <v>85647</v>
      </c>
      <c r="D2077" t="s">
        <v>667</v>
      </c>
      <c r="E2077">
        <v>33</v>
      </c>
      <c r="F2077" s="1">
        <v>45596</v>
      </c>
      <c r="G2077" s="1" t="str">
        <f>TEXT(Table1[[#This Row],[Enrollment date]], "mmm")</f>
        <v>Oct</v>
      </c>
      <c r="H2077" t="s">
        <v>360</v>
      </c>
      <c r="I2077" t="s">
        <v>664</v>
      </c>
      <c r="J2077" t="str">
        <f>_xlfn.XLOOKUP(Table1[[#This Row],[Course ]], CCF!B:B, CCF!A:A)</f>
        <v>BA301</v>
      </c>
      <c r="K2077" t="s">
        <v>364</v>
      </c>
      <c r="L2077">
        <f>_xlfn.XLOOKUP(K2077, CCF!B:B, CCF!C:C)</f>
        <v>59999</v>
      </c>
      <c r="M2077" t="s">
        <v>91</v>
      </c>
    </row>
    <row r="2078" spans="1:13" x14ac:dyDescent="0.3">
      <c r="A2078">
        <v>2077</v>
      </c>
      <c r="B2078" t="s">
        <v>2734</v>
      </c>
      <c r="C2078" s="3">
        <v>40345</v>
      </c>
      <c r="D2078" t="s">
        <v>666</v>
      </c>
      <c r="E2078">
        <v>43</v>
      </c>
      <c r="F2078" s="1">
        <v>45596</v>
      </c>
      <c r="G2078" s="1" t="str">
        <f>TEXT(Table1[[#This Row],[Enrollment date]], "mmm")</f>
        <v>Oct</v>
      </c>
      <c r="H2078" t="s">
        <v>360</v>
      </c>
      <c r="I2078" t="s">
        <v>660</v>
      </c>
      <c r="J2078" t="str">
        <f>_xlfn.XLOOKUP(Table1[[#This Row],[Course ]], CCF!B:B, CCF!A:A)</f>
        <v>BA301</v>
      </c>
      <c r="K2078" t="s">
        <v>364</v>
      </c>
      <c r="L2078">
        <f>_xlfn.XLOOKUP(K2078, CCF!B:B, CCF!C:C)</f>
        <v>59999</v>
      </c>
      <c r="M2078" t="s">
        <v>55</v>
      </c>
    </row>
    <row r="2079" spans="1:13" x14ac:dyDescent="0.3">
      <c r="A2079">
        <v>2078</v>
      </c>
      <c r="B2079" t="s">
        <v>2735</v>
      </c>
      <c r="C2079" s="3">
        <v>37030</v>
      </c>
      <c r="D2079" t="s">
        <v>666</v>
      </c>
      <c r="E2079">
        <v>33</v>
      </c>
      <c r="F2079" s="1">
        <v>45596</v>
      </c>
      <c r="G2079" s="1" t="str">
        <f>TEXT(Table1[[#This Row],[Enrollment date]], "mmm")</f>
        <v>Oct</v>
      </c>
      <c r="H2079" t="s">
        <v>360</v>
      </c>
      <c r="I2079" t="s">
        <v>660</v>
      </c>
      <c r="J2079" t="str">
        <f>_xlfn.XLOOKUP(Table1[[#This Row],[Course ]], CCF!B:B, CCF!A:A)</f>
        <v>DM101</v>
      </c>
      <c r="K2079" t="s">
        <v>365</v>
      </c>
      <c r="L2079">
        <f>_xlfn.XLOOKUP(K2079, CCF!B:B, CCF!C:C)</f>
        <v>85499</v>
      </c>
      <c r="M2079" t="s">
        <v>16</v>
      </c>
    </row>
    <row r="2080" spans="1:13" x14ac:dyDescent="0.3">
      <c r="A2080">
        <v>2079</v>
      </c>
      <c r="B2080" t="s">
        <v>2736</v>
      </c>
      <c r="C2080" s="3">
        <v>53428</v>
      </c>
      <c r="D2080" t="s">
        <v>666</v>
      </c>
      <c r="E2080">
        <v>36</v>
      </c>
      <c r="F2080" s="1">
        <v>45596</v>
      </c>
      <c r="G2080" s="1" t="str">
        <f>TEXT(Table1[[#This Row],[Enrollment date]], "mmm")</f>
        <v>Oct</v>
      </c>
      <c r="H2080" t="s">
        <v>360</v>
      </c>
      <c r="I2080" t="s">
        <v>659</v>
      </c>
      <c r="J2080" t="str">
        <f>_xlfn.XLOOKUP(Table1[[#This Row],[Course ]], CCF!B:B, CCF!A:A)</f>
        <v>DA202</v>
      </c>
      <c r="K2080" t="s">
        <v>363</v>
      </c>
      <c r="L2080">
        <f>_xlfn.XLOOKUP(K2080, CCF!B:B, CCF!C:C)</f>
        <v>79999</v>
      </c>
      <c r="M2080" t="s">
        <v>141</v>
      </c>
    </row>
    <row r="2081" spans="1:13" x14ac:dyDescent="0.3">
      <c r="A2081">
        <v>2080</v>
      </c>
      <c r="B2081" t="s">
        <v>2737</v>
      </c>
      <c r="C2081" s="3">
        <v>89627</v>
      </c>
      <c r="D2081" t="s">
        <v>666</v>
      </c>
      <c r="E2081">
        <v>38</v>
      </c>
      <c r="F2081" s="1">
        <v>45597</v>
      </c>
      <c r="G2081" s="1" t="str">
        <f>TEXT(Table1[[#This Row],[Enrollment date]], "mmm")</f>
        <v>Nov</v>
      </c>
      <c r="H2081" t="s">
        <v>360</v>
      </c>
      <c r="I2081" t="s">
        <v>659</v>
      </c>
      <c r="J2081" t="str">
        <f>_xlfn.XLOOKUP(Table1[[#This Row],[Course ]], CCF!B:B, CCF!A:A)</f>
        <v>DA202</v>
      </c>
      <c r="K2081" t="s">
        <v>363</v>
      </c>
      <c r="L2081">
        <f>_xlfn.XLOOKUP(K2081, CCF!B:B, CCF!C:C)</f>
        <v>79999</v>
      </c>
      <c r="M2081" t="s">
        <v>64</v>
      </c>
    </row>
    <row r="2082" spans="1:13" x14ac:dyDescent="0.3">
      <c r="A2082">
        <v>2081</v>
      </c>
      <c r="B2082" t="s">
        <v>2738</v>
      </c>
      <c r="C2082" s="3">
        <v>87276</v>
      </c>
      <c r="D2082" t="s">
        <v>666</v>
      </c>
      <c r="E2082">
        <v>38</v>
      </c>
      <c r="F2082" s="1">
        <v>45597</v>
      </c>
      <c r="G2082" s="1" t="str">
        <f>TEXT(Table1[[#This Row],[Enrollment date]], "mmm")</f>
        <v>Nov</v>
      </c>
      <c r="H2082" t="s">
        <v>360</v>
      </c>
      <c r="I2082" t="s">
        <v>659</v>
      </c>
      <c r="J2082" t="str">
        <f>_xlfn.XLOOKUP(Table1[[#This Row],[Course ]], CCF!B:B, CCF!A:A)</f>
        <v>DA202</v>
      </c>
      <c r="K2082" t="s">
        <v>363</v>
      </c>
      <c r="L2082">
        <f>_xlfn.XLOOKUP(K2082, CCF!B:B, CCF!C:C)</f>
        <v>79999</v>
      </c>
      <c r="M2082" t="s">
        <v>17</v>
      </c>
    </row>
    <row r="2083" spans="1:13" x14ac:dyDescent="0.3">
      <c r="A2083">
        <v>2082</v>
      </c>
      <c r="B2083" t="s">
        <v>2739</v>
      </c>
      <c r="C2083" s="3">
        <v>38464</v>
      </c>
      <c r="D2083" t="s">
        <v>667</v>
      </c>
      <c r="E2083">
        <v>40</v>
      </c>
      <c r="F2083" s="1">
        <v>45597</v>
      </c>
      <c r="G2083" s="1" t="str">
        <f>TEXT(Table1[[#This Row],[Enrollment date]], "mmm")</f>
        <v>Nov</v>
      </c>
      <c r="H2083" t="s">
        <v>360</v>
      </c>
      <c r="I2083" t="s">
        <v>662</v>
      </c>
      <c r="J2083" t="str">
        <f>_xlfn.XLOOKUP(Table1[[#This Row],[Course ]], CCF!B:B, CCF!A:A)</f>
        <v>FSD103</v>
      </c>
      <c r="K2083" t="s">
        <v>366</v>
      </c>
      <c r="L2083">
        <f>_xlfn.XLOOKUP(K2083, CCF!B:B, CCF!C:C)</f>
        <v>109990</v>
      </c>
      <c r="M2083" t="s">
        <v>326</v>
      </c>
    </row>
    <row r="2084" spans="1:13" x14ac:dyDescent="0.3">
      <c r="A2084">
        <v>2083</v>
      </c>
      <c r="B2084" t="s">
        <v>2740</v>
      </c>
      <c r="C2084" s="3">
        <v>78017</v>
      </c>
      <c r="D2084" t="s">
        <v>667</v>
      </c>
      <c r="E2084">
        <v>22</v>
      </c>
      <c r="F2084" s="1">
        <v>45597</v>
      </c>
      <c r="G2084" s="1" t="str">
        <f>TEXT(Table1[[#This Row],[Enrollment date]], "mmm")</f>
        <v>Nov</v>
      </c>
      <c r="H2084" t="s">
        <v>3</v>
      </c>
      <c r="I2084" t="s">
        <v>665</v>
      </c>
      <c r="J2084" t="str">
        <f>_xlfn.XLOOKUP(Table1[[#This Row],[Course ]], CCF!B:B, CCF!A:A)</f>
        <v>BA301</v>
      </c>
      <c r="K2084" t="s">
        <v>364</v>
      </c>
      <c r="L2084">
        <f>_xlfn.XLOOKUP(K2084, CCF!B:B, CCF!C:C)</f>
        <v>59999</v>
      </c>
      <c r="M2084" t="s">
        <v>206</v>
      </c>
    </row>
    <row r="2085" spans="1:13" x14ac:dyDescent="0.3">
      <c r="A2085">
        <v>2084</v>
      </c>
      <c r="B2085" t="s">
        <v>2741</v>
      </c>
      <c r="C2085" s="3">
        <v>51925</v>
      </c>
      <c r="D2085" t="s">
        <v>666</v>
      </c>
      <c r="E2085">
        <v>36</v>
      </c>
      <c r="F2085" s="1">
        <v>45598</v>
      </c>
      <c r="G2085" s="1" t="str">
        <f>TEXT(Table1[[#This Row],[Enrollment date]], "mmm")</f>
        <v>Nov</v>
      </c>
      <c r="H2085" t="s">
        <v>361</v>
      </c>
      <c r="I2085" t="s">
        <v>659</v>
      </c>
      <c r="J2085" t="str">
        <f>_xlfn.XLOOKUP(Table1[[#This Row],[Course ]], CCF!B:B, CCF!A:A)</f>
        <v>DA202</v>
      </c>
      <c r="K2085" t="s">
        <v>363</v>
      </c>
      <c r="L2085">
        <f>_xlfn.XLOOKUP(K2085, CCF!B:B, CCF!C:C)</f>
        <v>79999</v>
      </c>
      <c r="M2085" t="s">
        <v>83</v>
      </c>
    </row>
    <row r="2086" spans="1:13" x14ac:dyDescent="0.3">
      <c r="A2086">
        <v>2085</v>
      </c>
      <c r="B2086" t="s">
        <v>2742</v>
      </c>
      <c r="C2086" s="3">
        <v>83461</v>
      </c>
      <c r="D2086" t="s">
        <v>667</v>
      </c>
      <c r="E2086">
        <v>42</v>
      </c>
      <c r="F2086" s="1">
        <v>45598</v>
      </c>
      <c r="G2086" s="1" t="str">
        <f>TEXT(Table1[[#This Row],[Enrollment date]], "mmm")</f>
        <v>Nov</v>
      </c>
      <c r="H2086" t="s">
        <v>360</v>
      </c>
      <c r="I2086" t="s">
        <v>663</v>
      </c>
      <c r="J2086" t="str">
        <f>_xlfn.XLOOKUP(Table1[[#This Row],[Course ]], CCF!B:B, CCF!A:A)</f>
        <v>DM101</v>
      </c>
      <c r="K2086" t="s">
        <v>365</v>
      </c>
      <c r="L2086">
        <f>_xlfn.XLOOKUP(K2086, CCF!B:B, CCF!C:C)</f>
        <v>85499</v>
      </c>
      <c r="M2086" t="s">
        <v>180</v>
      </c>
    </row>
    <row r="2087" spans="1:13" x14ac:dyDescent="0.3">
      <c r="A2087">
        <v>2086</v>
      </c>
      <c r="B2087" t="s">
        <v>2743</v>
      </c>
      <c r="C2087" s="3">
        <v>69872</v>
      </c>
      <c r="D2087" t="s">
        <v>666</v>
      </c>
      <c r="E2087">
        <v>53</v>
      </c>
      <c r="F2087" s="1">
        <v>45598</v>
      </c>
      <c r="G2087" s="1" t="str">
        <f>TEXT(Table1[[#This Row],[Enrollment date]], "mmm")</f>
        <v>Nov</v>
      </c>
      <c r="H2087" t="s">
        <v>360</v>
      </c>
      <c r="I2087" t="s">
        <v>661</v>
      </c>
      <c r="J2087" t="str">
        <f>_xlfn.XLOOKUP(Table1[[#This Row],[Course ]], CCF!B:B, CCF!A:A)</f>
        <v>AI001</v>
      </c>
      <c r="K2087" t="s">
        <v>368</v>
      </c>
      <c r="L2087">
        <f>_xlfn.XLOOKUP(K2087, CCF!B:B, CCF!C:C)</f>
        <v>119990</v>
      </c>
      <c r="M2087" t="s">
        <v>191</v>
      </c>
    </row>
    <row r="2088" spans="1:13" x14ac:dyDescent="0.3">
      <c r="A2088">
        <v>2087</v>
      </c>
      <c r="B2088" t="s">
        <v>2744</v>
      </c>
      <c r="C2088" s="3">
        <v>34685</v>
      </c>
      <c r="D2088" t="s">
        <v>666</v>
      </c>
      <c r="E2088">
        <v>57</v>
      </c>
      <c r="F2088" s="1">
        <v>45598</v>
      </c>
      <c r="G2088" s="1" t="str">
        <f>TEXT(Table1[[#This Row],[Enrollment date]], "mmm")</f>
        <v>Nov</v>
      </c>
      <c r="H2088" t="s">
        <v>360</v>
      </c>
      <c r="I2088" t="s">
        <v>664</v>
      </c>
      <c r="J2088" t="str">
        <f>_xlfn.XLOOKUP(Table1[[#This Row],[Course ]], CCF!B:B, CCF!A:A)</f>
        <v>DA202</v>
      </c>
      <c r="K2088" t="s">
        <v>363</v>
      </c>
      <c r="L2088">
        <f>_xlfn.XLOOKUP(K2088, CCF!B:B, CCF!C:C)</f>
        <v>79999</v>
      </c>
      <c r="M2088" t="s">
        <v>417</v>
      </c>
    </row>
    <row r="2089" spans="1:13" x14ac:dyDescent="0.3">
      <c r="A2089">
        <v>2088</v>
      </c>
      <c r="B2089" t="s">
        <v>2745</v>
      </c>
      <c r="C2089" s="3">
        <v>32515</v>
      </c>
      <c r="D2089" t="s">
        <v>666</v>
      </c>
      <c r="E2089">
        <v>30</v>
      </c>
      <c r="F2089" s="1">
        <v>45599</v>
      </c>
      <c r="G2089" s="1" t="str">
        <f>TEXT(Table1[[#This Row],[Enrollment date]], "mmm")</f>
        <v>Nov</v>
      </c>
      <c r="H2089" t="s">
        <v>360</v>
      </c>
      <c r="I2089" t="s">
        <v>659</v>
      </c>
      <c r="J2089" t="str">
        <f>_xlfn.XLOOKUP(Table1[[#This Row],[Course ]], CCF!B:B, CCF!A:A)</f>
        <v>FSD103</v>
      </c>
      <c r="K2089" t="s">
        <v>366</v>
      </c>
      <c r="L2089">
        <f>_xlfn.XLOOKUP(K2089, CCF!B:B, CCF!C:C)</f>
        <v>109990</v>
      </c>
      <c r="M2089" t="s">
        <v>616</v>
      </c>
    </row>
    <row r="2090" spans="1:13" x14ac:dyDescent="0.3">
      <c r="A2090">
        <v>2089</v>
      </c>
      <c r="B2090" t="s">
        <v>2746</v>
      </c>
      <c r="C2090" s="3">
        <v>71984</v>
      </c>
      <c r="D2090" t="s">
        <v>666</v>
      </c>
      <c r="E2090">
        <v>39</v>
      </c>
      <c r="F2090" s="1">
        <v>45599</v>
      </c>
      <c r="G2090" s="1" t="str">
        <f>TEXT(Table1[[#This Row],[Enrollment date]], "mmm")</f>
        <v>Nov</v>
      </c>
      <c r="H2090" t="s">
        <v>360</v>
      </c>
      <c r="I2090" t="s">
        <v>659</v>
      </c>
      <c r="J2090" t="str">
        <f>_xlfn.XLOOKUP(Table1[[#This Row],[Course ]], CCF!B:B, CCF!A:A)</f>
        <v>BA301</v>
      </c>
      <c r="K2090" t="s">
        <v>364</v>
      </c>
      <c r="L2090">
        <f>_xlfn.XLOOKUP(K2090, CCF!B:B, CCF!C:C)</f>
        <v>59999</v>
      </c>
      <c r="M2090" t="s">
        <v>91</v>
      </c>
    </row>
    <row r="2091" spans="1:13" x14ac:dyDescent="0.3">
      <c r="A2091">
        <v>2090</v>
      </c>
      <c r="B2091" t="s">
        <v>2747</v>
      </c>
      <c r="C2091" s="3">
        <v>13167</v>
      </c>
      <c r="D2091" t="s">
        <v>666</v>
      </c>
      <c r="E2091">
        <v>49</v>
      </c>
      <c r="F2091" s="1">
        <v>45599</v>
      </c>
      <c r="G2091" s="1" t="str">
        <f>TEXT(Table1[[#This Row],[Enrollment date]], "mmm")</f>
        <v>Nov</v>
      </c>
      <c r="H2091" t="s">
        <v>3</v>
      </c>
      <c r="I2091" t="s">
        <v>660</v>
      </c>
      <c r="J2091" t="str">
        <f>_xlfn.XLOOKUP(Table1[[#This Row],[Course ]], CCF!B:B, CCF!A:A)</f>
        <v>AI001</v>
      </c>
      <c r="K2091" t="s">
        <v>368</v>
      </c>
      <c r="L2091">
        <f>_xlfn.XLOOKUP(K2091, CCF!B:B, CCF!C:C)</f>
        <v>119990</v>
      </c>
      <c r="M2091" t="s">
        <v>39</v>
      </c>
    </row>
    <row r="2092" spans="1:13" x14ac:dyDescent="0.3">
      <c r="A2092">
        <v>2091</v>
      </c>
      <c r="B2092" t="s">
        <v>2748</v>
      </c>
      <c r="C2092" s="3">
        <v>47439</v>
      </c>
      <c r="D2092" t="s">
        <v>667</v>
      </c>
      <c r="E2092">
        <v>26</v>
      </c>
      <c r="F2092" s="1">
        <v>45599</v>
      </c>
      <c r="G2092" s="1" t="str">
        <f>TEXT(Table1[[#This Row],[Enrollment date]], "mmm")</f>
        <v>Nov</v>
      </c>
      <c r="H2092" t="s">
        <v>360</v>
      </c>
      <c r="I2092" t="s">
        <v>662</v>
      </c>
      <c r="J2092" t="str">
        <f>_xlfn.XLOOKUP(Table1[[#This Row],[Course ]], CCF!B:B, CCF!A:A)</f>
        <v>DA202</v>
      </c>
      <c r="K2092" t="s">
        <v>363</v>
      </c>
      <c r="L2092">
        <f>_xlfn.XLOOKUP(K2092, CCF!B:B, CCF!C:C)</f>
        <v>79999</v>
      </c>
      <c r="M2092" t="s">
        <v>83</v>
      </c>
    </row>
    <row r="2093" spans="1:13" x14ac:dyDescent="0.3">
      <c r="A2093">
        <v>2092</v>
      </c>
      <c r="B2093" t="s">
        <v>2749</v>
      </c>
      <c r="C2093" s="3">
        <v>54182</v>
      </c>
      <c r="D2093" t="s">
        <v>666</v>
      </c>
      <c r="E2093">
        <v>47</v>
      </c>
      <c r="F2093" s="1">
        <v>45599</v>
      </c>
      <c r="G2093" s="1" t="str">
        <f>TEXT(Table1[[#This Row],[Enrollment date]], "mmm")</f>
        <v>Nov</v>
      </c>
      <c r="H2093" t="s">
        <v>360</v>
      </c>
      <c r="I2093" t="s">
        <v>660</v>
      </c>
      <c r="J2093" t="str">
        <f>_xlfn.XLOOKUP(Table1[[#This Row],[Course ]], CCF!B:B, CCF!A:A)</f>
        <v>DM101</v>
      </c>
      <c r="K2093" t="s">
        <v>365</v>
      </c>
      <c r="L2093">
        <f>_xlfn.XLOOKUP(K2093, CCF!B:B, CCF!C:C)</f>
        <v>85499</v>
      </c>
      <c r="M2093" t="s">
        <v>459</v>
      </c>
    </row>
    <row r="2094" spans="1:13" x14ac:dyDescent="0.3">
      <c r="A2094">
        <v>2093</v>
      </c>
      <c r="B2094" t="s">
        <v>2750</v>
      </c>
      <c r="C2094" s="3">
        <v>30431</v>
      </c>
      <c r="D2094" t="s">
        <v>666</v>
      </c>
      <c r="E2094">
        <v>70</v>
      </c>
      <c r="F2094" s="1">
        <v>45599</v>
      </c>
      <c r="G2094" s="1" t="str">
        <f>TEXT(Table1[[#This Row],[Enrollment date]], "mmm")</f>
        <v>Nov</v>
      </c>
      <c r="H2094" t="s">
        <v>360</v>
      </c>
      <c r="I2094" t="s">
        <v>661</v>
      </c>
      <c r="J2094" t="str">
        <f>_xlfn.XLOOKUP(Table1[[#This Row],[Course ]], CCF!B:B, CCF!A:A)</f>
        <v>DM101</v>
      </c>
      <c r="K2094" t="s">
        <v>365</v>
      </c>
      <c r="L2094">
        <f>_xlfn.XLOOKUP(K2094, CCF!B:B, CCF!C:C)</f>
        <v>85499</v>
      </c>
      <c r="M2094" t="s">
        <v>27</v>
      </c>
    </row>
    <row r="2095" spans="1:13" x14ac:dyDescent="0.3">
      <c r="A2095">
        <v>2094</v>
      </c>
      <c r="B2095" t="s">
        <v>2751</v>
      </c>
      <c r="C2095" s="3">
        <v>20416</v>
      </c>
      <c r="D2095" t="s">
        <v>666</v>
      </c>
      <c r="E2095">
        <v>44</v>
      </c>
      <c r="F2095" s="1">
        <v>45599</v>
      </c>
      <c r="G2095" s="1" t="str">
        <f>TEXT(Table1[[#This Row],[Enrollment date]], "mmm")</f>
        <v>Nov</v>
      </c>
      <c r="H2095" t="s">
        <v>360</v>
      </c>
      <c r="I2095" t="s">
        <v>661</v>
      </c>
      <c r="J2095" t="str">
        <f>_xlfn.XLOOKUP(Table1[[#This Row],[Course ]], CCF!B:B, CCF!A:A)</f>
        <v>DA202</v>
      </c>
      <c r="K2095" t="s">
        <v>363</v>
      </c>
      <c r="L2095">
        <f>_xlfn.XLOOKUP(K2095, CCF!B:B, CCF!C:C)</f>
        <v>79999</v>
      </c>
      <c r="M2095" t="s">
        <v>617</v>
      </c>
    </row>
    <row r="2096" spans="1:13" x14ac:dyDescent="0.3">
      <c r="A2096">
        <v>2095</v>
      </c>
      <c r="B2096" t="s">
        <v>2752</v>
      </c>
      <c r="C2096" s="3">
        <v>76614</v>
      </c>
      <c r="D2096" t="s">
        <v>666</v>
      </c>
      <c r="E2096">
        <v>25</v>
      </c>
      <c r="F2096" s="1">
        <v>45599</v>
      </c>
      <c r="G2096" s="1" t="str">
        <f>TEXT(Table1[[#This Row],[Enrollment date]], "mmm")</f>
        <v>Nov</v>
      </c>
      <c r="H2096" t="s">
        <v>360</v>
      </c>
      <c r="I2096" t="s">
        <v>661</v>
      </c>
      <c r="J2096" t="str">
        <f>_xlfn.XLOOKUP(Table1[[#This Row],[Course ]], CCF!B:B, CCF!A:A)</f>
        <v>FSD103</v>
      </c>
      <c r="K2096" t="s">
        <v>366</v>
      </c>
      <c r="L2096">
        <f>_xlfn.XLOOKUP(K2096, CCF!B:B, CCF!C:C)</f>
        <v>109990</v>
      </c>
      <c r="M2096" t="s">
        <v>30</v>
      </c>
    </row>
    <row r="2097" spans="1:13" x14ac:dyDescent="0.3">
      <c r="A2097">
        <v>2096</v>
      </c>
      <c r="B2097" t="s">
        <v>2753</v>
      </c>
      <c r="C2097" s="3">
        <v>58181</v>
      </c>
      <c r="D2097" t="s">
        <v>666</v>
      </c>
      <c r="E2097">
        <v>42</v>
      </c>
      <c r="F2097" s="1">
        <v>45599</v>
      </c>
      <c r="G2097" s="1" t="str">
        <f>TEXT(Table1[[#This Row],[Enrollment date]], "mmm")</f>
        <v>Nov</v>
      </c>
      <c r="H2097" t="s">
        <v>360</v>
      </c>
      <c r="I2097" t="s">
        <v>660</v>
      </c>
      <c r="J2097" t="str">
        <f>_xlfn.XLOOKUP(Table1[[#This Row],[Course ]], CCF!B:B, CCF!A:A)</f>
        <v>DA202</v>
      </c>
      <c r="K2097" t="s">
        <v>363</v>
      </c>
      <c r="L2097">
        <f>_xlfn.XLOOKUP(K2097, CCF!B:B, CCF!C:C)</f>
        <v>79999</v>
      </c>
      <c r="M2097" t="s">
        <v>53</v>
      </c>
    </row>
    <row r="2098" spans="1:13" x14ac:dyDescent="0.3">
      <c r="A2098">
        <v>2097</v>
      </c>
      <c r="B2098" t="s">
        <v>2754</v>
      </c>
      <c r="C2098" s="3">
        <v>80211</v>
      </c>
      <c r="D2098" t="s">
        <v>666</v>
      </c>
      <c r="E2098">
        <v>65</v>
      </c>
      <c r="F2098" s="1">
        <v>45599</v>
      </c>
      <c r="G2098" s="1" t="str">
        <f>TEXT(Table1[[#This Row],[Enrollment date]], "mmm")</f>
        <v>Nov</v>
      </c>
      <c r="H2098" t="s">
        <v>360</v>
      </c>
      <c r="I2098" t="s">
        <v>660</v>
      </c>
      <c r="J2098" t="str">
        <f>_xlfn.XLOOKUP(Table1[[#This Row],[Course ]], CCF!B:B, CCF!A:A)</f>
        <v>DM101</v>
      </c>
      <c r="K2098" t="s">
        <v>365</v>
      </c>
      <c r="L2098">
        <f>_xlfn.XLOOKUP(K2098, CCF!B:B, CCF!C:C)</f>
        <v>85499</v>
      </c>
      <c r="M2098" t="s">
        <v>27</v>
      </c>
    </row>
    <row r="2099" spans="1:13" x14ac:dyDescent="0.3">
      <c r="A2099">
        <v>2098</v>
      </c>
      <c r="B2099" t="s">
        <v>2755</v>
      </c>
      <c r="C2099" s="3">
        <v>31396</v>
      </c>
      <c r="D2099" t="s">
        <v>666</v>
      </c>
      <c r="E2099">
        <v>48</v>
      </c>
      <c r="F2099" s="1">
        <v>45599</v>
      </c>
      <c r="G2099" s="1" t="str">
        <f>TEXT(Table1[[#This Row],[Enrollment date]], "mmm")</f>
        <v>Nov</v>
      </c>
      <c r="H2099" t="s">
        <v>360</v>
      </c>
      <c r="I2099" t="s">
        <v>661</v>
      </c>
      <c r="J2099" t="str">
        <f>_xlfn.XLOOKUP(Table1[[#This Row],[Course ]], CCF!B:B, CCF!A:A)</f>
        <v>DM101</v>
      </c>
      <c r="K2099" t="s">
        <v>365</v>
      </c>
      <c r="L2099">
        <f>_xlfn.XLOOKUP(K2099, CCF!B:B, CCF!C:C)</f>
        <v>85499</v>
      </c>
      <c r="M2099" t="s">
        <v>43</v>
      </c>
    </row>
    <row r="2100" spans="1:13" x14ac:dyDescent="0.3">
      <c r="A2100">
        <v>2099</v>
      </c>
      <c r="B2100" t="s">
        <v>2756</v>
      </c>
      <c r="C2100" s="3">
        <v>29432</v>
      </c>
      <c r="D2100" t="s">
        <v>667</v>
      </c>
      <c r="E2100">
        <v>45</v>
      </c>
      <c r="F2100" s="1">
        <v>45599</v>
      </c>
      <c r="G2100" s="1" t="str">
        <f>TEXT(Table1[[#This Row],[Enrollment date]], "mmm")</f>
        <v>Nov</v>
      </c>
      <c r="H2100" t="s">
        <v>360</v>
      </c>
      <c r="I2100" t="s">
        <v>663</v>
      </c>
      <c r="J2100" t="str">
        <f>_xlfn.XLOOKUP(Table1[[#This Row],[Course ]], CCF!B:B, CCF!A:A)</f>
        <v>DA202</v>
      </c>
      <c r="K2100" t="s">
        <v>363</v>
      </c>
      <c r="L2100">
        <f>_xlfn.XLOOKUP(K2100, CCF!B:B, CCF!C:C)</f>
        <v>79999</v>
      </c>
      <c r="M2100" t="s">
        <v>121</v>
      </c>
    </row>
    <row r="2101" spans="1:13" x14ac:dyDescent="0.3">
      <c r="A2101">
        <v>2100</v>
      </c>
      <c r="B2101" t="s">
        <v>2757</v>
      </c>
      <c r="C2101" s="3">
        <v>70372</v>
      </c>
      <c r="D2101" t="s">
        <v>667</v>
      </c>
      <c r="E2101">
        <v>47</v>
      </c>
      <c r="F2101" s="1">
        <v>45600</v>
      </c>
      <c r="G2101" s="1" t="str">
        <f>TEXT(Table1[[#This Row],[Enrollment date]], "mmm")</f>
        <v>Nov</v>
      </c>
      <c r="H2101" t="s">
        <v>360</v>
      </c>
      <c r="I2101" t="s">
        <v>661</v>
      </c>
      <c r="J2101" t="str">
        <f>_xlfn.XLOOKUP(Table1[[#This Row],[Course ]], CCF!B:B, CCF!A:A)</f>
        <v>DA202</v>
      </c>
      <c r="K2101" t="s">
        <v>363</v>
      </c>
      <c r="L2101">
        <f>_xlfn.XLOOKUP(K2101, CCF!B:B, CCF!C:C)</f>
        <v>79999</v>
      </c>
      <c r="M2101" t="s">
        <v>618</v>
      </c>
    </row>
    <row r="2102" spans="1:13" x14ac:dyDescent="0.3">
      <c r="A2102">
        <v>2101</v>
      </c>
      <c r="B2102" t="s">
        <v>2758</v>
      </c>
      <c r="C2102" s="3">
        <v>84221</v>
      </c>
      <c r="D2102" t="s">
        <v>667</v>
      </c>
      <c r="E2102">
        <v>47</v>
      </c>
      <c r="F2102" s="1">
        <v>45600</v>
      </c>
      <c r="G2102" s="1" t="str">
        <f>TEXT(Table1[[#This Row],[Enrollment date]], "mmm")</f>
        <v>Nov</v>
      </c>
      <c r="H2102" t="s">
        <v>360</v>
      </c>
      <c r="I2102" t="s">
        <v>663</v>
      </c>
      <c r="J2102" t="str">
        <f>_xlfn.XLOOKUP(Table1[[#This Row],[Course ]], CCF!B:B, CCF!A:A)</f>
        <v>BA301</v>
      </c>
      <c r="K2102" t="s">
        <v>364</v>
      </c>
      <c r="L2102">
        <f>_xlfn.XLOOKUP(K2102, CCF!B:B, CCF!C:C)</f>
        <v>59999</v>
      </c>
      <c r="M2102" t="s">
        <v>20</v>
      </c>
    </row>
    <row r="2103" spans="1:13" x14ac:dyDescent="0.3">
      <c r="A2103">
        <v>2102</v>
      </c>
      <c r="B2103" t="s">
        <v>2759</v>
      </c>
      <c r="C2103" s="3">
        <v>32540</v>
      </c>
      <c r="D2103" t="s">
        <v>666</v>
      </c>
      <c r="E2103">
        <v>31</v>
      </c>
      <c r="F2103" s="1">
        <v>45600</v>
      </c>
      <c r="G2103" s="1" t="str">
        <f>TEXT(Table1[[#This Row],[Enrollment date]], "mmm")</f>
        <v>Nov</v>
      </c>
      <c r="H2103" t="s">
        <v>360</v>
      </c>
      <c r="I2103" t="s">
        <v>661</v>
      </c>
      <c r="J2103" t="str">
        <f>_xlfn.XLOOKUP(Table1[[#This Row],[Course ]], CCF!B:B, CCF!A:A)</f>
        <v>DA202</v>
      </c>
      <c r="K2103" t="s">
        <v>363</v>
      </c>
      <c r="L2103">
        <f>_xlfn.XLOOKUP(K2103, CCF!B:B, CCF!C:C)</f>
        <v>79999</v>
      </c>
      <c r="M2103" t="s">
        <v>48</v>
      </c>
    </row>
    <row r="2104" spans="1:13" x14ac:dyDescent="0.3">
      <c r="A2104">
        <v>2103</v>
      </c>
      <c r="B2104" t="s">
        <v>2760</v>
      </c>
      <c r="C2104" s="3">
        <v>48109</v>
      </c>
      <c r="D2104" t="s">
        <v>666</v>
      </c>
      <c r="E2104">
        <v>29</v>
      </c>
      <c r="F2104" s="1">
        <v>45600</v>
      </c>
      <c r="G2104" s="1" t="str">
        <f>TEXT(Table1[[#This Row],[Enrollment date]], "mmm")</f>
        <v>Nov</v>
      </c>
      <c r="H2104" t="s">
        <v>360</v>
      </c>
      <c r="I2104" t="s">
        <v>661</v>
      </c>
      <c r="J2104" t="str">
        <f>_xlfn.XLOOKUP(Table1[[#This Row],[Course ]], CCF!B:B, CCF!A:A)</f>
        <v>DM101</v>
      </c>
      <c r="K2104" t="s">
        <v>365</v>
      </c>
      <c r="L2104">
        <f>_xlfn.XLOOKUP(K2104, CCF!B:B, CCF!C:C)</f>
        <v>85499</v>
      </c>
      <c r="M2104" t="s">
        <v>9</v>
      </c>
    </row>
    <row r="2105" spans="1:13" x14ac:dyDescent="0.3">
      <c r="A2105">
        <v>2104</v>
      </c>
      <c r="B2105" t="s">
        <v>2761</v>
      </c>
      <c r="C2105" s="3">
        <v>56855</v>
      </c>
      <c r="D2105" t="s">
        <v>666</v>
      </c>
      <c r="E2105">
        <v>27</v>
      </c>
      <c r="F2105" s="1">
        <v>45600</v>
      </c>
      <c r="G2105" s="1" t="str">
        <f>TEXT(Table1[[#This Row],[Enrollment date]], "mmm")</f>
        <v>Nov</v>
      </c>
      <c r="H2105" t="s">
        <v>360</v>
      </c>
      <c r="I2105" t="s">
        <v>663</v>
      </c>
      <c r="J2105" t="str">
        <f>_xlfn.XLOOKUP(Table1[[#This Row],[Course ]], CCF!B:B, CCF!A:A)</f>
        <v>DM101</v>
      </c>
      <c r="K2105" t="s">
        <v>365</v>
      </c>
      <c r="L2105">
        <f>_xlfn.XLOOKUP(K2105, CCF!B:B, CCF!C:C)</f>
        <v>85499</v>
      </c>
      <c r="M2105" t="s">
        <v>17</v>
      </c>
    </row>
    <row r="2106" spans="1:13" x14ac:dyDescent="0.3">
      <c r="A2106">
        <v>2105</v>
      </c>
      <c r="B2106" t="s">
        <v>2762</v>
      </c>
      <c r="C2106" s="3">
        <v>88418</v>
      </c>
      <c r="D2106" t="s">
        <v>666</v>
      </c>
      <c r="E2106">
        <v>58</v>
      </c>
      <c r="F2106" s="1">
        <v>45600</v>
      </c>
      <c r="G2106" s="1" t="str">
        <f>TEXT(Table1[[#This Row],[Enrollment date]], "mmm")</f>
        <v>Nov</v>
      </c>
      <c r="H2106" t="s">
        <v>360</v>
      </c>
      <c r="I2106" t="s">
        <v>661</v>
      </c>
      <c r="J2106" t="str">
        <f>_xlfn.XLOOKUP(Table1[[#This Row],[Course ]], CCF!B:B, CCF!A:A)</f>
        <v>UX401</v>
      </c>
      <c r="K2106" t="s">
        <v>367</v>
      </c>
      <c r="L2106">
        <f>_xlfn.XLOOKUP(K2106, CCF!B:B, CCF!C:C)</f>
        <v>67990</v>
      </c>
      <c r="M2106" t="s">
        <v>568</v>
      </c>
    </row>
    <row r="2107" spans="1:13" x14ac:dyDescent="0.3">
      <c r="A2107">
        <v>2106</v>
      </c>
      <c r="B2107" t="s">
        <v>2763</v>
      </c>
      <c r="C2107" s="3">
        <v>55961</v>
      </c>
      <c r="D2107" t="s">
        <v>667</v>
      </c>
      <c r="E2107">
        <v>37</v>
      </c>
      <c r="F2107" s="1">
        <v>45601</v>
      </c>
      <c r="G2107" s="1" t="str">
        <f>TEXT(Table1[[#This Row],[Enrollment date]], "mmm")</f>
        <v>Nov</v>
      </c>
      <c r="H2107" t="s">
        <v>360</v>
      </c>
      <c r="I2107" t="s">
        <v>660</v>
      </c>
      <c r="J2107" t="str">
        <f>_xlfn.XLOOKUP(Table1[[#This Row],[Course ]], CCF!B:B, CCF!A:A)</f>
        <v>DA202</v>
      </c>
      <c r="K2107" t="s">
        <v>363</v>
      </c>
      <c r="L2107">
        <f>_xlfn.XLOOKUP(K2107, CCF!B:B, CCF!C:C)</f>
        <v>79999</v>
      </c>
      <c r="M2107" t="s">
        <v>9</v>
      </c>
    </row>
    <row r="2108" spans="1:13" x14ac:dyDescent="0.3">
      <c r="A2108">
        <v>2107</v>
      </c>
      <c r="B2108" t="s">
        <v>2764</v>
      </c>
      <c r="C2108" s="3">
        <v>78695</v>
      </c>
      <c r="D2108" t="s">
        <v>667</v>
      </c>
      <c r="E2108">
        <v>41</v>
      </c>
      <c r="F2108" s="1">
        <v>45601</v>
      </c>
      <c r="G2108" s="1" t="str">
        <f>TEXT(Table1[[#This Row],[Enrollment date]], "mmm")</f>
        <v>Nov</v>
      </c>
      <c r="H2108" t="s">
        <v>360</v>
      </c>
      <c r="I2108" t="s">
        <v>661</v>
      </c>
      <c r="J2108" t="str">
        <f>_xlfn.XLOOKUP(Table1[[#This Row],[Course ]], CCF!B:B, CCF!A:A)</f>
        <v>FSD103</v>
      </c>
      <c r="K2108" t="s">
        <v>366</v>
      </c>
      <c r="L2108">
        <f>_xlfn.XLOOKUP(K2108, CCF!B:B, CCF!C:C)</f>
        <v>109990</v>
      </c>
      <c r="M2108" t="s">
        <v>6</v>
      </c>
    </row>
    <row r="2109" spans="1:13" x14ac:dyDescent="0.3">
      <c r="A2109">
        <v>2108</v>
      </c>
      <c r="B2109" t="s">
        <v>2765</v>
      </c>
      <c r="C2109" s="3">
        <v>35819</v>
      </c>
      <c r="D2109" t="s">
        <v>666</v>
      </c>
      <c r="E2109">
        <v>38</v>
      </c>
      <c r="F2109" s="1">
        <v>45601</v>
      </c>
      <c r="G2109" s="1" t="str">
        <f>TEXT(Table1[[#This Row],[Enrollment date]], "mmm")</f>
        <v>Nov</v>
      </c>
      <c r="H2109" t="s">
        <v>360</v>
      </c>
      <c r="I2109" t="s">
        <v>660</v>
      </c>
      <c r="J2109" t="str">
        <f>_xlfn.XLOOKUP(Table1[[#This Row],[Course ]], CCF!B:B, CCF!A:A)</f>
        <v>DA202</v>
      </c>
      <c r="K2109" t="s">
        <v>363</v>
      </c>
      <c r="L2109">
        <f>_xlfn.XLOOKUP(K2109, CCF!B:B, CCF!C:C)</f>
        <v>79999</v>
      </c>
      <c r="M2109" t="s">
        <v>520</v>
      </c>
    </row>
    <row r="2110" spans="1:13" x14ac:dyDescent="0.3">
      <c r="A2110">
        <v>2109</v>
      </c>
      <c r="B2110" t="s">
        <v>2766</v>
      </c>
      <c r="C2110" s="3">
        <v>14273</v>
      </c>
      <c r="D2110" t="s">
        <v>667</v>
      </c>
      <c r="E2110">
        <v>42</v>
      </c>
      <c r="F2110" s="1">
        <v>45601</v>
      </c>
      <c r="G2110" s="1" t="str">
        <f>TEXT(Table1[[#This Row],[Enrollment date]], "mmm")</f>
        <v>Nov</v>
      </c>
      <c r="H2110" t="s">
        <v>360</v>
      </c>
      <c r="I2110" t="s">
        <v>660</v>
      </c>
      <c r="J2110" t="str">
        <f>_xlfn.XLOOKUP(Table1[[#This Row],[Course ]], CCF!B:B, CCF!A:A)</f>
        <v>DM101</v>
      </c>
      <c r="K2110" t="s">
        <v>365</v>
      </c>
      <c r="L2110">
        <f>_xlfn.XLOOKUP(K2110, CCF!B:B, CCF!C:C)</f>
        <v>85499</v>
      </c>
      <c r="M2110" t="s">
        <v>9</v>
      </c>
    </row>
    <row r="2111" spans="1:13" x14ac:dyDescent="0.3">
      <c r="A2111">
        <v>2110</v>
      </c>
      <c r="B2111" t="s">
        <v>2767</v>
      </c>
      <c r="C2111" s="3">
        <v>79829</v>
      </c>
      <c r="D2111" t="s">
        <v>666</v>
      </c>
      <c r="E2111">
        <v>41</v>
      </c>
      <c r="F2111" s="1">
        <v>45601</v>
      </c>
      <c r="G2111" s="1" t="str">
        <f>TEXT(Table1[[#This Row],[Enrollment date]], "mmm")</f>
        <v>Nov</v>
      </c>
      <c r="H2111" t="s">
        <v>360</v>
      </c>
      <c r="I2111" t="s">
        <v>659</v>
      </c>
      <c r="J2111" t="str">
        <f>_xlfn.XLOOKUP(Table1[[#This Row],[Course ]], CCF!B:B, CCF!A:A)</f>
        <v>FSD103</v>
      </c>
      <c r="K2111" t="s">
        <v>366</v>
      </c>
      <c r="L2111">
        <f>_xlfn.XLOOKUP(K2111, CCF!B:B, CCF!C:C)</f>
        <v>109990</v>
      </c>
      <c r="M2111" t="s">
        <v>91</v>
      </c>
    </row>
    <row r="2112" spans="1:13" x14ac:dyDescent="0.3">
      <c r="A2112">
        <v>2111</v>
      </c>
      <c r="B2112" t="s">
        <v>2768</v>
      </c>
      <c r="C2112" s="3">
        <v>58646</v>
      </c>
      <c r="D2112" t="s">
        <v>667</v>
      </c>
      <c r="E2112">
        <v>41</v>
      </c>
      <c r="F2112" s="1">
        <v>45601</v>
      </c>
      <c r="G2112" s="1" t="str">
        <f>TEXT(Table1[[#This Row],[Enrollment date]], "mmm")</f>
        <v>Nov</v>
      </c>
      <c r="H2112" t="s">
        <v>361</v>
      </c>
      <c r="I2112" t="s">
        <v>660</v>
      </c>
      <c r="J2112" t="str">
        <f>_xlfn.XLOOKUP(Table1[[#This Row],[Course ]], CCF!B:B, CCF!A:A)</f>
        <v>DM101</v>
      </c>
      <c r="K2112" t="s">
        <v>365</v>
      </c>
      <c r="L2112">
        <f>_xlfn.XLOOKUP(K2112, CCF!B:B, CCF!C:C)</f>
        <v>85499</v>
      </c>
      <c r="M2112" t="s">
        <v>619</v>
      </c>
    </row>
    <row r="2113" spans="1:13" x14ac:dyDescent="0.3">
      <c r="A2113">
        <v>2112</v>
      </c>
      <c r="B2113" t="s">
        <v>2769</v>
      </c>
      <c r="C2113" s="3">
        <v>20656</v>
      </c>
      <c r="D2113" t="s">
        <v>666</v>
      </c>
      <c r="E2113">
        <v>47</v>
      </c>
      <c r="F2113" s="1">
        <v>45601</v>
      </c>
      <c r="G2113" s="1" t="str">
        <f>TEXT(Table1[[#This Row],[Enrollment date]], "mmm")</f>
        <v>Nov</v>
      </c>
      <c r="H2113" t="s">
        <v>360</v>
      </c>
      <c r="I2113" t="s">
        <v>660</v>
      </c>
      <c r="J2113" t="str">
        <f>_xlfn.XLOOKUP(Table1[[#This Row],[Course ]], CCF!B:B, CCF!A:A)</f>
        <v>DM101</v>
      </c>
      <c r="K2113" t="s">
        <v>365</v>
      </c>
      <c r="L2113">
        <f>_xlfn.XLOOKUP(K2113, CCF!B:B, CCF!C:C)</f>
        <v>85499</v>
      </c>
      <c r="M2113" t="s">
        <v>502</v>
      </c>
    </row>
    <row r="2114" spans="1:13" x14ac:dyDescent="0.3">
      <c r="A2114">
        <v>2113</v>
      </c>
      <c r="B2114" t="s">
        <v>2770</v>
      </c>
      <c r="C2114" s="3">
        <v>81116</v>
      </c>
      <c r="D2114" t="s">
        <v>666</v>
      </c>
      <c r="E2114">
        <v>21</v>
      </c>
      <c r="F2114" s="1">
        <v>45601</v>
      </c>
      <c r="G2114" s="1" t="str">
        <f>TEXT(Table1[[#This Row],[Enrollment date]], "mmm")</f>
        <v>Nov</v>
      </c>
      <c r="H2114" t="s">
        <v>360</v>
      </c>
      <c r="I2114" t="s">
        <v>660</v>
      </c>
      <c r="J2114" t="str">
        <f>_xlfn.XLOOKUP(Table1[[#This Row],[Course ]], CCF!B:B, CCF!A:A)</f>
        <v>BA301</v>
      </c>
      <c r="K2114" t="s">
        <v>364</v>
      </c>
      <c r="L2114">
        <f>_xlfn.XLOOKUP(K2114, CCF!B:B, CCF!C:C)</f>
        <v>59999</v>
      </c>
      <c r="M2114" t="s">
        <v>345</v>
      </c>
    </row>
    <row r="2115" spans="1:13" x14ac:dyDescent="0.3">
      <c r="A2115">
        <v>2114</v>
      </c>
      <c r="B2115" t="s">
        <v>2771</v>
      </c>
      <c r="C2115" s="3">
        <v>40738</v>
      </c>
      <c r="D2115" t="s">
        <v>667</v>
      </c>
      <c r="E2115">
        <v>66</v>
      </c>
      <c r="F2115" s="1">
        <v>45601</v>
      </c>
      <c r="G2115" s="1" t="str">
        <f>TEXT(Table1[[#This Row],[Enrollment date]], "mmm")</f>
        <v>Nov</v>
      </c>
      <c r="H2115" t="s">
        <v>360</v>
      </c>
      <c r="I2115" t="s">
        <v>660</v>
      </c>
      <c r="J2115" t="str">
        <f>_xlfn.XLOOKUP(Table1[[#This Row],[Course ]], CCF!B:B, CCF!A:A)</f>
        <v>DM101</v>
      </c>
      <c r="K2115" t="s">
        <v>365</v>
      </c>
      <c r="L2115">
        <f>_xlfn.XLOOKUP(K2115, CCF!B:B, CCF!C:C)</f>
        <v>85499</v>
      </c>
      <c r="M2115" t="s">
        <v>106</v>
      </c>
    </row>
    <row r="2116" spans="1:13" x14ac:dyDescent="0.3">
      <c r="A2116">
        <v>2115</v>
      </c>
      <c r="B2116" t="s">
        <v>2772</v>
      </c>
      <c r="C2116" s="3">
        <v>74694</v>
      </c>
      <c r="D2116" t="s">
        <v>667</v>
      </c>
      <c r="E2116">
        <v>70</v>
      </c>
      <c r="F2116" s="1">
        <v>45601</v>
      </c>
      <c r="G2116" s="1" t="str">
        <f>TEXT(Table1[[#This Row],[Enrollment date]], "mmm")</f>
        <v>Nov</v>
      </c>
      <c r="H2116" t="s">
        <v>360</v>
      </c>
      <c r="I2116" t="s">
        <v>660</v>
      </c>
      <c r="J2116" t="str">
        <f>_xlfn.XLOOKUP(Table1[[#This Row],[Course ]], CCF!B:B, CCF!A:A)</f>
        <v>DA202</v>
      </c>
      <c r="K2116" t="s">
        <v>363</v>
      </c>
      <c r="L2116">
        <f>_xlfn.XLOOKUP(K2116, CCF!B:B, CCF!C:C)</f>
        <v>79999</v>
      </c>
      <c r="M2116" t="s">
        <v>275</v>
      </c>
    </row>
    <row r="2117" spans="1:13" x14ac:dyDescent="0.3">
      <c r="A2117">
        <v>2116</v>
      </c>
      <c r="B2117" t="s">
        <v>2773</v>
      </c>
      <c r="C2117" s="3">
        <v>84583</v>
      </c>
      <c r="D2117" t="s">
        <v>666</v>
      </c>
      <c r="E2117">
        <v>38</v>
      </c>
      <c r="F2117" s="1">
        <v>45601</v>
      </c>
      <c r="G2117" s="1" t="str">
        <f>TEXT(Table1[[#This Row],[Enrollment date]], "mmm")</f>
        <v>Nov</v>
      </c>
      <c r="H2117" t="s">
        <v>360</v>
      </c>
      <c r="I2117" t="s">
        <v>659</v>
      </c>
      <c r="J2117" t="str">
        <f>_xlfn.XLOOKUP(Table1[[#This Row],[Course ]], CCF!B:B, CCF!A:A)</f>
        <v>DM101</v>
      </c>
      <c r="K2117" t="s">
        <v>365</v>
      </c>
      <c r="L2117">
        <f>_xlfn.XLOOKUP(K2117, CCF!B:B, CCF!C:C)</f>
        <v>85499</v>
      </c>
      <c r="M2117" t="s">
        <v>50</v>
      </c>
    </row>
    <row r="2118" spans="1:13" x14ac:dyDescent="0.3">
      <c r="A2118">
        <v>2117</v>
      </c>
      <c r="B2118" t="s">
        <v>2774</v>
      </c>
      <c r="C2118" s="3">
        <v>19846</v>
      </c>
      <c r="D2118" t="s">
        <v>667</v>
      </c>
      <c r="E2118">
        <v>29</v>
      </c>
      <c r="F2118" s="1">
        <v>45601</v>
      </c>
      <c r="G2118" s="1" t="str">
        <f>TEXT(Table1[[#This Row],[Enrollment date]], "mmm")</f>
        <v>Nov</v>
      </c>
      <c r="H2118" t="s">
        <v>360</v>
      </c>
      <c r="I2118" t="s">
        <v>660</v>
      </c>
      <c r="J2118" t="str">
        <f>_xlfn.XLOOKUP(Table1[[#This Row],[Course ]], CCF!B:B, CCF!A:A)</f>
        <v>DM101</v>
      </c>
      <c r="K2118" t="s">
        <v>365</v>
      </c>
      <c r="L2118">
        <f>_xlfn.XLOOKUP(K2118, CCF!B:B, CCF!C:C)</f>
        <v>85499</v>
      </c>
      <c r="M2118" t="s">
        <v>138</v>
      </c>
    </row>
    <row r="2119" spans="1:13" x14ac:dyDescent="0.3">
      <c r="A2119">
        <v>2118</v>
      </c>
      <c r="B2119" t="s">
        <v>2775</v>
      </c>
      <c r="C2119" s="3">
        <v>35083</v>
      </c>
      <c r="D2119" t="s">
        <v>666</v>
      </c>
      <c r="E2119">
        <v>64</v>
      </c>
      <c r="F2119" s="1">
        <v>45602</v>
      </c>
      <c r="G2119" s="1" t="str">
        <f>TEXT(Table1[[#This Row],[Enrollment date]], "mmm")</f>
        <v>Nov</v>
      </c>
      <c r="H2119" t="s">
        <v>360</v>
      </c>
      <c r="I2119" t="s">
        <v>663</v>
      </c>
      <c r="J2119" t="str">
        <f>_xlfn.XLOOKUP(Table1[[#This Row],[Course ]], CCF!B:B, CCF!A:A)</f>
        <v>DM101</v>
      </c>
      <c r="K2119" t="s">
        <v>365</v>
      </c>
      <c r="L2119">
        <f>_xlfn.XLOOKUP(K2119, CCF!B:B, CCF!C:C)</f>
        <v>85499</v>
      </c>
      <c r="M2119" t="s">
        <v>249</v>
      </c>
    </row>
    <row r="2120" spans="1:13" x14ac:dyDescent="0.3">
      <c r="A2120">
        <v>2119</v>
      </c>
      <c r="B2120" t="s">
        <v>2776</v>
      </c>
      <c r="C2120" s="3">
        <v>17659</v>
      </c>
      <c r="D2120" t="s">
        <v>666</v>
      </c>
      <c r="E2120">
        <v>33</v>
      </c>
      <c r="F2120" s="1">
        <v>45602</v>
      </c>
      <c r="G2120" s="1" t="str">
        <f>TEXT(Table1[[#This Row],[Enrollment date]], "mmm")</f>
        <v>Nov</v>
      </c>
      <c r="H2120" t="s">
        <v>360</v>
      </c>
      <c r="I2120" t="s">
        <v>664</v>
      </c>
      <c r="J2120" t="str">
        <f>_xlfn.XLOOKUP(Table1[[#This Row],[Course ]], CCF!B:B, CCF!A:A)</f>
        <v>DM101</v>
      </c>
      <c r="K2120" t="s">
        <v>365</v>
      </c>
      <c r="L2120">
        <f>_xlfn.XLOOKUP(K2120, CCF!B:B, CCF!C:C)</f>
        <v>85499</v>
      </c>
      <c r="M2120" t="s">
        <v>9</v>
      </c>
    </row>
    <row r="2121" spans="1:13" x14ac:dyDescent="0.3">
      <c r="A2121">
        <v>2120</v>
      </c>
      <c r="B2121" t="s">
        <v>2777</v>
      </c>
      <c r="C2121" s="3">
        <v>90525</v>
      </c>
      <c r="D2121" t="s">
        <v>666</v>
      </c>
      <c r="E2121">
        <v>44</v>
      </c>
      <c r="F2121" s="1">
        <v>45602</v>
      </c>
      <c r="G2121" s="1" t="str">
        <f>TEXT(Table1[[#This Row],[Enrollment date]], "mmm")</f>
        <v>Nov</v>
      </c>
      <c r="H2121" t="s">
        <v>360</v>
      </c>
      <c r="I2121" t="s">
        <v>660</v>
      </c>
      <c r="J2121" t="str">
        <f>_xlfn.XLOOKUP(Table1[[#This Row],[Course ]], CCF!B:B, CCF!A:A)</f>
        <v>DM101</v>
      </c>
      <c r="K2121" t="s">
        <v>365</v>
      </c>
      <c r="L2121">
        <f>_xlfn.XLOOKUP(K2121, CCF!B:B, CCF!C:C)</f>
        <v>85499</v>
      </c>
      <c r="M2121" t="s">
        <v>80</v>
      </c>
    </row>
    <row r="2122" spans="1:13" x14ac:dyDescent="0.3">
      <c r="A2122">
        <v>2121</v>
      </c>
      <c r="B2122" t="s">
        <v>2778</v>
      </c>
      <c r="C2122" s="3">
        <v>21613</v>
      </c>
      <c r="D2122" t="s">
        <v>667</v>
      </c>
      <c r="E2122">
        <v>29</v>
      </c>
      <c r="F2122" s="1">
        <v>45603</v>
      </c>
      <c r="G2122" s="1" t="str">
        <f>TEXT(Table1[[#This Row],[Enrollment date]], "mmm")</f>
        <v>Nov</v>
      </c>
      <c r="H2122" t="s">
        <v>360</v>
      </c>
      <c r="I2122" t="s">
        <v>662</v>
      </c>
      <c r="J2122" t="str">
        <f>_xlfn.XLOOKUP(Table1[[#This Row],[Course ]], CCF!B:B, CCF!A:A)</f>
        <v>UX401</v>
      </c>
      <c r="K2122" t="s">
        <v>367</v>
      </c>
      <c r="L2122">
        <f>_xlfn.XLOOKUP(K2122, CCF!B:B, CCF!C:C)</f>
        <v>67990</v>
      </c>
      <c r="M2122" t="s">
        <v>76</v>
      </c>
    </row>
    <row r="2123" spans="1:13" x14ac:dyDescent="0.3">
      <c r="A2123">
        <v>2122</v>
      </c>
      <c r="B2123" t="s">
        <v>2779</v>
      </c>
      <c r="C2123" s="3">
        <v>54424</v>
      </c>
      <c r="D2123" t="s">
        <v>666</v>
      </c>
      <c r="E2123">
        <v>47</v>
      </c>
      <c r="F2123" s="1">
        <v>45603</v>
      </c>
      <c r="G2123" s="1" t="str">
        <f>TEXT(Table1[[#This Row],[Enrollment date]], "mmm")</f>
        <v>Nov</v>
      </c>
      <c r="H2123" t="s">
        <v>360</v>
      </c>
      <c r="I2123" t="s">
        <v>665</v>
      </c>
      <c r="J2123" t="str">
        <f>_xlfn.XLOOKUP(Table1[[#This Row],[Course ]], CCF!B:B, CCF!A:A)</f>
        <v>DM101</v>
      </c>
      <c r="K2123" t="s">
        <v>365</v>
      </c>
      <c r="L2123">
        <f>_xlfn.XLOOKUP(K2123, CCF!B:B, CCF!C:C)</f>
        <v>85499</v>
      </c>
      <c r="M2123" t="s">
        <v>620</v>
      </c>
    </row>
    <row r="2124" spans="1:13" x14ac:dyDescent="0.3">
      <c r="A2124">
        <v>2123</v>
      </c>
      <c r="B2124" t="s">
        <v>2780</v>
      </c>
      <c r="C2124" s="3">
        <v>77055</v>
      </c>
      <c r="D2124" t="s">
        <v>666</v>
      </c>
      <c r="E2124">
        <v>41</v>
      </c>
      <c r="F2124" s="1">
        <v>45603</v>
      </c>
      <c r="G2124" s="1" t="str">
        <f>TEXT(Table1[[#This Row],[Enrollment date]], "mmm")</f>
        <v>Nov</v>
      </c>
      <c r="H2124" t="s">
        <v>360</v>
      </c>
      <c r="I2124" t="s">
        <v>659</v>
      </c>
      <c r="J2124" t="str">
        <f>_xlfn.XLOOKUP(Table1[[#This Row],[Course ]], CCF!B:B, CCF!A:A)</f>
        <v>DA202</v>
      </c>
      <c r="K2124" t="s">
        <v>363</v>
      </c>
      <c r="L2124">
        <f>_xlfn.XLOOKUP(K2124, CCF!B:B, CCF!C:C)</f>
        <v>79999</v>
      </c>
      <c r="M2124" t="s">
        <v>16</v>
      </c>
    </row>
    <row r="2125" spans="1:13" x14ac:dyDescent="0.3">
      <c r="A2125">
        <v>2124</v>
      </c>
      <c r="B2125" t="s">
        <v>2781</v>
      </c>
      <c r="C2125" s="3">
        <v>34627</v>
      </c>
      <c r="D2125" t="s">
        <v>666</v>
      </c>
      <c r="E2125">
        <v>54</v>
      </c>
      <c r="F2125" s="1">
        <v>45603</v>
      </c>
      <c r="G2125" s="1" t="str">
        <f>TEXT(Table1[[#This Row],[Enrollment date]], "mmm")</f>
        <v>Nov</v>
      </c>
      <c r="H2125" t="s">
        <v>360</v>
      </c>
      <c r="I2125" t="s">
        <v>661</v>
      </c>
      <c r="J2125" t="str">
        <f>_xlfn.XLOOKUP(Table1[[#This Row],[Course ]], CCF!B:B, CCF!A:A)</f>
        <v>DA202</v>
      </c>
      <c r="K2125" t="s">
        <v>363</v>
      </c>
      <c r="L2125">
        <f>_xlfn.XLOOKUP(K2125, CCF!B:B, CCF!C:C)</f>
        <v>79999</v>
      </c>
      <c r="M2125" t="s">
        <v>9</v>
      </c>
    </row>
    <row r="2126" spans="1:13" x14ac:dyDescent="0.3">
      <c r="A2126">
        <v>2125</v>
      </c>
      <c r="B2126" t="s">
        <v>2782</v>
      </c>
      <c r="C2126" s="3">
        <v>35934</v>
      </c>
      <c r="D2126" t="s">
        <v>667</v>
      </c>
      <c r="E2126">
        <v>35</v>
      </c>
      <c r="F2126" s="1">
        <v>45603</v>
      </c>
      <c r="G2126" s="1" t="str">
        <f>TEXT(Table1[[#This Row],[Enrollment date]], "mmm")</f>
        <v>Nov</v>
      </c>
      <c r="H2126" t="s">
        <v>360</v>
      </c>
      <c r="I2126" t="s">
        <v>659</v>
      </c>
      <c r="J2126" t="str">
        <f>_xlfn.XLOOKUP(Table1[[#This Row],[Course ]], CCF!B:B, CCF!A:A)</f>
        <v>DM101</v>
      </c>
      <c r="K2126" t="s">
        <v>365</v>
      </c>
      <c r="L2126">
        <f>_xlfn.XLOOKUP(K2126, CCF!B:B, CCF!C:C)</f>
        <v>85499</v>
      </c>
      <c r="M2126" t="s">
        <v>48</v>
      </c>
    </row>
    <row r="2127" spans="1:13" x14ac:dyDescent="0.3">
      <c r="A2127">
        <v>2126</v>
      </c>
      <c r="B2127" t="s">
        <v>2783</v>
      </c>
      <c r="C2127" s="3">
        <v>46437</v>
      </c>
      <c r="D2127" t="s">
        <v>667</v>
      </c>
      <c r="E2127">
        <v>25</v>
      </c>
      <c r="F2127" s="1">
        <v>45603</v>
      </c>
      <c r="G2127" s="1" t="str">
        <f>TEXT(Table1[[#This Row],[Enrollment date]], "mmm")</f>
        <v>Nov</v>
      </c>
      <c r="H2127" t="s">
        <v>3</v>
      </c>
      <c r="I2127" t="s">
        <v>661</v>
      </c>
      <c r="J2127" t="str">
        <f>_xlfn.XLOOKUP(Table1[[#This Row],[Course ]], CCF!B:B, CCF!A:A)</f>
        <v>UX401</v>
      </c>
      <c r="K2127" t="s">
        <v>367</v>
      </c>
      <c r="L2127">
        <f>_xlfn.XLOOKUP(K2127, CCF!B:B, CCF!C:C)</f>
        <v>67990</v>
      </c>
      <c r="M2127" t="s">
        <v>30</v>
      </c>
    </row>
    <row r="2128" spans="1:13" x14ac:dyDescent="0.3">
      <c r="A2128">
        <v>2127</v>
      </c>
      <c r="B2128" t="s">
        <v>2784</v>
      </c>
      <c r="C2128" s="3">
        <v>86772</v>
      </c>
      <c r="D2128" t="s">
        <v>667</v>
      </c>
      <c r="E2128">
        <v>22</v>
      </c>
      <c r="F2128" s="1">
        <v>45604</v>
      </c>
      <c r="G2128" s="1" t="str">
        <f>TEXT(Table1[[#This Row],[Enrollment date]], "mmm")</f>
        <v>Nov</v>
      </c>
      <c r="H2128" t="s">
        <v>360</v>
      </c>
      <c r="I2128" t="s">
        <v>663</v>
      </c>
      <c r="J2128" t="str">
        <f>_xlfn.XLOOKUP(Table1[[#This Row],[Course ]], CCF!B:B, CCF!A:A)</f>
        <v>BA301</v>
      </c>
      <c r="K2128" t="s">
        <v>364</v>
      </c>
      <c r="L2128">
        <f>_xlfn.XLOOKUP(K2128, CCF!B:B, CCF!C:C)</f>
        <v>59999</v>
      </c>
      <c r="M2128" t="s">
        <v>20</v>
      </c>
    </row>
    <row r="2129" spans="1:13" x14ac:dyDescent="0.3">
      <c r="A2129">
        <v>2128</v>
      </c>
      <c r="B2129" t="s">
        <v>2785</v>
      </c>
      <c r="C2129" s="3">
        <v>60718</v>
      </c>
      <c r="D2129" t="s">
        <v>666</v>
      </c>
      <c r="E2129">
        <v>21</v>
      </c>
      <c r="F2129" s="1">
        <v>45604</v>
      </c>
      <c r="G2129" s="1" t="str">
        <f>TEXT(Table1[[#This Row],[Enrollment date]], "mmm")</f>
        <v>Nov</v>
      </c>
      <c r="H2129" t="s">
        <v>360</v>
      </c>
      <c r="I2129" t="s">
        <v>660</v>
      </c>
      <c r="J2129" t="str">
        <f>_xlfn.XLOOKUP(Table1[[#This Row],[Course ]], CCF!B:B, CCF!A:A)</f>
        <v>UX401</v>
      </c>
      <c r="K2129" t="s">
        <v>367</v>
      </c>
      <c r="L2129">
        <f>_xlfn.XLOOKUP(K2129, CCF!B:B, CCF!C:C)</f>
        <v>67990</v>
      </c>
      <c r="M2129" t="s">
        <v>9</v>
      </c>
    </row>
    <row r="2130" spans="1:13" x14ac:dyDescent="0.3">
      <c r="A2130">
        <v>2129</v>
      </c>
      <c r="B2130" t="s">
        <v>2786</v>
      </c>
      <c r="C2130" s="3">
        <v>35313</v>
      </c>
      <c r="D2130" t="s">
        <v>666</v>
      </c>
      <c r="E2130">
        <v>18</v>
      </c>
      <c r="F2130" s="1">
        <v>45604</v>
      </c>
      <c r="G2130" s="1" t="str">
        <f>TEXT(Table1[[#This Row],[Enrollment date]], "mmm")</f>
        <v>Nov</v>
      </c>
      <c r="H2130" t="s">
        <v>361</v>
      </c>
      <c r="I2130" t="s">
        <v>661</v>
      </c>
      <c r="J2130" t="str">
        <f>_xlfn.XLOOKUP(Table1[[#This Row],[Course ]], CCF!B:B, CCF!A:A)</f>
        <v>DM101</v>
      </c>
      <c r="K2130" t="s">
        <v>365</v>
      </c>
      <c r="L2130">
        <f>_xlfn.XLOOKUP(K2130, CCF!B:B, CCF!C:C)</f>
        <v>85499</v>
      </c>
      <c r="M2130" t="s">
        <v>43</v>
      </c>
    </row>
    <row r="2131" spans="1:13" x14ac:dyDescent="0.3">
      <c r="A2131">
        <v>2130</v>
      </c>
      <c r="B2131" t="s">
        <v>2787</v>
      </c>
      <c r="C2131" s="3">
        <v>84618</v>
      </c>
      <c r="D2131" t="s">
        <v>666</v>
      </c>
      <c r="E2131">
        <v>49</v>
      </c>
      <c r="F2131" s="1">
        <v>45604</v>
      </c>
      <c r="G2131" s="1" t="str">
        <f>TEXT(Table1[[#This Row],[Enrollment date]], "mmm")</f>
        <v>Nov</v>
      </c>
      <c r="H2131" t="s">
        <v>360</v>
      </c>
      <c r="I2131" t="s">
        <v>659</v>
      </c>
      <c r="J2131" t="str">
        <f>_xlfn.XLOOKUP(Table1[[#This Row],[Course ]], CCF!B:B, CCF!A:A)</f>
        <v>DM101</v>
      </c>
      <c r="K2131" t="s">
        <v>365</v>
      </c>
      <c r="L2131">
        <f>_xlfn.XLOOKUP(K2131, CCF!B:B, CCF!C:C)</f>
        <v>85499</v>
      </c>
      <c r="M2131" t="s">
        <v>18</v>
      </c>
    </row>
    <row r="2132" spans="1:13" x14ac:dyDescent="0.3">
      <c r="A2132">
        <v>2131</v>
      </c>
      <c r="B2132" t="s">
        <v>2788</v>
      </c>
      <c r="C2132" s="3">
        <v>10688</v>
      </c>
      <c r="D2132" t="s">
        <v>667</v>
      </c>
      <c r="E2132">
        <v>19</v>
      </c>
      <c r="F2132" s="1">
        <v>45604</v>
      </c>
      <c r="G2132" s="1" t="str">
        <f>TEXT(Table1[[#This Row],[Enrollment date]], "mmm")</f>
        <v>Nov</v>
      </c>
      <c r="H2132" t="s">
        <v>361</v>
      </c>
      <c r="I2132" t="s">
        <v>660</v>
      </c>
      <c r="J2132" t="str">
        <f>_xlfn.XLOOKUP(Table1[[#This Row],[Course ]], CCF!B:B, CCF!A:A)</f>
        <v>DM101</v>
      </c>
      <c r="K2132" t="s">
        <v>365</v>
      </c>
      <c r="L2132">
        <f>_xlfn.XLOOKUP(K2132, CCF!B:B, CCF!C:C)</f>
        <v>85499</v>
      </c>
      <c r="M2132" t="s">
        <v>9</v>
      </c>
    </row>
    <row r="2133" spans="1:13" x14ac:dyDescent="0.3">
      <c r="A2133">
        <v>2132</v>
      </c>
      <c r="B2133" t="s">
        <v>2789</v>
      </c>
      <c r="C2133" s="3">
        <v>58953</v>
      </c>
      <c r="D2133" t="s">
        <v>666</v>
      </c>
      <c r="E2133">
        <v>34</v>
      </c>
      <c r="F2133" s="1">
        <v>45604</v>
      </c>
      <c r="G2133" s="1" t="str">
        <f>TEXT(Table1[[#This Row],[Enrollment date]], "mmm")</f>
        <v>Nov</v>
      </c>
      <c r="H2133" t="s">
        <v>360</v>
      </c>
      <c r="I2133" t="s">
        <v>659</v>
      </c>
      <c r="J2133" t="str">
        <f>_xlfn.XLOOKUP(Table1[[#This Row],[Course ]], CCF!B:B, CCF!A:A)</f>
        <v>DA202</v>
      </c>
      <c r="K2133" t="s">
        <v>363</v>
      </c>
      <c r="L2133">
        <f>_xlfn.XLOOKUP(K2133, CCF!B:B, CCF!C:C)</f>
        <v>79999</v>
      </c>
      <c r="M2133" t="s">
        <v>113</v>
      </c>
    </row>
    <row r="2134" spans="1:13" x14ac:dyDescent="0.3">
      <c r="A2134">
        <v>2133</v>
      </c>
      <c r="B2134" t="s">
        <v>2790</v>
      </c>
      <c r="C2134" s="3">
        <v>64617</v>
      </c>
      <c r="D2134" t="s">
        <v>666</v>
      </c>
      <c r="E2134">
        <v>22</v>
      </c>
      <c r="F2134" s="1">
        <v>45604</v>
      </c>
      <c r="G2134" s="1" t="str">
        <f>TEXT(Table1[[#This Row],[Enrollment date]], "mmm")</f>
        <v>Nov</v>
      </c>
      <c r="H2134" t="s">
        <v>360</v>
      </c>
      <c r="I2134" t="s">
        <v>664</v>
      </c>
      <c r="J2134" t="str">
        <f>_xlfn.XLOOKUP(Table1[[#This Row],[Course ]], CCF!B:B, CCF!A:A)</f>
        <v>DA202</v>
      </c>
      <c r="K2134" t="s">
        <v>363</v>
      </c>
      <c r="L2134">
        <f>_xlfn.XLOOKUP(K2134, CCF!B:B, CCF!C:C)</f>
        <v>79999</v>
      </c>
      <c r="M2134" t="s">
        <v>245</v>
      </c>
    </row>
    <row r="2135" spans="1:13" x14ac:dyDescent="0.3">
      <c r="A2135">
        <v>2134</v>
      </c>
      <c r="B2135" t="s">
        <v>2791</v>
      </c>
      <c r="C2135" s="3">
        <v>25489</v>
      </c>
      <c r="D2135" t="s">
        <v>667</v>
      </c>
      <c r="E2135">
        <v>39</v>
      </c>
      <c r="F2135" s="1">
        <v>45604</v>
      </c>
      <c r="G2135" s="1" t="str">
        <f>TEXT(Table1[[#This Row],[Enrollment date]], "mmm")</f>
        <v>Nov</v>
      </c>
      <c r="H2135" t="s">
        <v>360</v>
      </c>
      <c r="I2135" t="s">
        <v>663</v>
      </c>
      <c r="J2135" t="str">
        <f>_xlfn.XLOOKUP(Table1[[#This Row],[Course ]], CCF!B:B, CCF!A:A)</f>
        <v>DM101</v>
      </c>
      <c r="K2135" t="s">
        <v>365</v>
      </c>
      <c r="L2135">
        <f>_xlfn.XLOOKUP(K2135, CCF!B:B, CCF!C:C)</f>
        <v>85499</v>
      </c>
      <c r="M2135" t="s">
        <v>18</v>
      </c>
    </row>
    <row r="2136" spans="1:13" x14ac:dyDescent="0.3">
      <c r="A2136">
        <v>2135</v>
      </c>
      <c r="B2136" t="s">
        <v>2792</v>
      </c>
      <c r="C2136" s="3">
        <v>87916</v>
      </c>
      <c r="D2136" t="s">
        <v>666</v>
      </c>
      <c r="E2136">
        <v>60</v>
      </c>
      <c r="F2136" s="1">
        <v>45604</v>
      </c>
      <c r="G2136" s="1" t="str">
        <f>TEXT(Table1[[#This Row],[Enrollment date]], "mmm")</f>
        <v>Nov</v>
      </c>
      <c r="H2136" t="s">
        <v>360</v>
      </c>
      <c r="I2136" t="s">
        <v>660</v>
      </c>
      <c r="J2136" t="str">
        <f>_xlfn.XLOOKUP(Table1[[#This Row],[Course ]], CCF!B:B, CCF!A:A)</f>
        <v>DM101</v>
      </c>
      <c r="K2136" t="s">
        <v>365</v>
      </c>
      <c r="L2136">
        <f>_xlfn.XLOOKUP(K2136, CCF!B:B, CCF!C:C)</f>
        <v>85499</v>
      </c>
      <c r="M2136" t="s">
        <v>253</v>
      </c>
    </row>
    <row r="2137" spans="1:13" x14ac:dyDescent="0.3">
      <c r="A2137">
        <v>2136</v>
      </c>
      <c r="B2137" t="s">
        <v>2793</v>
      </c>
      <c r="C2137" s="3">
        <v>42784</v>
      </c>
      <c r="D2137" t="s">
        <v>666</v>
      </c>
      <c r="E2137">
        <v>19</v>
      </c>
      <c r="F2137" s="1">
        <v>45605</v>
      </c>
      <c r="G2137" s="1" t="str">
        <f>TEXT(Table1[[#This Row],[Enrollment date]], "mmm")</f>
        <v>Nov</v>
      </c>
      <c r="H2137" t="s">
        <v>360</v>
      </c>
      <c r="I2137" t="s">
        <v>660</v>
      </c>
      <c r="J2137" t="str">
        <f>_xlfn.XLOOKUP(Table1[[#This Row],[Course ]], CCF!B:B, CCF!A:A)</f>
        <v>BA301</v>
      </c>
      <c r="K2137" t="s">
        <v>364</v>
      </c>
      <c r="L2137">
        <f>_xlfn.XLOOKUP(K2137, CCF!B:B, CCF!C:C)</f>
        <v>59999</v>
      </c>
      <c r="M2137" t="s">
        <v>20</v>
      </c>
    </row>
    <row r="2138" spans="1:13" x14ac:dyDescent="0.3">
      <c r="A2138">
        <v>2137</v>
      </c>
      <c r="B2138" t="s">
        <v>2794</v>
      </c>
      <c r="C2138" s="3">
        <v>62975</v>
      </c>
      <c r="D2138" t="s">
        <v>666</v>
      </c>
      <c r="E2138">
        <v>22</v>
      </c>
      <c r="F2138" s="1">
        <v>45605</v>
      </c>
      <c r="G2138" s="1" t="str">
        <f>TEXT(Table1[[#This Row],[Enrollment date]], "mmm")</f>
        <v>Nov</v>
      </c>
      <c r="H2138" t="s">
        <v>360</v>
      </c>
      <c r="I2138" t="s">
        <v>660</v>
      </c>
      <c r="J2138" t="str">
        <f>_xlfn.XLOOKUP(Table1[[#This Row],[Course ]], CCF!B:B, CCF!A:A)</f>
        <v>DA202</v>
      </c>
      <c r="K2138" t="s">
        <v>363</v>
      </c>
      <c r="L2138">
        <f>_xlfn.XLOOKUP(K2138, CCF!B:B, CCF!C:C)</f>
        <v>79999</v>
      </c>
      <c r="M2138" t="s">
        <v>16</v>
      </c>
    </row>
    <row r="2139" spans="1:13" x14ac:dyDescent="0.3">
      <c r="A2139">
        <v>2138</v>
      </c>
      <c r="B2139" t="s">
        <v>2795</v>
      </c>
      <c r="C2139" s="3">
        <v>67384</v>
      </c>
      <c r="D2139" t="s">
        <v>666</v>
      </c>
      <c r="E2139">
        <v>45</v>
      </c>
      <c r="F2139" s="1">
        <v>45605</v>
      </c>
      <c r="G2139" s="1" t="str">
        <f>TEXT(Table1[[#This Row],[Enrollment date]], "mmm")</f>
        <v>Nov</v>
      </c>
      <c r="H2139" t="s">
        <v>360</v>
      </c>
      <c r="I2139" t="s">
        <v>659</v>
      </c>
      <c r="J2139" t="str">
        <f>_xlfn.XLOOKUP(Table1[[#This Row],[Course ]], CCF!B:B, CCF!A:A)</f>
        <v>DA202</v>
      </c>
      <c r="K2139" t="s">
        <v>363</v>
      </c>
      <c r="L2139">
        <f>_xlfn.XLOOKUP(K2139, CCF!B:B, CCF!C:C)</f>
        <v>79999</v>
      </c>
      <c r="M2139" t="s">
        <v>53</v>
      </c>
    </row>
    <row r="2140" spans="1:13" x14ac:dyDescent="0.3">
      <c r="A2140">
        <v>2139</v>
      </c>
      <c r="B2140" t="s">
        <v>2796</v>
      </c>
      <c r="C2140" s="3">
        <v>75096</v>
      </c>
      <c r="D2140" t="s">
        <v>666</v>
      </c>
      <c r="E2140">
        <v>41</v>
      </c>
      <c r="F2140" s="1">
        <v>45605</v>
      </c>
      <c r="G2140" s="1" t="str">
        <f>TEXT(Table1[[#This Row],[Enrollment date]], "mmm")</f>
        <v>Nov</v>
      </c>
      <c r="H2140" t="s">
        <v>360</v>
      </c>
      <c r="I2140" t="s">
        <v>661</v>
      </c>
      <c r="J2140" t="str">
        <f>_xlfn.XLOOKUP(Table1[[#This Row],[Course ]], CCF!B:B, CCF!A:A)</f>
        <v>DA202</v>
      </c>
      <c r="K2140" t="s">
        <v>363</v>
      </c>
      <c r="L2140">
        <f>_xlfn.XLOOKUP(K2140, CCF!B:B, CCF!C:C)</f>
        <v>79999</v>
      </c>
      <c r="M2140" t="s">
        <v>63</v>
      </c>
    </row>
    <row r="2141" spans="1:13" x14ac:dyDescent="0.3">
      <c r="A2141">
        <v>2140</v>
      </c>
      <c r="B2141" t="s">
        <v>2797</v>
      </c>
      <c r="C2141" s="3">
        <v>97679</v>
      </c>
      <c r="D2141" t="s">
        <v>667</v>
      </c>
      <c r="E2141">
        <v>19</v>
      </c>
      <c r="F2141" s="1">
        <v>45605</v>
      </c>
      <c r="G2141" s="1" t="str">
        <f>TEXT(Table1[[#This Row],[Enrollment date]], "mmm")</f>
        <v>Nov</v>
      </c>
      <c r="H2141" t="s">
        <v>360</v>
      </c>
      <c r="I2141" t="s">
        <v>660</v>
      </c>
      <c r="J2141" t="str">
        <f>_xlfn.XLOOKUP(Table1[[#This Row],[Course ]], CCF!B:B, CCF!A:A)</f>
        <v>BA301</v>
      </c>
      <c r="K2141" t="s">
        <v>364</v>
      </c>
      <c r="L2141">
        <f>_xlfn.XLOOKUP(K2141, CCF!B:B, CCF!C:C)</f>
        <v>59999</v>
      </c>
      <c r="M2141" t="s">
        <v>53</v>
      </c>
    </row>
    <row r="2142" spans="1:13" x14ac:dyDescent="0.3">
      <c r="A2142">
        <v>2141</v>
      </c>
      <c r="B2142" t="s">
        <v>2798</v>
      </c>
      <c r="C2142" s="3">
        <v>24642</v>
      </c>
      <c r="D2142" t="s">
        <v>666</v>
      </c>
      <c r="E2142">
        <v>22</v>
      </c>
      <c r="F2142" s="1">
        <v>45605</v>
      </c>
      <c r="G2142" s="1" t="str">
        <f>TEXT(Table1[[#This Row],[Enrollment date]], "mmm")</f>
        <v>Nov</v>
      </c>
      <c r="H2142" t="s">
        <v>360</v>
      </c>
      <c r="I2142" t="s">
        <v>659</v>
      </c>
      <c r="J2142" t="str">
        <f>_xlfn.XLOOKUP(Table1[[#This Row],[Course ]], CCF!B:B, CCF!A:A)</f>
        <v>DM101</v>
      </c>
      <c r="K2142" t="s">
        <v>365</v>
      </c>
      <c r="L2142">
        <f>_xlfn.XLOOKUP(K2142, CCF!B:B, CCF!C:C)</f>
        <v>85499</v>
      </c>
      <c r="M2142" t="s">
        <v>55</v>
      </c>
    </row>
    <row r="2143" spans="1:13" x14ac:dyDescent="0.3">
      <c r="A2143">
        <v>2142</v>
      </c>
      <c r="B2143" t="s">
        <v>2799</v>
      </c>
      <c r="C2143" s="3">
        <v>12639</v>
      </c>
      <c r="D2143" t="s">
        <v>666</v>
      </c>
      <c r="E2143">
        <v>24</v>
      </c>
      <c r="F2143" s="1">
        <v>45606</v>
      </c>
      <c r="G2143" s="1" t="str">
        <f>TEXT(Table1[[#This Row],[Enrollment date]], "mmm")</f>
        <v>Nov</v>
      </c>
      <c r="H2143" t="s">
        <v>360</v>
      </c>
      <c r="I2143" t="s">
        <v>660</v>
      </c>
      <c r="J2143" t="str">
        <f>_xlfn.XLOOKUP(Table1[[#This Row],[Course ]], CCF!B:B, CCF!A:A)</f>
        <v>DM101</v>
      </c>
      <c r="K2143" t="s">
        <v>365</v>
      </c>
      <c r="L2143">
        <f>_xlfn.XLOOKUP(K2143, CCF!B:B, CCF!C:C)</f>
        <v>85499</v>
      </c>
      <c r="M2143" t="s">
        <v>12</v>
      </c>
    </row>
    <row r="2144" spans="1:13" x14ac:dyDescent="0.3">
      <c r="A2144">
        <v>2143</v>
      </c>
      <c r="B2144" t="s">
        <v>2800</v>
      </c>
      <c r="C2144" s="3">
        <v>15169</v>
      </c>
      <c r="D2144" t="s">
        <v>666</v>
      </c>
      <c r="E2144">
        <v>32</v>
      </c>
      <c r="F2144" s="1">
        <v>45606</v>
      </c>
      <c r="G2144" s="1" t="str">
        <f>TEXT(Table1[[#This Row],[Enrollment date]], "mmm")</f>
        <v>Nov</v>
      </c>
      <c r="H2144" t="s">
        <v>360</v>
      </c>
      <c r="I2144" t="s">
        <v>661</v>
      </c>
      <c r="J2144" t="str">
        <f>_xlfn.XLOOKUP(Table1[[#This Row],[Course ]], CCF!B:B, CCF!A:A)</f>
        <v>DA202</v>
      </c>
      <c r="K2144" t="s">
        <v>363</v>
      </c>
      <c r="L2144">
        <f>_xlfn.XLOOKUP(K2144, CCF!B:B, CCF!C:C)</f>
        <v>79999</v>
      </c>
      <c r="M2144" t="s">
        <v>621</v>
      </c>
    </row>
    <row r="2145" spans="1:13" x14ac:dyDescent="0.3">
      <c r="A2145">
        <v>2144</v>
      </c>
      <c r="B2145" t="s">
        <v>2801</v>
      </c>
      <c r="C2145" s="3">
        <v>74403</v>
      </c>
      <c r="D2145" t="s">
        <v>666</v>
      </c>
      <c r="E2145">
        <v>57</v>
      </c>
      <c r="F2145" s="1">
        <v>45606</v>
      </c>
      <c r="G2145" s="1" t="str">
        <f>TEXT(Table1[[#This Row],[Enrollment date]], "mmm")</f>
        <v>Nov</v>
      </c>
      <c r="H2145" t="s">
        <v>360</v>
      </c>
      <c r="I2145" t="s">
        <v>661</v>
      </c>
      <c r="J2145" t="str">
        <f>_xlfn.XLOOKUP(Table1[[#This Row],[Course ]], CCF!B:B, CCF!A:A)</f>
        <v>DM101</v>
      </c>
      <c r="K2145" t="s">
        <v>365</v>
      </c>
      <c r="L2145">
        <f>_xlfn.XLOOKUP(K2145, CCF!B:B, CCF!C:C)</f>
        <v>85499</v>
      </c>
      <c r="M2145" t="s">
        <v>463</v>
      </c>
    </row>
    <row r="2146" spans="1:13" x14ac:dyDescent="0.3">
      <c r="A2146">
        <v>2145</v>
      </c>
      <c r="B2146" t="s">
        <v>2802</v>
      </c>
      <c r="C2146" s="3">
        <v>86429</v>
      </c>
      <c r="D2146" t="s">
        <v>666</v>
      </c>
      <c r="E2146">
        <v>25</v>
      </c>
      <c r="F2146" s="1">
        <v>45606</v>
      </c>
      <c r="G2146" s="1" t="str">
        <f>TEXT(Table1[[#This Row],[Enrollment date]], "mmm")</f>
        <v>Nov</v>
      </c>
      <c r="H2146" t="s">
        <v>360</v>
      </c>
      <c r="I2146" t="s">
        <v>661</v>
      </c>
      <c r="J2146" t="str">
        <f>_xlfn.XLOOKUP(Table1[[#This Row],[Course ]], CCF!B:B, CCF!A:A)</f>
        <v>BA301</v>
      </c>
      <c r="K2146" t="s">
        <v>364</v>
      </c>
      <c r="L2146">
        <f>_xlfn.XLOOKUP(K2146, CCF!B:B, CCF!C:C)</f>
        <v>59999</v>
      </c>
      <c r="M2146" t="s">
        <v>622</v>
      </c>
    </row>
    <row r="2147" spans="1:13" x14ac:dyDescent="0.3">
      <c r="A2147">
        <v>2146</v>
      </c>
      <c r="B2147" t="s">
        <v>2803</v>
      </c>
      <c r="C2147" s="3">
        <v>46186</v>
      </c>
      <c r="D2147" t="s">
        <v>667</v>
      </c>
      <c r="E2147">
        <v>19</v>
      </c>
      <c r="F2147" s="1">
        <v>45606</v>
      </c>
      <c r="G2147" s="1" t="str">
        <f>TEXT(Table1[[#This Row],[Enrollment date]], "mmm")</f>
        <v>Nov</v>
      </c>
      <c r="H2147" t="s">
        <v>360</v>
      </c>
      <c r="I2147" t="s">
        <v>664</v>
      </c>
      <c r="J2147" t="str">
        <f>_xlfn.XLOOKUP(Table1[[#This Row],[Course ]], CCF!B:B, CCF!A:A)</f>
        <v>DA202</v>
      </c>
      <c r="K2147" t="s">
        <v>363</v>
      </c>
      <c r="L2147">
        <f>_xlfn.XLOOKUP(K2147, CCF!B:B, CCF!C:C)</f>
        <v>79999</v>
      </c>
      <c r="M2147" t="s">
        <v>27</v>
      </c>
    </row>
    <row r="2148" spans="1:13" x14ac:dyDescent="0.3">
      <c r="A2148">
        <v>2147</v>
      </c>
      <c r="B2148" t="s">
        <v>2804</v>
      </c>
      <c r="C2148" s="3">
        <v>37965</v>
      </c>
      <c r="D2148" t="s">
        <v>667</v>
      </c>
      <c r="E2148">
        <v>22</v>
      </c>
      <c r="F2148" s="1">
        <v>45606</v>
      </c>
      <c r="G2148" s="1" t="str">
        <f>TEXT(Table1[[#This Row],[Enrollment date]], "mmm")</f>
        <v>Nov</v>
      </c>
      <c r="H2148" t="s">
        <v>360</v>
      </c>
      <c r="I2148" t="s">
        <v>659</v>
      </c>
      <c r="J2148" t="str">
        <f>_xlfn.XLOOKUP(Table1[[#This Row],[Course ]], CCF!B:B, CCF!A:A)</f>
        <v>BA301</v>
      </c>
      <c r="K2148" t="s">
        <v>364</v>
      </c>
      <c r="L2148">
        <f>_xlfn.XLOOKUP(K2148, CCF!B:B, CCF!C:C)</f>
        <v>59999</v>
      </c>
      <c r="M2148" t="s">
        <v>27</v>
      </c>
    </row>
    <row r="2149" spans="1:13" x14ac:dyDescent="0.3">
      <c r="A2149">
        <v>2148</v>
      </c>
      <c r="B2149" t="s">
        <v>2805</v>
      </c>
      <c r="C2149" s="3">
        <v>24805</v>
      </c>
      <c r="D2149" t="s">
        <v>666</v>
      </c>
      <c r="E2149">
        <v>72</v>
      </c>
      <c r="F2149" s="1">
        <v>45607</v>
      </c>
      <c r="G2149" s="1" t="str">
        <f>TEXT(Table1[[#This Row],[Enrollment date]], "mmm")</f>
        <v>Nov</v>
      </c>
      <c r="H2149" t="s">
        <v>360</v>
      </c>
      <c r="I2149" t="s">
        <v>660</v>
      </c>
      <c r="J2149" t="str">
        <f>_xlfn.XLOOKUP(Table1[[#This Row],[Course ]], CCF!B:B, CCF!A:A)</f>
        <v>DA202</v>
      </c>
      <c r="K2149" t="s">
        <v>363</v>
      </c>
      <c r="L2149">
        <f>_xlfn.XLOOKUP(K2149, CCF!B:B, CCF!C:C)</f>
        <v>79999</v>
      </c>
      <c r="M2149" t="s">
        <v>163</v>
      </c>
    </row>
    <row r="2150" spans="1:13" x14ac:dyDescent="0.3">
      <c r="A2150">
        <v>2149</v>
      </c>
      <c r="B2150" t="s">
        <v>2806</v>
      </c>
      <c r="C2150" s="3">
        <v>91344</v>
      </c>
      <c r="D2150" t="s">
        <v>666</v>
      </c>
      <c r="E2150">
        <v>60</v>
      </c>
      <c r="F2150" s="1">
        <v>45607</v>
      </c>
      <c r="G2150" s="1" t="str">
        <f>TEXT(Table1[[#This Row],[Enrollment date]], "mmm")</f>
        <v>Nov</v>
      </c>
      <c r="H2150" t="s">
        <v>360</v>
      </c>
      <c r="I2150" t="s">
        <v>660</v>
      </c>
      <c r="J2150" t="str">
        <f>_xlfn.XLOOKUP(Table1[[#This Row],[Course ]], CCF!B:B, CCF!A:A)</f>
        <v>BA301</v>
      </c>
      <c r="K2150" t="s">
        <v>364</v>
      </c>
      <c r="L2150">
        <f>_xlfn.XLOOKUP(K2150, CCF!B:B, CCF!C:C)</f>
        <v>59999</v>
      </c>
      <c r="M2150" t="s">
        <v>290</v>
      </c>
    </row>
    <row r="2151" spans="1:13" x14ac:dyDescent="0.3">
      <c r="A2151">
        <v>2150</v>
      </c>
      <c r="B2151" t="s">
        <v>2807</v>
      </c>
      <c r="C2151" s="3">
        <v>86251</v>
      </c>
      <c r="D2151" t="s">
        <v>667</v>
      </c>
      <c r="E2151">
        <v>35</v>
      </c>
      <c r="F2151" s="1">
        <v>45607</v>
      </c>
      <c r="G2151" s="1" t="str">
        <f>TEXT(Table1[[#This Row],[Enrollment date]], "mmm")</f>
        <v>Nov</v>
      </c>
      <c r="H2151" t="s">
        <v>360</v>
      </c>
      <c r="I2151" t="s">
        <v>660</v>
      </c>
      <c r="J2151" t="str">
        <f>_xlfn.XLOOKUP(Table1[[#This Row],[Course ]], CCF!B:B, CCF!A:A)</f>
        <v>DM101</v>
      </c>
      <c r="K2151" t="s">
        <v>365</v>
      </c>
      <c r="L2151">
        <f>_xlfn.XLOOKUP(K2151, CCF!B:B, CCF!C:C)</f>
        <v>85499</v>
      </c>
      <c r="M2151" t="s">
        <v>623</v>
      </c>
    </row>
    <row r="2152" spans="1:13" x14ac:dyDescent="0.3">
      <c r="A2152">
        <v>2151</v>
      </c>
      <c r="B2152" t="s">
        <v>2808</v>
      </c>
      <c r="C2152" s="3">
        <v>38748</v>
      </c>
      <c r="D2152" t="s">
        <v>666</v>
      </c>
      <c r="E2152">
        <v>21</v>
      </c>
      <c r="F2152" s="1">
        <v>45607</v>
      </c>
      <c r="G2152" s="1" t="str">
        <f>TEXT(Table1[[#This Row],[Enrollment date]], "mmm")</f>
        <v>Nov</v>
      </c>
      <c r="H2152" t="s">
        <v>360</v>
      </c>
      <c r="I2152" t="s">
        <v>661</v>
      </c>
      <c r="J2152" t="str">
        <f>_xlfn.XLOOKUP(Table1[[#This Row],[Course ]], CCF!B:B, CCF!A:A)</f>
        <v>UX401</v>
      </c>
      <c r="K2152" t="s">
        <v>367</v>
      </c>
      <c r="L2152">
        <f>_xlfn.XLOOKUP(K2152, CCF!B:B, CCF!C:C)</f>
        <v>67990</v>
      </c>
      <c r="M2152" t="s">
        <v>237</v>
      </c>
    </row>
    <row r="2153" spans="1:13" x14ac:dyDescent="0.3">
      <c r="A2153">
        <v>2152</v>
      </c>
      <c r="B2153" t="s">
        <v>2809</v>
      </c>
      <c r="C2153" s="3">
        <v>26000</v>
      </c>
      <c r="D2153" t="s">
        <v>666</v>
      </c>
      <c r="E2153">
        <v>30</v>
      </c>
      <c r="F2153" s="1">
        <v>45607</v>
      </c>
      <c r="G2153" s="1" t="str">
        <f>TEXT(Table1[[#This Row],[Enrollment date]], "mmm")</f>
        <v>Nov</v>
      </c>
      <c r="H2153" t="s">
        <v>360</v>
      </c>
      <c r="I2153" t="s">
        <v>660</v>
      </c>
      <c r="J2153" t="str">
        <f>_xlfn.XLOOKUP(Table1[[#This Row],[Course ]], CCF!B:B, CCF!A:A)</f>
        <v>DM101</v>
      </c>
      <c r="K2153" t="s">
        <v>365</v>
      </c>
      <c r="L2153">
        <f>_xlfn.XLOOKUP(K2153, CCF!B:B, CCF!C:C)</f>
        <v>85499</v>
      </c>
      <c r="M2153" t="s">
        <v>80</v>
      </c>
    </row>
    <row r="2154" spans="1:13" x14ac:dyDescent="0.3">
      <c r="A2154">
        <v>2153</v>
      </c>
      <c r="B2154" t="s">
        <v>2810</v>
      </c>
      <c r="C2154" s="3">
        <v>66052</v>
      </c>
      <c r="D2154" t="s">
        <v>666</v>
      </c>
      <c r="E2154">
        <v>39</v>
      </c>
      <c r="F2154" s="1">
        <v>45607</v>
      </c>
      <c r="G2154" s="1" t="str">
        <f>TEXT(Table1[[#This Row],[Enrollment date]], "mmm")</f>
        <v>Nov</v>
      </c>
      <c r="H2154" t="s">
        <v>360</v>
      </c>
      <c r="I2154" t="s">
        <v>663</v>
      </c>
      <c r="J2154" t="str">
        <f>_xlfn.XLOOKUP(Table1[[#This Row],[Course ]], CCF!B:B, CCF!A:A)</f>
        <v>UX401</v>
      </c>
      <c r="K2154" t="s">
        <v>367</v>
      </c>
      <c r="L2154">
        <f>_xlfn.XLOOKUP(K2154, CCF!B:B, CCF!C:C)</f>
        <v>67990</v>
      </c>
      <c r="M2154" t="s">
        <v>624</v>
      </c>
    </row>
    <row r="2155" spans="1:13" x14ac:dyDescent="0.3">
      <c r="A2155">
        <v>2154</v>
      </c>
      <c r="B2155" t="s">
        <v>2811</v>
      </c>
      <c r="C2155" s="3">
        <v>85792</v>
      </c>
      <c r="D2155" t="s">
        <v>666</v>
      </c>
      <c r="E2155">
        <v>20</v>
      </c>
      <c r="F2155" s="1">
        <v>45607</v>
      </c>
      <c r="G2155" s="1" t="str">
        <f>TEXT(Table1[[#This Row],[Enrollment date]], "mmm")</f>
        <v>Nov</v>
      </c>
      <c r="H2155" t="s">
        <v>360</v>
      </c>
      <c r="I2155" t="s">
        <v>659</v>
      </c>
      <c r="J2155" t="str">
        <f>_xlfn.XLOOKUP(Table1[[#This Row],[Course ]], CCF!B:B, CCF!A:A)</f>
        <v>DA202</v>
      </c>
      <c r="K2155" t="s">
        <v>363</v>
      </c>
      <c r="L2155">
        <f>_xlfn.XLOOKUP(K2155, CCF!B:B, CCF!C:C)</f>
        <v>79999</v>
      </c>
      <c r="M2155" t="s">
        <v>247</v>
      </c>
    </row>
    <row r="2156" spans="1:13" x14ac:dyDescent="0.3">
      <c r="A2156">
        <v>2155</v>
      </c>
      <c r="B2156" t="s">
        <v>2812</v>
      </c>
      <c r="C2156" s="3">
        <v>65024</v>
      </c>
      <c r="D2156" t="s">
        <v>666</v>
      </c>
      <c r="E2156">
        <v>45</v>
      </c>
      <c r="F2156" s="1">
        <v>45607</v>
      </c>
      <c r="G2156" s="1" t="str">
        <f>TEXT(Table1[[#This Row],[Enrollment date]], "mmm")</f>
        <v>Nov</v>
      </c>
      <c r="H2156" t="s">
        <v>360</v>
      </c>
      <c r="I2156" t="s">
        <v>660</v>
      </c>
      <c r="J2156" t="str">
        <f>_xlfn.XLOOKUP(Table1[[#This Row],[Course ]], CCF!B:B, CCF!A:A)</f>
        <v>DM101</v>
      </c>
      <c r="K2156" t="s">
        <v>365</v>
      </c>
      <c r="L2156">
        <f>_xlfn.XLOOKUP(K2156, CCF!B:B, CCF!C:C)</f>
        <v>85499</v>
      </c>
      <c r="M2156" t="s">
        <v>625</v>
      </c>
    </row>
    <row r="2157" spans="1:13" x14ac:dyDescent="0.3">
      <c r="A2157">
        <v>2156</v>
      </c>
      <c r="B2157" t="s">
        <v>2813</v>
      </c>
      <c r="C2157" s="3">
        <v>91747</v>
      </c>
      <c r="D2157" t="s">
        <v>666</v>
      </c>
      <c r="E2157">
        <v>22</v>
      </c>
      <c r="F2157" s="1">
        <v>45607</v>
      </c>
      <c r="G2157" s="1" t="str">
        <f>TEXT(Table1[[#This Row],[Enrollment date]], "mmm")</f>
        <v>Nov</v>
      </c>
      <c r="H2157" t="s">
        <v>360</v>
      </c>
      <c r="I2157" t="s">
        <v>661</v>
      </c>
      <c r="J2157" t="str">
        <f>_xlfn.XLOOKUP(Table1[[#This Row],[Course ]], CCF!B:B, CCF!A:A)</f>
        <v>BA301</v>
      </c>
      <c r="K2157" t="s">
        <v>364</v>
      </c>
      <c r="L2157">
        <f>_xlfn.XLOOKUP(K2157, CCF!B:B, CCF!C:C)</f>
        <v>59999</v>
      </c>
      <c r="M2157" t="s">
        <v>258</v>
      </c>
    </row>
    <row r="2158" spans="1:13" x14ac:dyDescent="0.3">
      <c r="A2158">
        <v>2157</v>
      </c>
      <c r="B2158" t="s">
        <v>2814</v>
      </c>
      <c r="C2158" s="3">
        <v>60434</v>
      </c>
      <c r="D2158" t="s">
        <v>666</v>
      </c>
      <c r="E2158">
        <v>29</v>
      </c>
      <c r="F2158" s="1">
        <v>45608</v>
      </c>
      <c r="G2158" s="1" t="str">
        <f>TEXT(Table1[[#This Row],[Enrollment date]], "mmm")</f>
        <v>Nov</v>
      </c>
      <c r="H2158" t="s">
        <v>360</v>
      </c>
      <c r="I2158" t="s">
        <v>659</v>
      </c>
      <c r="J2158" t="str">
        <f>_xlfn.XLOOKUP(Table1[[#This Row],[Course ]], CCF!B:B, CCF!A:A)</f>
        <v>DM101</v>
      </c>
      <c r="K2158" t="s">
        <v>365</v>
      </c>
      <c r="L2158">
        <f>_xlfn.XLOOKUP(K2158, CCF!B:B, CCF!C:C)</f>
        <v>85499</v>
      </c>
      <c r="M2158" t="s">
        <v>261</v>
      </c>
    </row>
    <row r="2159" spans="1:13" x14ac:dyDescent="0.3">
      <c r="A2159">
        <v>2158</v>
      </c>
      <c r="B2159" t="s">
        <v>2815</v>
      </c>
      <c r="C2159" s="3">
        <v>70953</v>
      </c>
      <c r="D2159" t="s">
        <v>666</v>
      </c>
      <c r="E2159">
        <v>18</v>
      </c>
      <c r="F2159" s="1">
        <v>45608</v>
      </c>
      <c r="G2159" s="1" t="str">
        <f>TEXT(Table1[[#This Row],[Enrollment date]], "mmm")</f>
        <v>Nov</v>
      </c>
      <c r="H2159" t="s">
        <v>360</v>
      </c>
      <c r="I2159" t="s">
        <v>661</v>
      </c>
      <c r="J2159" t="str">
        <f>_xlfn.XLOOKUP(Table1[[#This Row],[Course ]], CCF!B:B, CCF!A:A)</f>
        <v>DA202</v>
      </c>
      <c r="K2159" t="s">
        <v>363</v>
      </c>
      <c r="L2159">
        <f>_xlfn.XLOOKUP(K2159, CCF!B:B, CCF!C:C)</f>
        <v>79999</v>
      </c>
      <c r="M2159" t="s">
        <v>9</v>
      </c>
    </row>
    <row r="2160" spans="1:13" x14ac:dyDescent="0.3">
      <c r="A2160">
        <v>2159</v>
      </c>
      <c r="B2160" t="s">
        <v>2816</v>
      </c>
      <c r="C2160" s="3">
        <v>98432</v>
      </c>
      <c r="D2160" t="s">
        <v>666</v>
      </c>
      <c r="E2160">
        <v>41</v>
      </c>
      <c r="F2160" s="1">
        <v>45608</v>
      </c>
      <c r="G2160" s="1" t="str">
        <f>TEXT(Table1[[#This Row],[Enrollment date]], "mmm")</f>
        <v>Nov</v>
      </c>
      <c r="H2160" t="s">
        <v>360</v>
      </c>
      <c r="I2160" t="s">
        <v>664</v>
      </c>
      <c r="J2160" t="str">
        <f>_xlfn.XLOOKUP(Table1[[#This Row],[Course ]], CCF!B:B, CCF!A:A)</f>
        <v>BA301</v>
      </c>
      <c r="K2160" t="s">
        <v>364</v>
      </c>
      <c r="L2160">
        <f>_xlfn.XLOOKUP(K2160, CCF!B:B, CCF!C:C)</f>
        <v>59999</v>
      </c>
      <c r="M2160" t="s">
        <v>7</v>
      </c>
    </row>
    <row r="2161" spans="1:13" x14ac:dyDescent="0.3">
      <c r="A2161">
        <v>2160</v>
      </c>
      <c r="B2161" t="s">
        <v>2817</v>
      </c>
      <c r="C2161" s="3">
        <v>33957</v>
      </c>
      <c r="D2161" t="s">
        <v>666</v>
      </c>
      <c r="E2161">
        <v>24</v>
      </c>
      <c r="F2161" s="1">
        <v>45608</v>
      </c>
      <c r="G2161" s="1" t="str">
        <f>TEXT(Table1[[#This Row],[Enrollment date]], "mmm")</f>
        <v>Nov</v>
      </c>
      <c r="H2161" t="s">
        <v>360</v>
      </c>
      <c r="I2161" t="s">
        <v>661</v>
      </c>
      <c r="J2161" t="str">
        <f>_xlfn.XLOOKUP(Table1[[#This Row],[Course ]], CCF!B:B, CCF!A:A)</f>
        <v>FSD103</v>
      </c>
      <c r="K2161" t="s">
        <v>366</v>
      </c>
      <c r="L2161">
        <f>_xlfn.XLOOKUP(K2161, CCF!B:B, CCF!C:C)</f>
        <v>109990</v>
      </c>
      <c r="M2161" t="s">
        <v>16</v>
      </c>
    </row>
    <row r="2162" spans="1:13" x14ac:dyDescent="0.3">
      <c r="A2162">
        <v>2161</v>
      </c>
      <c r="B2162" t="s">
        <v>2818</v>
      </c>
      <c r="C2162" s="3">
        <v>43216</v>
      </c>
      <c r="D2162" t="s">
        <v>666</v>
      </c>
      <c r="E2162">
        <v>26</v>
      </c>
      <c r="F2162" s="1">
        <v>45608</v>
      </c>
      <c r="G2162" s="1" t="str">
        <f>TEXT(Table1[[#This Row],[Enrollment date]], "mmm")</f>
        <v>Nov</v>
      </c>
      <c r="H2162" t="s">
        <v>360</v>
      </c>
      <c r="I2162" t="s">
        <v>665</v>
      </c>
      <c r="J2162" t="str">
        <f>_xlfn.XLOOKUP(Table1[[#This Row],[Course ]], CCF!B:B, CCF!A:A)</f>
        <v>DM101</v>
      </c>
      <c r="K2162" t="s">
        <v>365</v>
      </c>
      <c r="L2162">
        <f>_xlfn.XLOOKUP(K2162, CCF!B:B, CCF!C:C)</f>
        <v>85499</v>
      </c>
      <c r="M2162" t="s">
        <v>9</v>
      </c>
    </row>
    <row r="2163" spans="1:13" x14ac:dyDescent="0.3">
      <c r="A2163">
        <v>2162</v>
      </c>
      <c r="B2163" t="s">
        <v>2819</v>
      </c>
      <c r="C2163" s="3">
        <v>74259</v>
      </c>
      <c r="D2163" t="s">
        <v>667</v>
      </c>
      <c r="E2163">
        <v>35</v>
      </c>
      <c r="F2163" s="1">
        <v>45608</v>
      </c>
      <c r="G2163" s="1" t="str">
        <f>TEXT(Table1[[#This Row],[Enrollment date]], "mmm")</f>
        <v>Nov</v>
      </c>
      <c r="H2163" t="s">
        <v>360</v>
      </c>
      <c r="I2163" t="s">
        <v>661</v>
      </c>
      <c r="J2163" t="str">
        <f>_xlfn.XLOOKUP(Table1[[#This Row],[Course ]], CCF!B:B, CCF!A:A)</f>
        <v>DA202</v>
      </c>
      <c r="K2163" t="s">
        <v>363</v>
      </c>
      <c r="L2163">
        <f>_xlfn.XLOOKUP(K2163, CCF!B:B, CCF!C:C)</f>
        <v>79999</v>
      </c>
      <c r="M2163" t="s">
        <v>80</v>
      </c>
    </row>
    <row r="2164" spans="1:13" x14ac:dyDescent="0.3">
      <c r="A2164">
        <v>2163</v>
      </c>
      <c r="B2164" t="s">
        <v>2820</v>
      </c>
      <c r="C2164" s="3">
        <v>16432</v>
      </c>
      <c r="D2164" t="s">
        <v>667</v>
      </c>
      <c r="E2164">
        <v>67</v>
      </c>
      <c r="F2164" s="1">
        <v>45609</v>
      </c>
      <c r="G2164" s="1" t="str">
        <f>TEXT(Table1[[#This Row],[Enrollment date]], "mmm")</f>
        <v>Nov</v>
      </c>
      <c r="H2164" t="s">
        <v>360</v>
      </c>
      <c r="I2164" t="s">
        <v>659</v>
      </c>
      <c r="J2164" t="str">
        <f>_xlfn.XLOOKUP(Table1[[#This Row],[Course ]], CCF!B:B, CCF!A:A)</f>
        <v>UX401</v>
      </c>
      <c r="K2164" t="s">
        <v>367</v>
      </c>
      <c r="L2164">
        <f>_xlfn.XLOOKUP(K2164, CCF!B:B, CCF!C:C)</f>
        <v>67990</v>
      </c>
      <c r="M2164" t="s">
        <v>170</v>
      </c>
    </row>
    <row r="2165" spans="1:13" x14ac:dyDescent="0.3">
      <c r="A2165">
        <v>2164</v>
      </c>
      <c r="B2165" t="s">
        <v>2821</v>
      </c>
      <c r="C2165" s="3">
        <v>71835</v>
      </c>
      <c r="D2165" t="s">
        <v>666</v>
      </c>
      <c r="E2165">
        <v>66</v>
      </c>
      <c r="F2165" s="1">
        <v>45609</v>
      </c>
      <c r="G2165" s="1" t="str">
        <f>TEXT(Table1[[#This Row],[Enrollment date]], "mmm")</f>
        <v>Nov</v>
      </c>
      <c r="H2165" t="s">
        <v>361</v>
      </c>
      <c r="I2165" t="s">
        <v>660</v>
      </c>
      <c r="J2165" t="str">
        <f>_xlfn.XLOOKUP(Table1[[#This Row],[Course ]], CCF!B:B, CCF!A:A)</f>
        <v>DA202</v>
      </c>
      <c r="K2165" t="s">
        <v>363</v>
      </c>
      <c r="L2165">
        <f>_xlfn.XLOOKUP(K2165, CCF!B:B, CCF!C:C)</f>
        <v>79999</v>
      </c>
      <c r="M2165" t="s">
        <v>18</v>
      </c>
    </row>
    <row r="2166" spans="1:13" x14ac:dyDescent="0.3">
      <c r="A2166">
        <v>2165</v>
      </c>
      <c r="B2166" t="s">
        <v>2822</v>
      </c>
      <c r="C2166" s="3">
        <v>92248</v>
      </c>
      <c r="D2166" t="s">
        <v>666</v>
      </c>
      <c r="E2166">
        <v>27</v>
      </c>
      <c r="F2166" s="1">
        <v>45609</v>
      </c>
      <c r="G2166" s="1" t="str">
        <f>TEXT(Table1[[#This Row],[Enrollment date]], "mmm")</f>
        <v>Nov</v>
      </c>
      <c r="H2166" t="s">
        <v>360</v>
      </c>
      <c r="I2166" t="s">
        <v>661</v>
      </c>
      <c r="J2166" t="str">
        <f>_xlfn.XLOOKUP(Table1[[#This Row],[Course ]], CCF!B:B, CCF!A:A)</f>
        <v>DM101</v>
      </c>
      <c r="K2166" t="s">
        <v>365</v>
      </c>
      <c r="L2166">
        <f>_xlfn.XLOOKUP(K2166, CCF!B:B, CCF!C:C)</f>
        <v>85499</v>
      </c>
      <c r="M2166" t="s">
        <v>258</v>
      </c>
    </row>
    <row r="2167" spans="1:13" x14ac:dyDescent="0.3">
      <c r="A2167">
        <v>2166</v>
      </c>
      <c r="B2167" t="s">
        <v>2823</v>
      </c>
      <c r="C2167" s="3">
        <v>35211</v>
      </c>
      <c r="D2167" t="s">
        <v>667</v>
      </c>
      <c r="E2167">
        <v>58</v>
      </c>
      <c r="F2167" s="1">
        <v>45609</v>
      </c>
      <c r="G2167" s="1" t="str">
        <f>TEXT(Table1[[#This Row],[Enrollment date]], "mmm")</f>
        <v>Nov</v>
      </c>
      <c r="H2167" t="s">
        <v>3</v>
      </c>
      <c r="I2167" t="s">
        <v>659</v>
      </c>
      <c r="J2167" t="str">
        <f>_xlfn.XLOOKUP(Table1[[#This Row],[Course ]], CCF!B:B, CCF!A:A)</f>
        <v>BA301</v>
      </c>
      <c r="K2167" t="s">
        <v>364</v>
      </c>
      <c r="L2167">
        <f>_xlfn.XLOOKUP(K2167, CCF!B:B, CCF!C:C)</f>
        <v>59999</v>
      </c>
      <c r="M2167" t="s">
        <v>164</v>
      </c>
    </row>
    <row r="2168" spans="1:13" x14ac:dyDescent="0.3">
      <c r="A2168">
        <v>2167</v>
      </c>
      <c r="B2168" t="s">
        <v>2824</v>
      </c>
      <c r="C2168" s="3">
        <v>76574</v>
      </c>
      <c r="D2168" t="s">
        <v>666</v>
      </c>
      <c r="E2168">
        <v>27</v>
      </c>
      <c r="F2168" s="1">
        <v>45609</v>
      </c>
      <c r="G2168" s="1" t="str">
        <f>TEXT(Table1[[#This Row],[Enrollment date]], "mmm")</f>
        <v>Nov</v>
      </c>
      <c r="H2168" t="s">
        <v>360</v>
      </c>
      <c r="I2168" t="s">
        <v>660</v>
      </c>
      <c r="J2168" t="str">
        <f>_xlfn.XLOOKUP(Table1[[#This Row],[Course ]], CCF!B:B, CCF!A:A)</f>
        <v>DA202</v>
      </c>
      <c r="K2168" t="s">
        <v>363</v>
      </c>
      <c r="L2168">
        <f>_xlfn.XLOOKUP(K2168, CCF!B:B, CCF!C:C)</f>
        <v>79999</v>
      </c>
      <c r="M2168" t="s">
        <v>9</v>
      </c>
    </row>
    <row r="2169" spans="1:13" x14ac:dyDescent="0.3">
      <c r="A2169">
        <v>2168</v>
      </c>
      <c r="B2169" t="s">
        <v>2825</v>
      </c>
      <c r="C2169" s="3">
        <v>75904</v>
      </c>
      <c r="D2169" t="s">
        <v>666</v>
      </c>
      <c r="E2169">
        <v>31</v>
      </c>
      <c r="F2169" s="1">
        <v>45609</v>
      </c>
      <c r="G2169" s="1" t="str">
        <f>TEXT(Table1[[#This Row],[Enrollment date]], "mmm")</f>
        <v>Nov</v>
      </c>
      <c r="H2169" t="s">
        <v>360</v>
      </c>
      <c r="I2169" t="s">
        <v>659</v>
      </c>
      <c r="J2169" t="str">
        <f>_xlfn.XLOOKUP(Table1[[#This Row],[Course ]], CCF!B:B, CCF!A:A)</f>
        <v>BA301</v>
      </c>
      <c r="K2169" t="s">
        <v>364</v>
      </c>
      <c r="L2169">
        <f>_xlfn.XLOOKUP(K2169, CCF!B:B, CCF!C:C)</f>
        <v>59999</v>
      </c>
      <c r="M2169" t="s">
        <v>170</v>
      </c>
    </row>
    <row r="2170" spans="1:13" x14ac:dyDescent="0.3">
      <c r="A2170">
        <v>2169</v>
      </c>
      <c r="B2170" t="s">
        <v>2826</v>
      </c>
      <c r="C2170" s="3">
        <v>71958</v>
      </c>
      <c r="D2170" t="s">
        <v>667</v>
      </c>
      <c r="E2170">
        <v>36</v>
      </c>
      <c r="F2170" s="1">
        <v>45609</v>
      </c>
      <c r="G2170" s="1" t="str">
        <f>TEXT(Table1[[#This Row],[Enrollment date]], "mmm")</f>
        <v>Nov</v>
      </c>
      <c r="H2170" t="s">
        <v>360</v>
      </c>
      <c r="I2170" t="s">
        <v>659</v>
      </c>
      <c r="J2170" t="str">
        <f>_xlfn.XLOOKUP(Table1[[#This Row],[Course ]], CCF!B:B, CCF!A:A)</f>
        <v>UX401</v>
      </c>
      <c r="K2170" t="s">
        <v>367</v>
      </c>
      <c r="L2170">
        <f>_xlfn.XLOOKUP(K2170, CCF!B:B, CCF!C:C)</f>
        <v>67990</v>
      </c>
      <c r="M2170" t="s">
        <v>9</v>
      </c>
    </row>
    <row r="2171" spans="1:13" x14ac:dyDescent="0.3">
      <c r="A2171">
        <v>2170</v>
      </c>
      <c r="B2171" t="s">
        <v>2827</v>
      </c>
      <c r="C2171" s="3">
        <v>19859</v>
      </c>
      <c r="D2171" t="s">
        <v>666</v>
      </c>
      <c r="E2171">
        <v>25</v>
      </c>
      <c r="F2171" s="1">
        <v>45609</v>
      </c>
      <c r="G2171" s="1" t="str">
        <f>TEXT(Table1[[#This Row],[Enrollment date]], "mmm")</f>
        <v>Nov</v>
      </c>
      <c r="H2171" t="s">
        <v>360</v>
      </c>
      <c r="I2171" t="s">
        <v>660</v>
      </c>
      <c r="J2171" t="str">
        <f>_xlfn.XLOOKUP(Table1[[#This Row],[Course ]], CCF!B:B, CCF!A:A)</f>
        <v>DM101</v>
      </c>
      <c r="K2171" t="s">
        <v>365</v>
      </c>
      <c r="L2171">
        <f>_xlfn.XLOOKUP(K2171, CCF!B:B, CCF!C:C)</f>
        <v>85499</v>
      </c>
      <c r="M2171" t="s">
        <v>184</v>
      </c>
    </row>
    <row r="2172" spans="1:13" x14ac:dyDescent="0.3">
      <c r="A2172">
        <v>2171</v>
      </c>
      <c r="B2172" t="s">
        <v>2828</v>
      </c>
      <c r="C2172" s="3">
        <v>35439</v>
      </c>
      <c r="D2172" t="s">
        <v>666</v>
      </c>
      <c r="E2172">
        <v>49</v>
      </c>
      <c r="F2172" s="1">
        <v>45609</v>
      </c>
      <c r="G2172" s="1" t="str">
        <f>TEXT(Table1[[#This Row],[Enrollment date]], "mmm")</f>
        <v>Nov</v>
      </c>
      <c r="H2172" t="s">
        <v>360</v>
      </c>
      <c r="I2172" t="s">
        <v>664</v>
      </c>
      <c r="J2172" t="str">
        <f>_xlfn.XLOOKUP(Table1[[#This Row],[Course ]], CCF!B:B, CCF!A:A)</f>
        <v>BA301</v>
      </c>
      <c r="K2172" t="s">
        <v>364</v>
      </c>
      <c r="L2172">
        <f>_xlfn.XLOOKUP(K2172, CCF!B:B, CCF!C:C)</f>
        <v>59999</v>
      </c>
      <c r="M2172" t="s">
        <v>81</v>
      </c>
    </row>
    <row r="2173" spans="1:13" x14ac:dyDescent="0.3">
      <c r="A2173">
        <v>2172</v>
      </c>
      <c r="B2173" t="s">
        <v>2829</v>
      </c>
      <c r="C2173" s="3">
        <v>10585</v>
      </c>
      <c r="D2173" t="s">
        <v>667</v>
      </c>
      <c r="E2173">
        <v>20</v>
      </c>
      <c r="F2173" s="1">
        <v>45610</v>
      </c>
      <c r="G2173" s="1" t="str">
        <f>TEXT(Table1[[#This Row],[Enrollment date]], "mmm")</f>
        <v>Nov</v>
      </c>
      <c r="H2173" t="s">
        <v>360</v>
      </c>
      <c r="I2173" t="s">
        <v>662</v>
      </c>
      <c r="J2173" t="str">
        <f>_xlfn.XLOOKUP(Table1[[#This Row],[Course ]], CCF!B:B, CCF!A:A)</f>
        <v>DA202</v>
      </c>
      <c r="K2173" t="s">
        <v>363</v>
      </c>
      <c r="L2173">
        <f>_xlfn.XLOOKUP(K2173, CCF!B:B, CCF!C:C)</f>
        <v>79999</v>
      </c>
      <c r="M2173" t="s">
        <v>27</v>
      </c>
    </row>
    <row r="2174" spans="1:13" x14ac:dyDescent="0.3">
      <c r="A2174">
        <v>2173</v>
      </c>
      <c r="B2174" t="s">
        <v>2830</v>
      </c>
      <c r="C2174" s="3">
        <v>65388</v>
      </c>
      <c r="D2174" t="s">
        <v>666</v>
      </c>
      <c r="E2174">
        <v>19</v>
      </c>
      <c r="F2174" s="1">
        <v>45610</v>
      </c>
      <c r="G2174" s="1" t="str">
        <f>TEXT(Table1[[#This Row],[Enrollment date]], "mmm")</f>
        <v>Nov</v>
      </c>
      <c r="H2174" t="s">
        <v>360</v>
      </c>
      <c r="I2174" t="s">
        <v>664</v>
      </c>
      <c r="J2174" t="str">
        <f>_xlfn.XLOOKUP(Table1[[#This Row],[Course ]], CCF!B:B, CCF!A:A)</f>
        <v>DA202</v>
      </c>
      <c r="K2174" t="s">
        <v>363</v>
      </c>
      <c r="L2174">
        <f>_xlfn.XLOOKUP(K2174, CCF!B:B, CCF!C:C)</f>
        <v>79999</v>
      </c>
      <c r="M2174" t="s">
        <v>9</v>
      </c>
    </row>
    <row r="2175" spans="1:13" x14ac:dyDescent="0.3">
      <c r="A2175">
        <v>2174</v>
      </c>
      <c r="B2175" t="s">
        <v>2831</v>
      </c>
      <c r="C2175" s="3">
        <v>86783</v>
      </c>
      <c r="D2175" t="s">
        <v>667</v>
      </c>
      <c r="E2175">
        <v>40</v>
      </c>
      <c r="F2175" s="1">
        <v>45610</v>
      </c>
      <c r="G2175" s="1" t="str">
        <f>TEXT(Table1[[#This Row],[Enrollment date]], "mmm")</f>
        <v>Nov</v>
      </c>
      <c r="H2175" t="s">
        <v>361</v>
      </c>
      <c r="I2175" t="s">
        <v>660</v>
      </c>
      <c r="J2175" t="str">
        <f>_xlfn.XLOOKUP(Table1[[#This Row],[Course ]], CCF!B:B, CCF!A:A)</f>
        <v>DA202</v>
      </c>
      <c r="K2175" t="s">
        <v>363</v>
      </c>
      <c r="L2175">
        <f>_xlfn.XLOOKUP(K2175, CCF!B:B, CCF!C:C)</f>
        <v>79999</v>
      </c>
      <c r="M2175" t="s">
        <v>27</v>
      </c>
    </row>
    <row r="2176" spans="1:13" x14ac:dyDescent="0.3">
      <c r="A2176">
        <v>2175</v>
      </c>
      <c r="B2176" t="s">
        <v>2832</v>
      </c>
      <c r="C2176" s="3">
        <v>59786</v>
      </c>
      <c r="D2176" t="s">
        <v>667</v>
      </c>
      <c r="E2176">
        <v>78</v>
      </c>
      <c r="F2176" s="1">
        <v>45610</v>
      </c>
      <c r="G2176" s="1" t="str">
        <f>TEXT(Table1[[#This Row],[Enrollment date]], "mmm")</f>
        <v>Nov</v>
      </c>
      <c r="H2176" t="s">
        <v>360</v>
      </c>
      <c r="I2176" t="s">
        <v>664</v>
      </c>
      <c r="J2176" t="str">
        <f>_xlfn.XLOOKUP(Table1[[#This Row],[Course ]], CCF!B:B, CCF!A:A)</f>
        <v>DM101</v>
      </c>
      <c r="K2176" t="s">
        <v>365</v>
      </c>
      <c r="L2176">
        <f>_xlfn.XLOOKUP(K2176, CCF!B:B, CCF!C:C)</f>
        <v>85499</v>
      </c>
      <c r="M2176" t="s">
        <v>16</v>
      </c>
    </row>
    <row r="2177" spans="1:13" x14ac:dyDescent="0.3">
      <c r="A2177">
        <v>2176</v>
      </c>
      <c r="B2177" t="s">
        <v>2833</v>
      </c>
      <c r="C2177" s="3">
        <v>98317</v>
      </c>
      <c r="D2177" t="s">
        <v>667</v>
      </c>
      <c r="E2177">
        <v>42</v>
      </c>
      <c r="F2177" s="1">
        <v>45610</v>
      </c>
      <c r="G2177" s="1" t="str">
        <f>TEXT(Table1[[#This Row],[Enrollment date]], "mmm")</f>
        <v>Nov</v>
      </c>
      <c r="H2177" t="s">
        <v>360</v>
      </c>
      <c r="I2177" t="s">
        <v>663</v>
      </c>
      <c r="J2177" t="str">
        <f>_xlfn.XLOOKUP(Table1[[#This Row],[Course ]], CCF!B:B, CCF!A:A)</f>
        <v>DM101</v>
      </c>
      <c r="K2177" t="s">
        <v>365</v>
      </c>
      <c r="L2177">
        <f>_xlfn.XLOOKUP(K2177, CCF!B:B, CCF!C:C)</f>
        <v>85499</v>
      </c>
      <c r="M2177" t="s">
        <v>18</v>
      </c>
    </row>
    <row r="2178" spans="1:13" x14ac:dyDescent="0.3">
      <c r="A2178">
        <v>2177</v>
      </c>
      <c r="B2178" t="s">
        <v>2834</v>
      </c>
      <c r="C2178" s="3">
        <v>13793</v>
      </c>
      <c r="D2178" t="s">
        <v>666</v>
      </c>
      <c r="E2178">
        <v>40</v>
      </c>
      <c r="F2178" s="1">
        <v>45610</v>
      </c>
      <c r="G2178" s="1" t="str">
        <f>TEXT(Table1[[#This Row],[Enrollment date]], "mmm")</f>
        <v>Nov</v>
      </c>
      <c r="H2178" t="s">
        <v>360</v>
      </c>
      <c r="I2178" t="s">
        <v>660</v>
      </c>
      <c r="J2178" t="str">
        <f>_xlfn.XLOOKUP(Table1[[#This Row],[Course ]], CCF!B:B, CCF!A:A)</f>
        <v>UX401</v>
      </c>
      <c r="K2178" t="s">
        <v>367</v>
      </c>
      <c r="L2178">
        <f>_xlfn.XLOOKUP(K2178, CCF!B:B, CCF!C:C)</f>
        <v>67990</v>
      </c>
      <c r="M2178" t="s">
        <v>84</v>
      </c>
    </row>
    <row r="2179" spans="1:13" x14ac:dyDescent="0.3">
      <c r="A2179">
        <v>2178</v>
      </c>
      <c r="B2179" t="s">
        <v>2835</v>
      </c>
      <c r="C2179" s="3">
        <v>67440</v>
      </c>
      <c r="D2179" t="s">
        <v>666</v>
      </c>
      <c r="E2179">
        <v>20</v>
      </c>
      <c r="F2179" s="1">
        <v>45611</v>
      </c>
      <c r="G2179" s="1" t="str">
        <f>TEXT(Table1[[#This Row],[Enrollment date]], "mmm")</f>
        <v>Nov</v>
      </c>
      <c r="H2179" t="s">
        <v>360</v>
      </c>
      <c r="I2179" t="s">
        <v>659</v>
      </c>
      <c r="J2179" t="str">
        <f>_xlfn.XLOOKUP(Table1[[#This Row],[Course ]], CCF!B:B, CCF!A:A)</f>
        <v>DA202</v>
      </c>
      <c r="K2179" t="s">
        <v>363</v>
      </c>
      <c r="L2179">
        <f>_xlfn.XLOOKUP(K2179, CCF!B:B, CCF!C:C)</f>
        <v>79999</v>
      </c>
      <c r="M2179" t="s">
        <v>134</v>
      </c>
    </row>
    <row r="2180" spans="1:13" x14ac:dyDescent="0.3">
      <c r="A2180">
        <v>2179</v>
      </c>
      <c r="B2180" t="s">
        <v>2836</v>
      </c>
      <c r="C2180" s="3">
        <v>91009</v>
      </c>
      <c r="D2180" t="s">
        <v>666</v>
      </c>
      <c r="E2180">
        <v>77</v>
      </c>
      <c r="F2180" s="1">
        <v>45611</v>
      </c>
      <c r="G2180" s="1" t="str">
        <f>TEXT(Table1[[#This Row],[Enrollment date]], "mmm")</f>
        <v>Nov</v>
      </c>
      <c r="H2180" t="s">
        <v>360</v>
      </c>
      <c r="I2180" t="s">
        <v>660</v>
      </c>
      <c r="J2180" t="str">
        <f>_xlfn.XLOOKUP(Table1[[#This Row],[Course ]], CCF!B:B, CCF!A:A)</f>
        <v>FSD103</v>
      </c>
      <c r="K2180" t="s">
        <v>366</v>
      </c>
      <c r="L2180">
        <f>_xlfn.XLOOKUP(K2180, CCF!B:B, CCF!C:C)</f>
        <v>109990</v>
      </c>
      <c r="M2180" t="s">
        <v>174</v>
      </c>
    </row>
    <row r="2181" spans="1:13" x14ac:dyDescent="0.3">
      <c r="A2181">
        <v>2180</v>
      </c>
      <c r="B2181" t="s">
        <v>2837</v>
      </c>
      <c r="C2181" s="3">
        <v>58382</v>
      </c>
      <c r="D2181" t="s">
        <v>666</v>
      </c>
      <c r="E2181">
        <v>48</v>
      </c>
      <c r="F2181" s="1">
        <v>45611</v>
      </c>
      <c r="G2181" s="1" t="str">
        <f>TEXT(Table1[[#This Row],[Enrollment date]], "mmm")</f>
        <v>Nov</v>
      </c>
      <c r="H2181" t="s">
        <v>360</v>
      </c>
      <c r="I2181" t="s">
        <v>661</v>
      </c>
      <c r="J2181" t="str">
        <f>_xlfn.XLOOKUP(Table1[[#This Row],[Course ]], CCF!B:B, CCF!A:A)</f>
        <v>BA301</v>
      </c>
      <c r="K2181" t="s">
        <v>364</v>
      </c>
      <c r="L2181">
        <f>_xlfn.XLOOKUP(K2181, CCF!B:B, CCF!C:C)</f>
        <v>59999</v>
      </c>
      <c r="M2181" t="s">
        <v>48</v>
      </c>
    </row>
    <row r="2182" spans="1:13" x14ac:dyDescent="0.3">
      <c r="A2182">
        <v>2181</v>
      </c>
      <c r="B2182" t="s">
        <v>2838</v>
      </c>
      <c r="C2182" s="3">
        <v>43554</v>
      </c>
      <c r="D2182" t="s">
        <v>667</v>
      </c>
      <c r="E2182">
        <v>34</v>
      </c>
      <c r="F2182" s="1">
        <v>45611</v>
      </c>
      <c r="G2182" s="1" t="str">
        <f>TEXT(Table1[[#This Row],[Enrollment date]], "mmm")</f>
        <v>Nov</v>
      </c>
      <c r="H2182" t="s">
        <v>360</v>
      </c>
      <c r="I2182" t="s">
        <v>665</v>
      </c>
      <c r="J2182" t="str">
        <f>_xlfn.XLOOKUP(Table1[[#This Row],[Course ]], CCF!B:B, CCF!A:A)</f>
        <v>DA202</v>
      </c>
      <c r="K2182" t="s">
        <v>363</v>
      </c>
      <c r="L2182">
        <f>_xlfn.XLOOKUP(K2182, CCF!B:B, CCF!C:C)</f>
        <v>79999</v>
      </c>
      <c r="M2182" t="s">
        <v>247</v>
      </c>
    </row>
    <row r="2183" spans="1:13" x14ac:dyDescent="0.3">
      <c r="A2183">
        <v>2182</v>
      </c>
      <c r="B2183" t="s">
        <v>2839</v>
      </c>
      <c r="C2183" s="3">
        <v>41025</v>
      </c>
      <c r="D2183" t="s">
        <v>666</v>
      </c>
      <c r="E2183">
        <v>22</v>
      </c>
      <c r="F2183" s="1">
        <v>45611</v>
      </c>
      <c r="G2183" s="1" t="str">
        <f>TEXT(Table1[[#This Row],[Enrollment date]], "mmm")</f>
        <v>Nov</v>
      </c>
      <c r="H2183" t="s">
        <v>360</v>
      </c>
      <c r="I2183" t="s">
        <v>659</v>
      </c>
      <c r="J2183" t="str">
        <f>_xlfn.XLOOKUP(Table1[[#This Row],[Course ]], CCF!B:B, CCF!A:A)</f>
        <v>DA202</v>
      </c>
      <c r="K2183" t="s">
        <v>363</v>
      </c>
      <c r="L2183">
        <f>_xlfn.XLOOKUP(K2183, CCF!B:B, CCF!C:C)</f>
        <v>79999</v>
      </c>
      <c r="M2183" t="s">
        <v>78</v>
      </c>
    </row>
    <row r="2184" spans="1:13" x14ac:dyDescent="0.3">
      <c r="A2184">
        <v>2183</v>
      </c>
      <c r="B2184" t="s">
        <v>2840</v>
      </c>
      <c r="C2184" s="3">
        <v>21451</v>
      </c>
      <c r="D2184" t="s">
        <v>667</v>
      </c>
      <c r="E2184">
        <v>41</v>
      </c>
      <c r="F2184" s="1">
        <v>45611</v>
      </c>
      <c r="G2184" s="1" t="str">
        <f>TEXT(Table1[[#This Row],[Enrollment date]], "mmm")</f>
        <v>Nov</v>
      </c>
      <c r="H2184" t="s">
        <v>360</v>
      </c>
      <c r="I2184" t="s">
        <v>660</v>
      </c>
      <c r="J2184" t="str">
        <f>_xlfn.XLOOKUP(Table1[[#This Row],[Course ]], CCF!B:B, CCF!A:A)</f>
        <v>DA202</v>
      </c>
      <c r="K2184" t="s">
        <v>363</v>
      </c>
      <c r="L2184">
        <f>_xlfn.XLOOKUP(K2184, CCF!B:B, CCF!C:C)</f>
        <v>79999</v>
      </c>
      <c r="M2184" t="s">
        <v>18</v>
      </c>
    </row>
    <row r="2185" spans="1:13" x14ac:dyDescent="0.3">
      <c r="A2185">
        <v>2184</v>
      </c>
      <c r="B2185" t="s">
        <v>2841</v>
      </c>
      <c r="C2185" s="3">
        <v>38744</v>
      </c>
      <c r="D2185" t="s">
        <v>666</v>
      </c>
      <c r="E2185">
        <v>26</v>
      </c>
      <c r="F2185" s="1">
        <v>45611</v>
      </c>
      <c r="G2185" s="1" t="str">
        <f>TEXT(Table1[[#This Row],[Enrollment date]], "mmm")</f>
        <v>Nov</v>
      </c>
      <c r="H2185" t="s">
        <v>360</v>
      </c>
      <c r="I2185" t="s">
        <v>660</v>
      </c>
      <c r="J2185" t="str">
        <f>_xlfn.XLOOKUP(Table1[[#This Row],[Course ]], CCF!B:B, CCF!A:A)</f>
        <v>DM101</v>
      </c>
      <c r="K2185" t="s">
        <v>365</v>
      </c>
      <c r="L2185">
        <f>_xlfn.XLOOKUP(K2185, CCF!B:B, CCF!C:C)</f>
        <v>85499</v>
      </c>
      <c r="M2185" t="s">
        <v>9</v>
      </c>
    </row>
    <row r="2186" spans="1:13" x14ac:dyDescent="0.3">
      <c r="A2186">
        <v>2185</v>
      </c>
      <c r="B2186" t="s">
        <v>2842</v>
      </c>
      <c r="C2186" s="3">
        <v>62198</v>
      </c>
      <c r="D2186" t="s">
        <v>666</v>
      </c>
      <c r="E2186">
        <v>31</v>
      </c>
      <c r="F2186" s="1">
        <v>45612</v>
      </c>
      <c r="G2186" s="1" t="str">
        <f>TEXT(Table1[[#This Row],[Enrollment date]], "mmm")</f>
        <v>Nov</v>
      </c>
      <c r="H2186" t="s">
        <v>360</v>
      </c>
      <c r="I2186" t="s">
        <v>661</v>
      </c>
      <c r="J2186" t="str">
        <f>_xlfn.XLOOKUP(Table1[[#This Row],[Course ]], CCF!B:B, CCF!A:A)</f>
        <v>UX401</v>
      </c>
      <c r="K2186" t="s">
        <v>367</v>
      </c>
      <c r="L2186">
        <f>_xlfn.XLOOKUP(K2186, CCF!B:B, CCF!C:C)</f>
        <v>67990</v>
      </c>
      <c r="M2186" t="s">
        <v>626</v>
      </c>
    </row>
    <row r="2187" spans="1:13" x14ac:dyDescent="0.3">
      <c r="A2187">
        <v>2186</v>
      </c>
      <c r="B2187" t="s">
        <v>2843</v>
      </c>
      <c r="C2187" s="3">
        <v>88122</v>
      </c>
      <c r="D2187" t="s">
        <v>666</v>
      </c>
      <c r="E2187">
        <v>23</v>
      </c>
      <c r="F2187" s="1">
        <v>45612</v>
      </c>
      <c r="G2187" s="1" t="str">
        <f>TEXT(Table1[[#This Row],[Enrollment date]], "mmm")</f>
        <v>Nov</v>
      </c>
      <c r="H2187" t="s">
        <v>360</v>
      </c>
      <c r="I2187" t="s">
        <v>661</v>
      </c>
      <c r="J2187" t="str">
        <f>_xlfn.XLOOKUP(Table1[[#This Row],[Course ]], CCF!B:B, CCF!A:A)</f>
        <v>DA202</v>
      </c>
      <c r="K2187" t="s">
        <v>363</v>
      </c>
      <c r="L2187">
        <f>_xlfn.XLOOKUP(K2187, CCF!B:B, CCF!C:C)</f>
        <v>79999</v>
      </c>
      <c r="M2187" t="s">
        <v>20</v>
      </c>
    </row>
    <row r="2188" spans="1:13" x14ac:dyDescent="0.3">
      <c r="A2188">
        <v>2187</v>
      </c>
      <c r="B2188" t="s">
        <v>2844</v>
      </c>
      <c r="C2188" s="3">
        <v>66764</v>
      </c>
      <c r="D2188" t="s">
        <v>667</v>
      </c>
      <c r="E2188">
        <v>37</v>
      </c>
      <c r="F2188" s="1">
        <v>45612</v>
      </c>
      <c r="G2188" s="1" t="str">
        <f>TEXT(Table1[[#This Row],[Enrollment date]], "mmm")</f>
        <v>Nov</v>
      </c>
      <c r="H2188" t="s">
        <v>360</v>
      </c>
      <c r="I2188" t="s">
        <v>660</v>
      </c>
      <c r="J2188" t="str">
        <f>_xlfn.XLOOKUP(Table1[[#This Row],[Course ]], CCF!B:B, CCF!A:A)</f>
        <v>DM101</v>
      </c>
      <c r="K2188" t="s">
        <v>365</v>
      </c>
      <c r="L2188">
        <f>_xlfn.XLOOKUP(K2188, CCF!B:B, CCF!C:C)</f>
        <v>85499</v>
      </c>
      <c r="M2188" t="s">
        <v>53</v>
      </c>
    </row>
    <row r="2189" spans="1:13" x14ac:dyDescent="0.3">
      <c r="A2189">
        <v>2188</v>
      </c>
      <c r="B2189" t="s">
        <v>2845</v>
      </c>
      <c r="C2189" s="3">
        <v>67329</v>
      </c>
      <c r="D2189" t="s">
        <v>666</v>
      </c>
      <c r="E2189">
        <v>37</v>
      </c>
      <c r="F2189" s="1">
        <v>45612</v>
      </c>
      <c r="G2189" s="1" t="str">
        <f>TEXT(Table1[[#This Row],[Enrollment date]], "mmm")</f>
        <v>Nov</v>
      </c>
      <c r="H2189" t="s">
        <v>360</v>
      </c>
      <c r="I2189" t="s">
        <v>661</v>
      </c>
      <c r="J2189" t="str">
        <f>_xlfn.XLOOKUP(Table1[[#This Row],[Course ]], CCF!B:B, CCF!A:A)</f>
        <v>UX401</v>
      </c>
      <c r="K2189" t="s">
        <v>367</v>
      </c>
      <c r="L2189">
        <f>_xlfn.XLOOKUP(K2189, CCF!B:B, CCF!C:C)</f>
        <v>67990</v>
      </c>
      <c r="M2189" t="s">
        <v>103</v>
      </c>
    </row>
    <row r="2190" spans="1:13" x14ac:dyDescent="0.3">
      <c r="A2190">
        <v>2189</v>
      </c>
      <c r="B2190" t="s">
        <v>2846</v>
      </c>
      <c r="C2190" s="3">
        <v>58150</v>
      </c>
      <c r="D2190" t="s">
        <v>666</v>
      </c>
      <c r="E2190">
        <v>24</v>
      </c>
      <c r="F2190" s="1">
        <v>45613</v>
      </c>
      <c r="G2190" s="1" t="str">
        <f>TEXT(Table1[[#This Row],[Enrollment date]], "mmm")</f>
        <v>Nov</v>
      </c>
      <c r="H2190" t="s">
        <v>360</v>
      </c>
      <c r="I2190" t="s">
        <v>660</v>
      </c>
      <c r="J2190" t="str">
        <f>_xlfn.XLOOKUP(Table1[[#This Row],[Course ]], CCF!B:B, CCF!A:A)</f>
        <v>DM101</v>
      </c>
      <c r="K2190" t="s">
        <v>365</v>
      </c>
      <c r="L2190">
        <f>_xlfn.XLOOKUP(K2190, CCF!B:B, CCF!C:C)</f>
        <v>85499</v>
      </c>
      <c r="M2190" t="s">
        <v>17</v>
      </c>
    </row>
    <row r="2191" spans="1:13" x14ac:dyDescent="0.3">
      <c r="A2191">
        <v>2190</v>
      </c>
      <c r="B2191" t="s">
        <v>2847</v>
      </c>
      <c r="C2191" s="3">
        <v>41324</v>
      </c>
      <c r="D2191" t="s">
        <v>666</v>
      </c>
      <c r="E2191">
        <v>67</v>
      </c>
      <c r="F2191" s="1">
        <v>45613</v>
      </c>
      <c r="G2191" s="1" t="str">
        <f>TEXT(Table1[[#This Row],[Enrollment date]], "mmm")</f>
        <v>Nov</v>
      </c>
      <c r="H2191" t="s">
        <v>360</v>
      </c>
      <c r="I2191" t="s">
        <v>660</v>
      </c>
      <c r="J2191" t="str">
        <f>_xlfn.XLOOKUP(Table1[[#This Row],[Course ]], CCF!B:B, CCF!A:A)</f>
        <v>DA202</v>
      </c>
      <c r="K2191" t="s">
        <v>363</v>
      </c>
      <c r="L2191">
        <f>_xlfn.XLOOKUP(K2191, CCF!B:B, CCF!C:C)</f>
        <v>79999</v>
      </c>
      <c r="M2191" t="s">
        <v>180</v>
      </c>
    </row>
    <row r="2192" spans="1:13" x14ac:dyDescent="0.3">
      <c r="A2192">
        <v>2191</v>
      </c>
      <c r="B2192" t="s">
        <v>2848</v>
      </c>
      <c r="C2192" s="3">
        <v>61477</v>
      </c>
      <c r="D2192" t="s">
        <v>666</v>
      </c>
      <c r="E2192">
        <v>43</v>
      </c>
      <c r="F2192" s="1">
        <v>45613</v>
      </c>
      <c r="G2192" s="1" t="str">
        <f>TEXT(Table1[[#This Row],[Enrollment date]], "mmm")</f>
        <v>Nov</v>
      </c>
      <c r="H2192" t="s">
        <v>360</v>
      </c>
      <c r="I2192" t="s">
        <v>661</v>
      </c>
      <c r="J2192" t="str">
        <f>_xlfn.XLOOKUP(Table1[[#This Row],[Course ]], CCF!B:B, CCF!A:A)</f>
        <v>DM101</v>
      </c>
      <c r="K2192" t="s">
        <v>365</v>
      </c>
      <c r="L2192">
        <f>_xlfn.XLOOKUP(K2192, CCF!B:B, CCF!C:C)</f>
        <v>85499</v>
      </c>
      <c r="M2192" t="s">
        <v>17</v>
      </c>
    </row>
    <row r="2193" spans="1:13" x14ac:dyDescent="0.3">
      <c r="A2193">
        <v>2192</v>
      </c>
      <c r="B2193" t="s">
        <v>2849</v>
      </c>
      <c r="C2193" s="3">
        <v>32021</v>
      </c>
      <c r="D2193" t="s">
        <v>666</v>
      </c>
      <c r="E2193">
        <v>71</v>
      </c>
      <c r="F2193" s="1">
        <v>45613</v>
      </c>
      <c r="G2193" s="1" t="str">
        <f>TEXT(Table1[[#This Row],[Enrollment date]], "mmm")</f>
        <v>Nov</v>
      </c>
      <c r="H2193" t="s">
        <v>360</v>
      </c>
      <c r="I2193" t="s">
        <v>659</v>
      </c>
      <c r="J2193" t="str">
        <f>_xlfn.XLOOKUP(Table1[[#This Row],[Course ]], CCF!B:B, CCF!A:A)</f>
        <v>UX401</v>
      </c>
      <c r="K2193" t="s">
        <v>367</v>
      </c>
      <c r="L2193">
        <f>_xlfn.XLOOKUP(K2193, CCF!B:B, CCF!C:C)</f>
        <v>67990</v>
      </c>
      <c r="M2193" t="s">
        <v>134</v>
      </c>
    </row>
    <row r="2194" spans="1:13" x14ac:dyDescent="0.3">
      <c r="A2194">
        <v>2193</v>
      </c>
      <c r="B2194" t="s">
        <v>2850</v>
      </c>
      <c r="C2194" s="3">
        <v>38945</v>
      </c>
      <c r="D2194" t="s">
        <v>667</v>
      </c>
      <c r="E2194">
        <v>44</v>
      </c>
      <c r="F2194" s="1">
        <v>45613</v>
      </c>
      <c r="G2194" s="1" t="str">
        <f>TEXT(Table1[[#This Row],[Enrollment date]], "mmm")</f>
        <v>Nov</v>
      </c>
      <c r="H2194" t="s">
        <v>360</v>
      </c>
      <c r="I2194" t="s">
        <v>661</v>
      </c>
      <c r="J2194" t="str">
        <f>_xlfn.XLOOKUP(Table1[[#This Row],[Course ]], CCF!B:B, CCF!A:A)</f>
        <v>DM101</v>
      </c>
      <c r="K2194" t="s">
        <v>365</v>
      </c>
      <c r="L2194">
        <f>_xlfn.XLOOKUP(K2194, CCF!B:B, CCF!C:C)</f>
        <v>85499</v>
      </c>
      <c r="M2194" t="s">
        <v>53</v>
      </c>
    </row>
    <row r="2195" spans="1:13" x14ac:dyDescent="0.3">
      <c r="A2195">
        <v>2194</v>
      </c>
      <c r="B2195" t="s">
        <v>2851</v>
      </c>
      <c r="C2195" s="3">
        <v>84578</v>
      </c>
      <c r="D2195" t="s">
        <v>666</v>
      </c>
      <c r="E2195">
        <v>33</v>
      </c>
      <c r="F2195" s="1">
        <v>45613</v>
      </c>
      <c r="G2195" s="1" t="str">
        <f>TEXT(Table1[[#This Row],[Enrollment date]], "mmm")</f>
        <v>Nov</v>
      </c>
      <c r="H2195" t="s">
        <v>360</v>
      </c>
      <c r="I2195" t="s">
        <v>660</v>
      </c>
      <c r="J2195" t="str">
        <f>_xlfn.XLOOKUP(Table1[[#This Row],[Course ]], CCF!B:B, CCF!A:A)</f>
        <v>DA202</v>
      </c>
      <c r="K2195" t="s">
        <v>363</v>
      </c>
      <c r="L2195">
        <f>_xlfn.XLOOKUP(K2195, CCF!B:B, CCF!C:C)</f>
        <v>79999</v>
      </c>
      <c r="M2195" t="s">
        <v>449</v>
      </c>
    </row>
    <row r="2196" spans="1:13" x14ac:dyDescent="0.3">
      <c r="A2196">
        <v>2195</v>
      </c>
      <c r="B2196" t="s">
        <v>2852</v>
      </c>
      <c r="C2196" s="3">
        <v>60735</v>
      </c>
      <c r="D2196" t="s">
        <v>667</v>
      </c>
      <c r="E2196">
        <v>28</v>
      </c>
      <c r="F2196" s="1">
        <v>45613</v>
      </c>
      <c r="G2196" s="1" t="str">
        <f>TEXT(Table1[[#This Row],[Enrollment date]], "mmm")</f>
        <v>Nov</v>
      </c>
      <c r="H2196" t="s">
        <v>3</v>
      </c>
      <c r="I2196" t="s">
        <v>660</v>
      </c>
      <c r="J2196" t="str">
        <f>_xlfn.XLOOKUP(Table1[[#This Row],[Course ]], CCF!B:B, CCF!A:A)</f>
        <v>DA202</v>
      </c>
      <c r="K2196" t="s">
        <v>363</v>
      </c>
      <c r="L2196">
        <f>_xlfn.XLOOKUP(K2196, CCF!B:B, CCF!C:C)</f>
        <v>79999</v>
      </c>
      <c r="M2196" t="s">
        <v>65</v>
      </c>
    </row>
    <row r="2197" spans="1:13" x14ac:dyDescent="0.3">
      <c r="A2197">
        <v>2196</v>
      </c>
      <c r="B2197" t="s">
        <v>2853</v>
      </c>
      <c r="C2197" s="3">
        <v>37472</v>
      </c>
      <c r="D2197" t="s">
        <v>667</v>
      </c>
      <c r="E2197">
        <v>46</v>
      </c>
      <c r="F2197" s="1">
        <v>45613</v>
      </c>
      <c r="G2197" s="1" t="str">
        <f>TEXT(Table1[[#This Row],[Enrollment date]], "mmm")</f>
        <v>Nov</v>
      </c>
      <c r="H2197" t="s">
        <v>360</v>
      </c>
      <c r="I2197" t="s">
        <v>659</v>
      </c>
      <c r="J2197" t="str">
        <f>_xlfn.XLOOKUP(Table1[[#This Row],[Course ]], CCF!B:B, CCF!A:A)</f>
        <v>DM101</v>
      </c>
      <c r="K2197" t="s">
        <v>365</v>
      </c>
      <c r="L2197">
        <f>_xlfn.XLOOKUP(K2197, CCF!B:B, CCF!C:C)</f>
        <v>85499</v>
      </c>
      <c r="M2197" t="s">
        <v>18</v>
      </c>
    </row>
    <row r="2198" spans="1:13" x14ac:dyDescent="0.3">
      <c r="A2198">
        <v>2197</v>
      </c>
      <c r="B2198" t="s">
        <v>2854</v>
      </c>
      <c r="C2198" s="3">
        <v>91708</v>
      </c>
      <c r="D2198" t="s">
        <v>666</v>
      </c>
      <c r="E2198">
        <v>47</v>
      </c>
      <c r="F2198" s="1">
        <v>45613</v>
      </c>
      <c r="G2198" s="1" t="str">
        <f>TEXT(Table1[[#This Row],[Enrollment date]], "mmm")</f>
        <v>Nov</v>
      </c>
      <c r="H2198" t="s">
        <v>360</v>
      </c>
      <c r="I2198" t="s">
        <v>660</v>
      </c>
      <c r="J2198" t="str">
        <f>_xlfn.XLOOKUP(Table1[[#This Row],[Course ]], CCF!B:B, CCF!A:A)</f>
        <v>DA202</v>
      </c>
      <c r="K2198" t="s">
        <v>363</v>
      </c>
      <c r="L2198">
        <f>_xlfn.XLOOKUP(K2198, CCF!B:B, CCF!C:C)</f>
        <v>79999</v>
      </c>
      <c r="M2198" t="s">
        <v>31</v>
      </c>
    </row>
    <row r="2199" spans="1:13" x14ac:dyDescent="0.3">
      <c r="A2199">
        <v>2198</v>
      </c>
      <c r="B2199" t="s">
        <v>2855</v>
      </c>
      <c r="C2199" s="3">
        <v>15154</v>
      </c>
      <c r="D2199" t="s">
        <v>666</v>
      </c>
      <c r="E2199">
        <v>74</v>
      </c>
      <c r="F2199" s="1">
        <v>45614</v>
      </c>
      <c r="G2199" s="1" t="str">
        <f>TEXT(Table1[[#This Row],[Enrollment date]], "mmm")</f>
        <v>Nov</v>
      </c>
      <c r="H2199" t="s">
        <v>361</v>
      </c>
      <c r="I2199" t="s">
        <v>661</v>
      </c>
      <c r="J2199" t="str">
        <f>_xlfn.XLOOKUP(Table1[[#This Row],[Course ]], CCF!B:B, CCF!A:A)</f>
        <v>DM101</v>
      </c>
      <c r="K2199" t="s">
        <v>365</v>
      </c>
      <c r="L2199">
        <f>_xlfn.XLOOKUP(K2199, CCF!B:B, CCF!C:C)</f>
        <v>85499</v>
      </c>
      <c r="M2199" t="s">
        <v>47</v>
      </c>
    </row>
    <row r="2200" spans="1:13" x14ac:dyDescent="0.3">
      <c r="A2200">
        <v>2199</v>
      </c>
      <c r="B2200" t="s">
        <v>2856</v>
      </c>
      <c r="C2200" s="3">
        <v>57344</v>
      </c>
      <c r="D2200" t="s">
        <v>666</v>
      </c>
      <c r="E2200">
        <v>25</v>
      </c>
      <c r="F2200" s="1">
        <v>45614</v>
      </c>
      <c r="G2200" s="1" t="str">
        <f>TEXT(Table1[[#This Row],[Enrollment date]], "mmm")</f>
        <v>Nov</v>
      </c>
      <c r="H2200" t="s">
        <v>360</v>
      </c>
      <c r="I2200" t="s">
        <v>660</v>
      </c>
      <c r="J2200" t="str">
        <f>_xlfn.XLOOKUP(Table1[[#This Row],[Course ]], CCF!B:B, CCF!A:A)</f>
        <v>DA202</v>
      </c>
      <c r="K2200" t="s">
        <v>363</v>
      </c>
      <c r="L2200">
        <f>_xlfn.XLOOKUP(K2200, CCF!B:B, CCF!C:C)</f>
        <v>79999</v>
      </c>
      <c r="M2200" t="s">
        <v>73</v>
      </c>
    </row>
    <row r="2201" spans="1:13" x14ac:dyDescent="0.3">
      <c r="A2201">
        <v>2200</v>
      </c>
      <c r="B2201" t="s">
        <v>2857</v>
      </c>
      <c r="C2201" s="3">
        <v>46839</v>
      </c>
      <c r="D2201" t="s">
        <v>666</v>
      </c>
      <c r="E2201">
        <v>39</v>
      </c>
      <c r="F2201" s="1">
        <v>45614</v>
      </c>
      <c r="G2201" s="1" t="str">
        <f>TEXT(Table1[[#This Row],[Enrollment date]], "mmm")</f>
        <v>Nov</v>
      </c>
      <c r="H2201" t="s">
        <v>360</v>
      </c>
      <c r="I2201" t="s">
        <v>663</v>
      </c>
      <c r="J2201" t="str">
        <f>_xlfn.XLOOKUP(Table1[[#This Row],[Course ]], CCF!B:B, CCF!A:A)</f>
        <v>DM101</v>
      </c>
      <c r="K2201" t="s">
        <v>365</v>
      </c>
      <c r="L2201">
        <f>_xlfn.XLOOKUP(K2201, CCF!B:B, CCF!C:C)</f>
        <v>85499</v>
      </c>
      <c r="M2201" t="s">
        <v>627</v>
      </c>
    </row>
    <row r="2202" spans="1:13" x14ac:dyDescent="0.3">
      <c r="A2202">
        <v>2201</v>
      </c>
      <c r="B2202" t="s">
        <v>2858</v>
      </c>
      <c r="C2202" s="3">
        <v>13326</v>
      </c>
      <c r="D2202" t="s">
        <v>666</v>
      </c>
      <c r="E2202">
        <v>71</v>
      </c>
      <c r="F2202" s="1">
        <v>45614</v>
      </c>
      <c r="G2202" s="1" t="str">
        <f>TEXT(Table1[[#This Row],[Enrollment date]], "mmm")</f>
        <v>Nov</v>
      </c>
      <c r="H2202" t="s">
        <v>360</v>
      </c>
      <c r="I2202" t="s">
        <v>661</v>
      </c>
      <c r="J2202" t="str">
        <f>_xlfn.XLOOKUP(Table1[[#This Row],[Course ]], CCF!B:B, CCF!A:A)</f>
        <v>DM101</v>
      </c>
      <c r="K2202" t="s">
        <v>365</v>
      </c>
      <c r="L2202">
        <f>_xlfn.XLOOKUP(K2202, CCF!B:B, CCF!C:C)</f>
        <v>85499</v>
      </c>
      <c r="M2202" t="s">
        <v>9</v>
      </c>
    </row>
    <row r="2203" spans="1:13" x14ac:dyDescent="0.3">
      <c r="A2203">
        <v>2202</v>
      </c>
      <c r="B2203" t="s">
        <v>2859</v>
      </c>
      <c r="C2203" s="3">
        <v>52153</v>
      </c>
      <c r="D2203" t="s">
        <v>667</v>
      </c>
      <c r="E2203">
        <v>19</v>
      </c>
      <c r="F2203" s="1">
        <v>45614</v>
      </c>
      <c r="G2203" s="1" t="str">
        <f>TEXT(Table1[[#This Row],[Enrollment date]], "mmm")</f>
        <v>Nov</v>
      </c>
      <c r="H2203" t="s">
        <v>360</v>
      </c>
      <c r="I2203" t="s">
        <v>660</v>
      </c>
      <c r="J2203" t="str">
        <f>_xlfn.XLOOKUP(Table1[[#This Row],[Course ]], CCF!B:B, CCF!A:A)</f>
        <v>DM101</v>
      </c>
      <c r="K2203" t="s">
        <v>365</v>
      </c>
      <c r="L2203">
        <f>_xlfn.XLOOKUP(K2203, CCF!B:B, CCF!C:C)</f>
        <v>85499</v>
      </c>
      <c r="M2203" t="s">
        <v>27</v>
      </c>
    </row>
    <row r="2204" spans="1:13" x14ac:dyDescent="0.3">
      <c r="A2204">
        <v>2203</v>
      </c>
      <c r="B2204" t="s">
        <v>2860</v>
      </c>
      <c r="C2204" s="3">
        <v>94472</v>
      </c>
      <c r="D2204" t="s">
        <v>666</v>
      </c>
      <c r="E2204">
        <v>29</v>
      </c>
      <c r="F2204" s="1">
        <v>45614</v>
      </c>
      <c r="G2204" s="1" t="str">
        <f>TEXT(Table1[[#This Row],[Enrollment date]], "mmm")</f>
        <v>Nov</v>
      </c>
      <c r="H2204" t="s">
        <v>360</v>
      </c>
      <c r="I2204" t="s">
        <v>660</v>
      </c>
      <c r="J2204" t="str">
        <f>_xlfn.XLOOKUP(Table1[[#This Row],[Course ]], CCF!B:B, CCF!A:A)</f>
        <v>DA202</v>
      </c>
      <c r="K2204" t="s">
        <v>363</v>
      </c>
      <c r="L2204">
        <f>_xlfn.XLOOKUP(K2204, CCF!B:B, CCF!C:C)</f>
        <v>79999</v>
      </c>
      <c r="M2204" t="s">
        <v>628</v>
      </c>
    </row>
    <row r="2205" spans="1:13" x14ac:dyDescent="0.3">
      <c r="A2205">
        <v>2204</v>
      </c>
      <c r="B2205" t="s">
        <v>2861</v>
      </c>
      <c r="C2205" s="3">
        <v>84392</v>
      </c>
      <c r="D2205" t="s">
        <v>666</v>
      </c>
      <c r="E2205">
        <v>18</v>
      </c>
      <c r="F2205" s="1">
        <v>45614</v>
      </c>
      <c r="G2205" s="1" t="str">
        <f>TEXT(Table1[[#This Row],[Enrollment date]], "mmm")</f>
        <v>Nov</v>
      </c>
      <c r="H2205" t="s">
        <v>360</v>
      </c>
      <c r="I2205" t="s">
        <v>659</v>
      </c>
      <c r="J2205" t="str">
        <f>_xlfn.XLOOKUP(Table1[[#This Row],[Course ]], CCF!B:B, CCF!A:A)</f>
        <v>DM101</v>
      </c>
      <c r="K2205" t="s">
        <v>365</v>
      </c>
      <c r="L2205">
        <f>_xlfn.XLOOKUP(K2205, CCF!B:B, CCF!C:C)</f>
        <v>85499</v>
      </c>
      <c r="M2205" t="s">
        <v>16</v>
      </c>
    </row>
    <row r="2206" spans="1:13" x14ac:dyDescent="0.3">
      <c r="A2206">
        <v>2205</v>
      </c>
      <c r="B2206" t="s">
        <v>2862</v>
      </c>
      <c r="C2206" s="3">
        <v>12146</v>
      </c>
      <c r="D2206" t="s">
        <v>666</v>
      </c>
      <c r="E2206">
        <v>24</v>
      </c>
      <c r="F2206" s="1">
        <v>45614</v>
      </c>
      <c r="G2206" s="1" t="str">
        <f>TEXT(Table1[[#This Row],[Enrollment date]], "mmm")</f>
        <v>Nov</v>
      </c>
      <c r="H2206" t="s">
        <v>360</v>
      </c>
      <c r="I2206" t="s">
        <v>660</v>
      </c>
      <c r="J2206" t="str">
        <f>_xlfn.XLOOKUP(Table1[[#This Row],[Course ]], CCF!B:B, CCF!A:A)</f>
        <v>DM101</v>
      </c>
      <c r="K2206" t="s">
        <v>365</v>
      </c>
      <c r="L2206">
        <f>_xlfn.XLOOKUP(K2206, CCF!B:B, CCF!C:C)</f>
        <v>85499</v>
      </c>
      <c r="M2206" t="s">
        <v>16</v>
      </c>
    </row>
    <row r="2207" spans="1:13" x14ac:dyDescent="0.3">
      <c r="A2207">
        <v>2206</v>
      </c>
      <c r="B2207" t="s">
        <v>2863</v>
      </c>
      <c r="C2207" s="3">
        <v>68232</v>
      </c>
      <c r="D2207" t="s">
        <v>667</v>
      </c>
      <c r="E2207">
        <v>30</v>
      </c>
      <c r="F2207" s="1">
        <v>45614</v>
      </c>
      <c r="G2207" s="1" t="str">
        <f>TEXT(Table1[[#This Row],[Enrollment date]], "mmm")</f>
        <v>Nov</v>
      </c>
      <c r="H2207" t="s">
        <v>360</v>
      </c>
      <c r="I2207" t="s">
        <v>661</v>
      </c>
      <c r="J2207" t="str">
        <f>_xlfn.XLOOKUP(Table1[[#This Row],[Course ]], CCF!B:B, CCF!A:A)</f>
        <v>DM101</v>
      </c>
      <c r="K2207" t="s">
        <v>365</v>
      </c>
      <c r="L2207">
        <f>_xlfn.XLOOKUP(K2207, CCF!B:B, CCF!C:C)</f>
        <v>85499</v>
      </c>
      <c r="M2207" t="s">
        <v>17</v>
      </c>
    </row>
    <row r="2208" spans="1:13" x14ac:dyDescent="0.3">
      <c r="A2208">
        <v>2207</v>
      </c>
      <c r="B2208" t="s">
        <v>2864</v>
      </c>
      <c r="C2208" s="3">
        <v>84057</v>
      </c>
      <c r="D2208" t="s">
        <v>667</v>
      </c>
      <c r="E2208">
        <v>38</v>
      </c>
      <c r="F2208" s="1">
        <v>45614</v>
      </c>
      <c r="G2208" s="1" t="str">
        <f>TEXT(Table1[[#This Row],[Enrollment date]], "mmm")</f>
        <v>Nov</v>
      </c>
      <c r="H2208" t="s">
        <v>360</v>
      </c>
      <c r="I2208" t="s">
        <v>663</v>
      </c>
      <c r="J2208" t="str">
        <f>_xlfn.XLOOKUP(Table1[[#This Row],[Course ]], CCF!B:B, CCF!A:A)</f>
        <v>DA202</v>
      </c>
      <c r="K2208" t="s">
        <v>363</v>
      </c>
      <c r="L2208">
        <f>_xlfn.XLOOKUP(K2208, CCF!B:B, CCF!C:C)</f>
        <v>79999</v>
      </c>
      <c r="M2208" t="s">
        <v>18</v>
      </c>
    </row>
    <row r="2209" spans="1:13" x14ac:dyDescent="0.3">
      <c r="A2209">
        <v>2208</v>
      </c>
      <c r="B2209" t="s">
        <v>2865</v>
      </c>
      <c r="C2209" s="3">
        <v>41268</v>
      </c>
      <c r="D2209" t="s">
        <v>666</v>
      </c>
      <c r="E2209">
        <v>38</v>
      </c>
      <c r="F2209" s="1">
        <v>45614</v>
      </c>
      <c r="G2209" s="1" t="str">
        <f>TEXT(Table1[[#This Row],[Enrollment date]], "mmm")</f>
        <v>Nov</v>
      </c>
      <c r="H2209" t="s">
        <v>360</v>
      </c>
      <c r="I2209" t="s">
        <v>661</v>
      </c>
      <c r="J2209" t="str">
        <f>_xlfn.XLOOKUP(Table1[[#This Row],[Course ]], CCF!B:B, CCF!A:A)</f>
        <v>DA202</v>
      </c>
      <c r="K2209" t="s">
        <v>363</v>
      </c>
      <c r="L2209">
        <f>_xlfn.XLOOKUP(K2209, CCF!B:B, CCF!C:C)</f>
        <v>79999</v>
      </c>
      <c r="M2209" t="s">
        <v>80</v>
      </c>
    </row>
    <row r="2210" spans="1:13" x14ac:dyDescent="0.3">
      <c r="A2210">
        <v>2209</v>
      </c>
      <c r="B2210" t="s">
        <v>2866</v>
      </c>
      <c r="C2210" s="3">
        <v>46278</v>
      </c>
      <c r="D2210" t="s">
        <v>666</v>
      </c>
      <c r="E2210">
        <v>41</v>
      </c>
      <c r="F2210" s="1">
        <v>45614</v>
      </c>
      <c r="G2210" s="1" t="str">
        <f>TEXT(Table1[[#This Row],[Enrollment date]], "mmm")</f>
        <v>Nov</v>
      </c>
      <c r="H2210" t="s">
        <v>360</v>
      </c>
      <c r="I2210" t="s">
        <v>660</v>
      </c>
      <c r="J2210" t="str">
        <f>_xlfn.XLOOKUP(Table1[[#This Row],[Course ]], CCF!B:B, CCF!A:A)</f>
        <v>DM101</v>
      </c>
      <c r="K2210" t="s">
        <v>365</v>
      </c>
      <c r="L2210">
        <f>_xlfn.XLOOKUP(K2210, CCF!B:B, CCF!C:C)</f>
        <v>85499</v>
      </c>
      <c r="M2210" t="s">
        <v>30</v>
      </c>
    </row>
    <row r="2211" spans="1:13" x14ac:dyDescent="0.3">
      <c r="A2211">
        <v>2210</v>
      </c>
      <c r="B2211" t="s">
        <v>2867</v>
      </c>
      <c r="C2211" s="3">
        <v>99135</v>
      </c>
      <c r="D2211" t="s">
        <v>667</v>
      </c>
      <c r="E2211">
        <v>20</v>
      </c>
      <c r="F2211" s="1">
        <v>45615</v>
      </c>
      <c r="G2211" s="1" t="str">
        <f>TEXT(Table1[[#This Row],[Enrollment date]], "mmm")</f>
        <v>Nov</v>
      </c>
      <c r="H2211" t="s">
        <v>360</v>
      </c>
      <c r="I2211" t="s">
        <v>661</v>
      </c>
      <c r="J2211" t="str">
        <f>_xlfn.XLOOKUP(Table1[[#This Row],[Course ]], CCF!B:B, CCF!A:A)</f>
        <v>BA301</v>
      </c>
      <c r="K2211" t="s">
        <v>364</v>
      </c>
      <c r="L2211">
        <f>_xlfn.XLOOKUP(K2211, CCF!B:B, CCF!C:C)</f>
        <v>59999</v>
      </c>
      <c r="M2211" t="s">
        <v>141</v>
      </c>
    </row>
    <row r="2212" spans="1:13" x14ac:dyDescent="0.3">
      <c r="A2212">
        <v>2211</v>
      </c>
      <c r="B2212" t="s">
        <v>2868</v>
      </c>
      <c r="C2212" s="3">
        <v>10610</v>
      </c>
      <c r="D2212" t="s">
        <v>666</v>
      </c>
      <c r="E2212">
        <v>29</v>
      </c>
      <c r="F2212" s="1">
        <v>45615</v>
      </c>
      <c r="G2212" s="1" t="str">
        <f>TEXT(Table1[[#This Row],[Enrollment date]], "mmm")</f>
        <v>Nov</v>
      </c>
      <c r="H2212" t="s">
        <v>360</v>
      </c>
      <c r="I2212" t="s">
        <v>661</v>
      </c>
      <c r="J2212" t="str">
        <f>_xlfn.XLOOKUP(Table1[[#This Row],[Course ]], CCF!B:B, CCF!A:A)</f>
        <v>DM101</v>
      </c>
      <c r="K2212" t="s">
        <v>365</v>
      </c>
      <c r="L2212">
        <f>_xlfn.XLOOKUP(K2212, CCF!B:B, CCF!C:C)</f>
        <v>85499</v>
      </c>
      <c r="M2212" t="s">
        <v>165</v>
      </c>
    </row>
    <row r="2213" spans="1:13" x14ac:dyDescent="0.3">
      <c r="A2213">
        <v>2212</v>
      </c>
      <c r="B2213" t="s">
        <v>2869</v>
      </c>
      <c r="C2213" s="3">
        <v>18539</v>
      </c>
      <c r="D2213" t="s">
        <v>667</v>
      </c>
      <c r="E2213">
        <v>27</v>
      </c>
      <c r="F2213" s="1">
        <v>45615</v>
      </c>
      <c r="G2213" s="1" t="str">
        <f>TEXT(Table1[[#This Row],[Enrollment date]], "mmm")</f>
        <v>Nov</v>
      </c>
      <c r="H2213" t="s">
        <v>360</v>
      </c>
      <c r="I2213" t="s">
        <v>664</v>
      </c>
      <c r="J2213" t="str">
        <f>_xlfn.XLOOKUP(Table1[[#This Row],[Course ]], CCF!B:B, CCF!A:A)</f>
        <v>DM101</v>
      </c>
      <c r="K2213" t="s">
        <v>365</v>
      </c>
      <c r="L2213">
        <f>_xlfn.XLOOKUP(K2213, CCF!B:B, CCF!C:C)</f>
        <v>85499</v>
      </c>
      <c r="M2213" t="s">
        <v>629</v>
      </c>
    </row>
    <row r="2214" spans="1:13" x14ac:dyDescent="0.3">
      <c r="A2214">
        <v>2213</v>
      </c>
      <c r="B2214" t="s">
        <v>2870</v>
      </c>
      <c r="C2214" s="3">
        <v>59110</v>
      </c>
      <c r="D2214" t="s">
        <v>666</v>
      </c>
      <c r="E2214">
        <v>29</v>
      </c>
      <c r="F2214" s="1">
        <v>45615</v>
      </c>
      <c r="G2214" s="1" t="str">
        <f>TEXT(Table1[[#This Row],[Enrollment date]], "mmm")</f>
        <v>Nov</v>
      </c>
      <c r="H2214" t="s">
        <v>360</v>
      </c>
      <c r="I2214" t="s">
        <v>663</v>
      </c>
      <c r="J2214" t="str">
        <f>_xlfn.XLOOKUP(Table1[[#This Row],[Course ]], CCF!B:B, CCF!A:A)</f>
        <v>BA301</v>
      </c>
      <c r="K2214" t="s">
        <v>364</v>
      </c>
      <c r="L2214">
        <f>_xlfn.XLOOKUP(K2214, CCF!B:B, CCF!C:C)</f>
        <v>59999</v>
      </c>
      <c r="M2214" t="s">
        <v>9</v>
      </c>
    </row>
    <row r="2215" spans="1:13" x14ac:dyDescent="0.3">
      <c r="A2215">
        <v>2214</v>
      </c>
      <c r="B2215" t="s">
        <v>2871</v>
      </c>
      <c r="C2215" s="3">
        <v>74055</v>
      </c>
      <c r="D2215" t="s">
        <v>667</v>
      </c>
      <c r="E2215">
        <v>23</v>
      </c>
      <c r="F2215" s="1">
        <v>45615</v>
      </c>
      <c r="G2215" s="1" t="str">
        <f>TEXT(Table1[[#This Row],[Enrollment date]], "mmm")</f>
        <v>Nov</v>
      </c>
      <c r="H2215" t="s">
        <v>360</v>
      </c>
      <c r="I2215" t="s">
        <v>659</v>
      </c>
      <c r="J2215" t="str">
        <f>_xlfn.XLOOKUP(Table1[[#This Row],[Course ]], CCF!B:B, CCF!A:A)</f>
        <v>DM101</v>
      </c>
      <c r="K2215" t="s">
        <v>365</v>
      </c>
      <c r="L2215">
        <f>_xlfn.XLOOKUP(K2215, CCF!B:B, CCF!C:C)</f>
        <v>85499</v>
      </c>
      <c r="M2215" t="s">
        <v>27</v>
      </c>
    </row>
    <row r="2216" spans="1:13" x14ac:dyDescent="0.3">
      <c r="A2216">
        <v>2215</v>
      </c>
      <c r="B2216" t="s">
        <v>2872</v>
      </c>
      <c r="C2216" s="3">
        <v>13607</v>
      </c>
      <c r="D2216" t="s">
        <v>667</v>
      </c>
      <c r="E2216">
        <v>72</v>
      </c>
      <c r="F2216" s="1">
        <v>45615</v>
      </c>
      <c r="G2216" s="1" t="str">
        <f>TEXT(Table1[[#This Row],[Enrollment date]], "mmm")</f>
        <v>Nov</v>
      </c>
      <c r="H2216" t="s">
        <v>360</v>
      </c>
      <c r="I2216" t="s">
        <v>665</v>
      </c>
      <c r="J2216" t="str">
        <f>_xlfn.XLOOKUP(Table1[[#This Row],[Course ]], CCF!B:B, CCF!A:A)</f>
        <v>UX401</v>
      </c>
      <c r="K2216" t="s">
        <v>367</v>
      </c>
      <c r="L2216">
        <f>_xlfn.XLOOKUP(K2216, CCF!B:B, CCF!C:C)</f>
        <v>67990</v>
      </c>
      <c r="M2216" t="s">
        <v>243</v>
      </c>
    </row>
    <row r="2217" spans="1:13" x14ac:dyDescent="0.3">
      <c r="A2217">
        <v>2216</v>
      </c>
      <c r="B2217" t="s">
        <v>2873</v>
      </c>
      <c r="C2217" s="3">
        <v>93508</v>
      </c>
      <c r="D2217" t="s">
        <v>666</v>
      </c>
      <c r="E2217">
        <v>48</v>
      </c>
      <c r="F2217" s="1">
        <v>45616</v>
      </c>
      <c r="G2217" s="1" t="str">
        <f>TEXT(Table1[[#This Row],[Enrollment date]], "mmm")</f>
        <v>Nov</v>
      </c>
      <c r="H2217" t="s">
        <v>360</v>
      </c>
      <c r="I2217" t="s">
        <v>660</v>
      </c>
      <c r="J2217" t="str">
        <f>_xlfn.XLOOKUP(Table1[[#This Row],[Course ]], CCF!B:B, CCF!A:A)</f>
        <v>DM101</v>
      </c>
      <c r="K2217" t="s">
        <v>365</v>
      </c>
      <c r="L2217">
        <f>_xlfn.XLOOKUP(K2217, CCF!B:B, CCF!C:C)</f>
        <v>85499</v>
      </c>
      <c r="M2217" t="s">
        <v>47</v>
      </c>
    </row>
    <row r="2218" spans="1:13" x14ac:dyDescent="0.3">
      <c r="A2218">
        <v>2217</v>
      </c>
      <c r="B2218" t="s">
        <v>2874</v>
      </c>
      <c r="C2218" s="3">
        <v>62218</v>
      </c>
      <c r="D2218" t="s">
        <v>667</v>
      </c>
      <c r="E2218">
        <v>20</v>
      </c>
      <c r="F2218" s="1">
        <v>45616</v>
      </c>
      <c r="G2218" s="1" t="str">
        <f>TEXT(Table1[[#This Row],[Enrollment date]], "mmm")</f>
        <v>Nov</v>
      </c>
      <c r="H2218" t="s">
        <v>3</v>
      </c>
      <c r="I2218" t="s">
        <v>660</v>
      </c>
      <c r="J2218" t="str">
        <f>_xlfn.XLOOKUP(Table1[[#This Row],[Course ]], CCF!B:B, CCF!A:A)</f>
        <v>BA301</v>
      </c>
      <c r="K2218" t="s">
        <v>364</v>
      </c>
      <c r="L2218">
        <f>_xlfn.XLOOKUP(K2218, CCF!B:B, CCF!C:C)</f>
        <v>59999</v>
      </c>
      <c r="M2218" t="s">
        <v>18</v>
      </c>
    </row>
    <row r="2219" spans="1:13" x14ac:dyDescent="0.3">
      <c r="A2219">
        <v>2218</v>
      </c>
      <c r="B2219" t="s">
        <v>2875</v>
      </c>
      <c r="C2219" s="3">
        <v>79081</v>
      </c>
      <c r="D2219" t="s">
        <v>667</v>
      </c>
      <c r="E2219">
        <v>35</v>
      </c>
      <c r="F2219" s="1">
        <v>45616</v>
      </c>
      <c r="G2219" s="1" t="str">
        <f>TEXT(Table1[[#This Row],[Enrollment date]], "mmm")</f>
        <v>Nov</v>
      </c>
      <c r="H2219" t="s">
        <v>360</v>
      </c>
      <c r="I2219" t="s">
        <v>661</v>
      </c>
      <c r="J2219" t="str">
        <f>_xlfn.XLOOKUP(Table1[[#This Row],[Course ]], CCF!B:B, CCF!A:A)</f>
        <v>BA301</v>
      </c>
      <c r="K2219" t="s">
        <v>364</v>
      </c>
      <c r="L2219">
        <f>_xlfn.XLOOKUP(K2219, CCF!B:B, CCF!C:C)</f>
        <v>59999</v>
      </c>
      <c r="M2219" t="s">
        <v>60</v>
      </c>
    </row>
    <row r="2220" spans="1:13" x14ac:dyDescent="0.3">
      <c r="A2220">
        <v>2219</v>
      </c>
      <c r="B2220" t="s">
        <v>2876</v>
      </c>
      <c r="C2220" s="3">
        <v>43835</v>
      </c>
      <c r="D2220" t="s">
        <v>666</v>
      </c>
      <c r="E2220">
        <v>40</v>
      </c>
      <c r="F2220" s="1">
        <v>45616</v>
      </c>
      <c r="G2220" s="1" t="str">
        <f>TEXT(Table1[[#This Row],[Enrollment date]], "mmm")</f>
        <v>Nov</v>
      </c>
      <c r="H2220" t="s">
        <v>360</v>
      </c>
      <c r="I2220" t="s">
        <v>660</v>
      </c>
      <c r="J2220" t="str">
        <f>_xlfn.XLOOKUP(Table1[[#This Row],[Course ]], CCF!B:B, CCF!A:A)</f>
        <v>DM101</v>
      </c>
      <c r="K2220" t="s">
        <v>365</v>
      </c>
      <c r="L2220">
        <f>_xlfn.XLOOKUP(K2220, CCF!B:B, CCF!C:C)</f>
        <v>85499</v>
      </c>
      <c r="M2220" t="s">
        <v>53</v>
      </c>
    </row>
    <row r="2221" spans="1:13" x14ac:dyDescent="0.3">
      <c r="A2221">
        <v>2220</v>
      </c>
      <c r="B2221" t="s">
        <v>2877</v>
      </c>
      <c r="C2221" s="3">
        <v>22161</v>
      </c>
      <c r="D2221" t="s">
        <v>666</v>
      </c>
      <c r="E2221">
        <v>29</v>
      </c>
      <c r="F2221" s="1">
        <v>45616</v>
      </c>
      <c r="G2221" s="1" t="str">
        <f>TEXT(Table1[[#This Row],[Enrollment date]], "mmm")</f>
        <v>Nov</v>
      </c>
      <c r="H2221" t="s">
        <v>360</v>
      </c>
      <c r="I2221" t="s">
        <v>664</v>
      </c>
      <c r="J2221" t="str">
        <f>_xlfn.XLOOKUP(Table1[[#This Row],[Course ]], CCF!B:B, CCF!A:A)</f>
        <v>AI001</v>
      </c>
      <c r="K2221" t="s">
        <v>368</v>
      </c>
      <c r="L2221">
        <f>_xlfn.XLOOKUP(K2221, CCF!B:B, CCF!C:C)</f>
        <v>119990</v>
      </c>
      <c r="M2221" t="s">
        <v>623</v>
      </c>
    </row>
    <row r="2222" spans="1:13" x14ac:dyDescent="0.3">
      <c r="A2222">
        <v>2221</v>
      </c>
      <c r="B2222" t="s">
        <v>2878</v>
      </c>
      <c r="C2222" s="3">
        <v>28940</v>
      </c>
      <c r="D2222" t="s">
        <v>666</v>
      </c>
      <c r="E2222">
        <v>24</v>
      </c>
      <c r="F2222" s="1">
        <v>45617</v>
      </c>
      <c r="G2222" s="1" t="str">
        <f>TEXT(Table1[[#This Row],[Enrollment date]], "mmm")</f>
        <v>Nov</v>
      </c>
      <c r="H2222" t="s">
        <v>360</v>
      </c>
      <c r="I2222" t="s">
        <v>659</v>
      </c>
      <c r="J2222" t="str">
        <f>_xlfn.XLOOKUP(Table1[[#This Row],[Course ]], CCF!B:B, CCF!A:A)</f>
        <v>UX401</v>
      </c>
      <c r="K2222" t="s">
        <v>367</v>
      </c>
      <c r="L2222">
        <f>_xlfn.XLOOKUP(K2222, CCF!B:B, CCF!C:C)</f>
        <v>67990</v>
      </c>
      <c r="M2222" t="s">
        <v>17</v>
      </c>
    </row>
    <row r="2223" spans="1:13" x14ac:dyDescent="0.3">
      <c r="A2223">
        <v>2222</v>
      </c>
      <c r="B2223" t="s">
        <v>2879</v>
      </c>
      <c r="C2223" s="3">
        <v>86641</v>
      </c>
      <c r="D2223" t="s">
        <v>666</v>
      </c>
      <c r="E2223">
        <v>54</v>
      </c>
      <c r="F2223" s="1">
        <v>45617</v>
      </c>
      <c r="G2223" s="1" t="str">
        <f>TEXT(Table1[[#This Row],[Enrollment date]], "mmm")</f>
        <v>Nov</v>
      </c>
      <c r="H2223" t="s">
        <v>360</v>
      </c>
      <c r="I2223" t="s">
        <v>665</v>
      </c>
      <c r="J2223" t="str">
        <f>_xlfn.XLOOKUP(Table1[[#This Row],[Course ]], CCF!B:B, CCF!A:A)</f>
        <v>DM101</v>
      </c>
      <c r="K2223" t="s">
        <v>365</v>
      </c>
      <c r="L2223">
        <f>_xlfn.XLOOKUP(K2223, CCF!B:B, CCF!C:C)</f>
        <v>85499</v>
      </c>
      <c r="M2223" t="s">
        <v>17</v>
      </c>
    </row>
    <row r="2224" spans="1:13" x14ac:dyDescent="0.3">
      <c r="A2224">
        <v>2223</v>
      </c>
      <c r="B2224" t="s">
        <v>2880</v>
      </c>
      <c r="C2224" s="3">
        <v>89766</v>
      </c>
      <c r="D2224" t="s">
        <v>666</v>
      </c>
      <c r="E2224">
        <v>45</v>
      </c>
      <c r="F2224" s="1">
        <v>45617</v>
      </c>
      <c r="G2224" s="1" t="str">
        <f>TEXT(Table1[[#This Row],[Enrollment date]], "mmm")</f>
        <v>Nov</v>
      </c>
      <c r="H2224" t="s">
        <v>360</v>
      </c>
      <c r="I2224" t="s">
        <v>660</v>
      </c>
      <c r="J2224" t="str">
        <f>_xlfn.XLOOKUP(Table1[[#This Row],[Course ]], CCF!B:B, CCF!A:A)</f>
        <v>DM101</v>
      </c>
      <c r="K2224" t="s">
        <v>365</v>
      </c>
      <c r="L2224">
        <f>_xlfn.XLOOKUP(K2224, CCF!B:B, CCF!C:C)</f>
        <v>85499</v>
      </c>
      <c r="M2224" t="s">
        <v>83</v>
      </c>
    </row>
    <row r="2225" spans="1:13" x14ac:dyDescent="0.3">
      <c r="A2225">
        <v>2224</v>
      </c>
      <c r="B2225" t="s">
        <v>2881</v>
      </c>
      <c r="C2225" s="3">
        <v>67639</v>
      </c>
      <c r="D2225" t="s">
        <v>666</v>
      </c>
      <c r="E2225">
        <v>48</v>
      </c>
      <c r="F2225" s="1">
        <v>45617</v>
      </c>
      <c r="G2225" s="1" t="str">
        <f>TEXT(Table1[[#This Row],[Enrollment date]], "mmm")</f>
        <v>Nov</v>
      </c>
      <c r="H2225" t="s">
        <v>360</v>
      </c>
      <c r="I2225" t="s">
        <v>659</v>
      </c>
      <c r="J2225" t="str">
        <f>_xlfn.XLOOKUP(Table1[[#This Row],[Course ]], CCF!B:B, CCF!A:A)</f>
        <v>DA202</v>
      </c>
      <c r="K2225" t="s">
        <v>363</v>
      </c>
      <c r="L2225">
        <f>_xlfn.XLOOKUP(K2225, CCF!B:B, CCF!C:C)</f>
        <v>79999</v>
      </c>
      <c r="M2225" t="s">
        <v>27</v>
      </c>
    </row>
    <row r="2226" spans="1:13" x14ac:dyDescent="0.3">
      <c r="A2226">
        <v>2225</v>
      </c>
      <c r="B2226" t="s">
        <v>2882</v>
      </c>
      <c r="C2226" s="3">
        <v>52448</v>
      </c>
      <c r="D2226" t="s">
        <v>666</v>
      </c>
      <c r="E2226">
        <v>30</v>
      </c>
      <c r="F2226" s="1">
        <v>45617</v>
      </c>
      <c r="G2226" s="1" t="str">
        <f>TEXT(Table1[[#This Row],[Enrollment date]], "mmm")</f>
        <v>Nov</v>
      </c>
      <c r="H2226" t="s">
        <v>360</v>
      </c>
      <c r="I2226" t="s">
        <v>660</v>
      </c>
      <c r="J2226" t="str">
        <f>_xlfn.XLOOKUP(Table1[[#This Row],[Course ]], CCF!B:B, CCF!A:A)</f>
        <v>DM101</v>
      </c>
      <c r="K2226" t="s">
        <v>365</v>
      </c>
      <c r="L2226">
        <f>_xlfn.XLOOKUP(K2226, CCF!B:B, CCF!C:C)</f>
        <v>85499</v>
      </c>
      <c r="M2226" t="s">
        <v>116</v>
      </c>
    </row>
    <row r="2227" spans="1:13" x14ac:dyDescent="0.3">
      <c r="A2227">
        <v>2226</v>
      </c>
      <c r="B2227" t="s">
        <v>2883</v>
      </c>
      <c r="C2227" s="3">
        <v>62791</v>
      </c>
      <c r="D2227" t="s">
        <v>666</v>
      </c>
      <c r="E2227">
        <v>65</v>
      </c>
      <c r="F2227" s="1">
        <v>45617</v>
      </c>
      <c r="G2227" s="1" t="str">
        <f>TEXT(Table1[[#This Row],[Enrollment date]], "mmm")</f>
        <v>Nov</v>
      </c>
      <c r="H2227" t="s">
        <v>360</v>
      </c>
      <c r="I2227" t="s">
        <v>660</v>
      </c>
      <c r="J2227" t="str">
        <f>_xlfn.XLOOKUP(Table1[[#This Row],[Course ]], CCF!B:B, CCF!A:A)</f>
        <v>DA202</v>
      </c>
      <c r="K2227" t="s">
        <v>363</v>
      </c>
      <c r="L2227">
        <f>_xlfn.XLOOKUP(K2227, CCF!B:B, CCF!C:C)</f>
        <v>79999</v>
      </c>
      <c r="M2227" t="s">
        <v>27</v>
      </c>
    </row>
    <row r="2228" spans="1:13" x14ac:dyDescent="0.3">
      <c r="A2228">
        <v>2227</v>
      </c>
      <c r="B2228" t="s">
        <v>2884</v>
      </c>
      <c r="C2228" s="3">
        <v>31122</v>
      </c>
      <c r="D2228" t="s">
        <v>666</v>
      </c>
      <c r="E2228">
        <v>48</v>
      </c>
      <c r="F2228" s="1">
        <v>45617</v>
      </c>
      <c r="G2228" s="1" t="str">
        <f>TEXT(Table1[[#This Row],[Enrollment date]], "mmm")</f>
        <v>Nov</v>
      </c>
      <c r="H2228" t="s">
        <v>360</v>
      </c>
      <c r="I2228" t="s">
        <v>659</v>
      </c>
      <c r="J2228" t="str">
        <f>_xlfn.XLOOKUP(Table1[[#This Row],[Course ]], CCF!B:B, CCF!A:A)</f>
        <v>DA202</v>
      </c>
      <c r="K2228" t="s">
        <v>363</v>
      </c>
      <c r="L2228">
        <f>_xlfn.XLOOKUP(K2228, CCF!B:B, CCF!C:C)</f>
        <v>79999</v>
      </c>
      <c r="M2228" t="s">
        <v>145</v>
      </c>
    </row>
    <row r="2229" spans="1:13" x14ac:dyDescent="0.3">
      <c r="A2229">
        <v>2228</v>
      </c>
      <c r="B2229" t="s">
        <v>2885</v>
      </c>
      <c r="C2229" s="3">
        <v>96764</v>
      </c>
      <c r="D2229" t="s">
        <v>666</v>
      </c>
      <c r="E2229">
        <v>33</v>
      </c>
      <c r="F2229" s="1">
        <v>45617</v>
      </c>
      <c r="G2229" s="1" t="str">
        <f>TEXT(Table1[[#This Row],[Enrollment date]], "mmm")</f>
        <v>Nov</v>
      </c>
      <c r="H2229" t="s">
        <v>360</v>
      </c>
      <c r="I2229" t="s">
        <v>660</v>
      </c>
      <c r="J2229" t="str">
        <f>_xlfn.XLOOKUP(Table1[[#This Row],[Course ]], CCF!B:B, CCF!A:A)</f>
        <v>DA202</v>
      </c>
      <c r="K2229" t="s">
        <v>363</v>
      </c>
      <c r="L2229">
        <f>_xlfn.XLOOKUP(K2229, CCF!B:B, CCF!C:C)</f>
        <v>79999</v>
      </c>
      <c r="M2229" t="s">
        <v>170</v>
      </c>
    </row>
    <row r="2230" spans="1:13" x14ac:dyDescent="0.3">
      <c r="A2230">
        <v>2229</v>
      </c>
      <c r="B2230" t="s">
        <v>2886</v>
      </c>
      <c r="C2230" s="3">
        <v>82541</v>
      </c>
      <c r="D2230" t="s">
        <v>666</v>
      </c>
      <c r="E2230">
        <v>31</v>
      </c>
      <c r="F2230" s="1">
        <v>45617</v>
      </c>
      <c r="G2230" s="1" t="str">
        <f>TEXT(Table1[[#This Row],[Enrollment date]], "mmm")</f>
        <v>Nov</v>
      </c>
      <c r="H2230" t="s">
        <v>360</v>
      </c>
      <c r="I2230" t="s">
        <v>660</v>
      </c>
      <c r="J2230" t="str">
        <f>_xlfn.XLOOKUP(Table1[[#This Row],[Course ]], CCF!B:B, CCF!A:A)</f>
        <v>DM101</v>
      </c>
      <c r="K2230" t="s">
        <v>365</v>
      </c>
      <c r="L2230">
        <f>_xlfn.XLOOKUP(K2230, CCF!B:B, CCF!C:C)</f>
        <v>85499</v>
      </c>
      <c r="M2230" t="s">
        <v>16</v>
      </c>
    </row>
    <row r="2231" spans="1:13" x14ac:dyDescent="0.3">
      <c r="A2231">
        <v>2230</v>
      </c>
      <c r="B2231" t="s">
        <v>2887</v>
      </c>
      <c r="C2231" s="3">
        <v>90217</v>
      </c>
      <c r="D2231" t="s">
        <v>667</v>
      </c>
      <c r="E2231">
        <v>75</v>
      </c>
      <c r="F2231" s="1">
        <v>45617</v>
      </c>
      <c r="G2231" s="1" t="str">
        <f>TEXT(Table1[[#This Row],[Enrollment date]], "mmm")</f>
        <v>Nov</v>
      </c>
      <c r="H2231" t="s">
        <v>360</v>
      </c>
      <c r="I2231" t="s">
        <v>661</v>
      </c>
      <c r="J2231" t="str">
        <f>_xlfn.XLOOKUP(Table1[[#This Row],[Course ]], CCF!B:B, CCF!A:A)</f>
        <v>DA202</v>
      </c>
      <c r="K2231" t="s">
        <v>363</v>
      </c>
      <c r="L2231">
        <f>_xlfn.XLOOKUP(K2231, CCF!B:B, CCF!C:C)</f>
        <v>79999</v>
      </c>
      <c r="M2231" t="s">
        <v>9</v>
      </c>
    </row>
    <row r="2232" spans="1:13" x14ac:dyDescent="0.3">
      <c r="A2232">
        <v>2231</v>
      </c>
      <c r="B2232" t="s">
        <v>2888</v>
      </c>
      <c r="C2232" s="3">
        <v>74552</v>
      </c>
      <c r="D2232" t="s">
        <v>667</v>
      </c>
      <c r="E2232">
        <v>48</v>
      </c>
      <c r="F2232" s="1">
        <v>45617</v>
      </c>
      <c r="G2232" s="1" t="str">
        <f>TEXT(Table1[[#This Row],[Enrollment date]], "mmm")</f>
        <v>Nov</v>
      </c>
      <c r="H2232" t="s">
        <v>360</v>
      </c>
      <c r="I2232" t="s">
        <v>661</v>
      </c>
      <c r="J2232" t="str">
        <f>_xlfn.XLOOKUP(Table1[[#This Row],[Course ]], CCF!B:B, CCF!A:A)</f>
        <v>BA301</v>
      </c>
      <c r="K2232" t="s">
        <v>364</v>
      </c>
      <c r="L2232">
        <f>_xlfn.XLOOKUP(K2232, CCF!B:B, CCF!C:C)</f>
        <v>59999</v>
      </c>
      <c r="M2232" t="s">
        <v>30</v>
      </c>
    </row>
    <row r="2233" spans="1:13" x14ac:dyDescent="0.3">
      <c r="A2233">
        <v>2232</v>
      </c>
      <c r="B2233" t="s">
        <v>2889</v>
      </c>
      <c r="C2233" s="3">
        <v>70710</v>
      </c>
      <c r="D2233" t="s">
        <v>666</v>
      </c>
      <c r="E2233">
        <v>45</v>
      </c>
      <c r="F2233" s="1">
        <v>45618</v>
      </c>
      <c r="G2233" s="1" t="str">
        <f>TEXT(Table1[[#This Row],[Enrollment date]], "mmm")</f>
        <v>Nov</v>
      </c>
      <c r="H2233" t="s">
        <v>360</v>
      </c>
      <c r="I2233" t="s">
        <v>665</v>
      </c>
      <c r="J2233" t="str">
        <f>_xlfn.XLOOKUP(Table1[[#This Row],[Course ]], CCF!B:B, CCF!A:A)</f>
        <v>DM101</v>
      </c>
      <c r="K2233" t="s">
        <v>365</v>
      </c>
      <c r="L2233">
        <f>_xlfn.XLOOKUP(K2233, CCF!B:B, CCF!C:C)</f>
        <v>85499</v>
      </c>
      <c r="M2233" t="s">
        <v>170</v>
      </c>
    </row>
    <row r="2234" spans="1:13" x14ac:dyDescent="0.3">
      <c r="A2234">
        <v>2233</v>
      </c>
      <c r="B2234" t="s">
        <v>2890</v>
      </c>
      <c r="C2234" s="3">
        <v>66981</v>
      </c>
      <c r="D2234" t="s">
        <v>666</v>
      </c>
      <c r="E2234">
        <v>33</v>
      </c>
      <c r="F2234" s="1">
        <v>45618</v>
      </c>
      <c r="G2234" s="1" t="str">
        <f>TEXT(Table1[[#This Row],[Enrollment date]], "mmm")</f>
        <v>Nov</v>
      </c>
      <c r="H2234" t="s">
        <v>360</v>
      </c>
      <c r="I2234" t="s">
        <v>662</v>
      </c>
      <c r="J2234" t="str">
        <f>_xlfn.XLOOKUP(Table1[[#This Row],[Course ]], CCF!B:B, CCF!A:A)</f>
        <v>DA202</v>
      </c>
      <c r="K2234" t="s">
        <v>363</v>
      </c>
      <c r="L2234">
        <f>_xlfn.XLOOKUP(K2234, CCF!B:B, CCF!C:C)</f>
        <v>79999</v>
      </c>
      <c r="M2234" t="s">
        <v>17</v>
      </c>
    </row>
    <row r="2235" spans="1:13" x14ac:dyDescent="0.3">
      <c r="A2235">
        <v>2234</v>
      </c>
      <c r="B2235" t="s">
        <v>2891</v>
      </c>
      <c r="C2235" s="3">
        <v>54803</v>
      </c>
      <c r="D2235" t="s">
        <v>666</v>
      </c>
      <c r="E2235">
        <v>32</v>
      </c>
      <c r="F2235" s="1">
        <v>45618</v>
      </c>
      <c r="G2235" s="1" t="str">
        <f>TEXT(Table1[[#This Row],[Enrollment date]], "mmm")</f>
        <v>Nov</v>
      </c>
      <c r="H2235" t="s">
        <v>360</v>
      </c>
      <c r="I2235" t="s">
        <v>660</v>
      </c>
      <c r="J2235" t="str">
        <f>_xlfn.XLOOKUP(Table1[[#This Row],[Course ]], CCF!B:B, CCF!A:A)</f>
        <v>DM101</v>
      </c>
      <c r="K2235" t="s">
        <v>365</v>
      </c>
      <c r="L2235">
        <f>_xlfn.XLOOKUP(K2235, CCF!B:B, CCF!C:C)</f>
        <v>85499</v>
      </c>
      <c r="M2235" t="s">
        <v>630</v>
      </c>
    </row>
    <row r="2236" spans="1:13" x14ac:dyDescent="0.3">
      <c r="A2236">
        <v>2235</v>
      </c>
      <c r="B2236" t="s">
        <v>2892</v>
      </c>
      <c r="C2236" s="3">
        <v>38751</v>
      </c>
      <c r="D2236" t="s">
        <v>666</v>
      </c>
      <c r="E2236">
        <v>68</v>
      </c>
      <c r="F2236" s="1">
        <v>45618</v>
      </c>
      <c r="G2236" s="1" t="str">
        <f>TEXT(Table1[[#This Row],[Enrollment date]], "mmm")</f>
        <v>Nov</v>
      </c>
      <c r="H2236" t="s">
        <v>360</v>
      </c>
      <c r="I2236" t="s">
        <v>660</v>
      </c>
      <c r="J2236" t="str">
        <f>_xlfn.XLOOKUP(Table1[[#This Row],[Course ]], CCF!B:B, CCF!A:A)</f>
        <v>DA202</v>
      </c>
      <c r="K2236" t="s">
        <v>363</v>
      </c>
      <c r="L2236">
        <f>_xlfn.XLOOKUP(K2236, CCF!B:B, CCF!C:C)</f>
        <v>79999</v>
      </c>
      <c r="M2236" t="s">
        <v>187</v>
      </c>
    </row>
    <row r="2237" spans="1:13" x14ac:dyDescent="0.3">
      <c r="A2237">
        <v>2236</v>
      </c>
      <c r="B2237" t="s">
        <v>2893</v>
      </c>
      <c r="C2237" s="3">
        <v>27697</v>
      </c>
      <c r="D2237" t="s">
        <v>667</v>
      </c>
      <c r="E2237">
        <v>43</v>
      </c>
      <c r="F2237" s="1">
        <v>45618</v>
      </c>
      <c r="G2237" s="1" t="str">
        <f>TEXT(Table1[[#This Row],[Enrollment date]], "mmm")</f>
        <v>Nov</v>
      </c>
      <c r="H2237" t="s">
        <v>360</v>
      </c>
      <c r="I2237" t="s">
        <v>660</v>
      </c>
      <c r="J2237" t="str">
        <f>_xlfn.XLOOKUP(Table1[[#This Row],[Course ]], CCF!B:B, CCF!A:A)</f>
        <v>DM101</v>
      </c>
      <c r="K2237" t="s">
        <v>365</v>
      </c>
      <c r="L2237">
        <f>_xlfn.XLOOKUP(K2237, CCF!B:B, CCF!C:C)</f>
        <v>85499</v>
      </c>
      <c r="M2237" t="s">
        <v>12</v>
      </c>
    </row>
    <row r="2238" spans="1:13" x14ac:dyDescent="0.3">
      <c r="A2238">
        <v>2237</v>
      </c>
      <c r="B2238" t="s">
        <v>2894</v>
      </c>
      <c r="C2238" s="3">
        <v>11057</v>
      </c>
      <c r="D2238" t="s">
        <v>666</v>
      </c>
      <c r="E2238">
        <v>28</v>
      </c>
      <c r="F2238" s="1">
        <v>45618</v>
      </c>
      <c r="G2238" s="1" t="str">
        <f>TEXT(Table1[[#This Row],[Enrollment date]], "mmm")</f>
        <v>Nov</v>
      </c>
      <c r="H2238" t="s">
        <v>360</v>
      </c>
      <c r="I2238" t="s">
        <v>660</v>
      </c>
      <c r="J2238" t="str">
        <f>_xlfn.XLOOKUP(Table1[[#This Row],[Course ]], CCF!B:B, CCF!A:A)</f>
        <v>BA301</v>
      </c>
      <c r="K2238" t="s">
        <v>364</v>
      </c>
      <c r="L2238">
        <f>_xlfn.XLOOKUP(K2238, CCF!B:B, CCF!C:C)</f>
        <v>59999</v>
      </c>
      <c r="M2238" t="s">
        <v>18</v>
      </c>
    </row>
    <row r="2239" spans="1:13" x14ac:dyDescent="0.3">
      <c r="A2239">
        <v>2238</v>
      </c>
      <c r="B2239" t="s">
        <v>2895</v>
      </c>
      <c r="C2239" s="3">
        <v>99917</v>
      </c>
      <c r="D2239" t="s">
        <v>666</v>
      </c>
      <c r="E2239">
        <v>36</v>
      </c>
      <c r="F2239" s="1">
        <v>45618</v>
      </c>
      <c r="G2239" s="1" t="str">
        <f>TEXT(Table1[[#This Row],[Enrollment date]], "mmm")</f>
        <v>Nov</v>
      </c>
      <c r="H2239" t="s">
        <v>360</v>
      </c>
      <c r="I2239" t="s">
        <v>664</v>
      </c>
      <c r="J2239" t="str">
        <f>_xlfn.XLOOKUP(Table1[[#This Row],[Course ]], CCF!B:B, CCF!A:A)</f>
        <v>DM101</v>
      </c>
      <c r="K2239" t="s">
        <v>365</v>
      </c>
      <c r="L2239">
        <f>_xlfn.XLOOKUP(K2239, CCF!B:B, CCF!C:C)</f>
        <v>85499</v>
      </c>
      <c r="M2239" t="s">
        <v>273</v>
      </c>
    </row>
    <row r="2240" spans="1:13" x14ac:dyDescent="0.3">
      <c r="A2240">
        <v>2239</v>
      </c>
      <c r="B2240" t="s">
        <v>2896</v>
      </c>
      <c r="C2240" s="3">
        <v>93808</v>
      </c>
      <c r="D2240" t="s">
        <v>667</v>
      </c>
      <c r="E2240">
        <v>70</v>
      </c>
      <c r="F2240" s="1">
        <v>45619</v>
      </c>
      <c r="G2240" s="1" t="str">
        <f>TEXT(Table1[[#This Row],[Enrollment date]], "mmm")</f>
        <v>Nov</v>
      </c>
      <c r="H2240" t="s">
        <v>360</v>
      </c>
      <c r="I2240" t="s">
        <v>665</v>
      </c>
      <c r="J2240" t="str">
        <f>_xlfn.XLOOKUP(Table1[[#This Row],[Course ]], CCF!B:B, CCF!A:A)</f>
        <v>DM101</v>
      </c>
      <c r="K2240" t="s">
        <v>365</v>
      </c>
      <c r="L2240">
        <f>_xlfn.XLOOKUP(K2240, CCF!B:B, CCF!C:C)</f>
        <v>85499</v>
      </c>
      <c r="M2240" t="s">
        <v>75</v>
      </c>
    </row>
    <row r="2241" spans="1:13" x14ac:dyDescent="0.3">
      <c r="A2241">
        <v>2240</v>
      </c>
      <c r="B2241" t="s">
        <v>2897</v>
      </c>
      <c r="C2241" s="3">
        <v>88569</v>
      </c>
      <c r="D2241" t="s">
        <v>667</v>
      </c>
      <c r="E2241">
        <v>42</v>
      </c>
      <c r="F2241" s="1">
        <v>45619</v>
      </c>
      <c r="G2241" s="1" t="str">
        <f>TEXT(Table1[[#This Row],[Enrollment date]], "mmm")</f>
        <v>Nov</v>
      </c>
      <c r="H2241" t="s">
        <v>360</v>
      </c>
      <c r="I2241" t="s">
        <v>659</v>
      </c>
      <c r="J2241" t="str">
        <f>_xlfn.XLOOKUP(Table1[[#This Row],[Course ]], CCF!B:B, CCF!A:A)</f>
        <v>DM101</v>
      </c>
      <c r="K2241" t="s">
        <v>365</v>
      </c>
      <c r="L2241">
        <f>_xlfn.XLOOKUP(K2241, CCF!B:B, CCF!C:C)</f>
        <v>85499</v>
      </c>
      <c r="M2241" t="s">
        <v>148</v>
      </c>
    </row>
    <row r="2242" spans="1:13" x14ac:dyDescent="0.3">
      <c r="A2242">
        <v>2241</v>
      </c>
      <c r="B2242" t="s">
        <v>2898</v>
      </c>
      <c r="C2242" s="3">
        <v>27105</v>
      </c>
      <c r="D2242" t="s">
        <v>667</v>
      </c>
      <c r="E2242">
        <v>36</v>
      </c>
      <c r="F2242" s="1">
        <v>45619</v>
      </c>
      <c r="G2242" s="1" t="str">
        <f>TEXT(Table1[[#This Row],[Enrollment date]], "mmm")</f>
        <v>Nov</v>
      </c>
      <c r="H2242" t="s">
        <v>360</v>
      </c>
      <c r="I2242" t="s">
        <v>660</v>
      </c>
      <c r="J2242" t="str">
        <f>_xlfn.XLOOKUP(Table1[[#This Row],[Course ]], CCF!B:B, CCF!A:A)</f>
        <v>DA202</v>
      </c>
      <c r="K2242" t="s">
        <v>363</v>
      </c>
      <c r="L2242">
        <f>_xlfn.XLOOKUP(K2242, CCF!B:B, CCF!C:C)</f>
        <v>79999</v>
      </c>
      <c r="M2242" t="s">
        <v>18</v>
      </c>
    </row>
    <row r="2243" spans="1:13" x14ac:dyDescent="0.3">
      <c r="A2243">
        <v>2242</v>
      </c>
      <c r="B2243" t="s">
        <v>2899</v>
      </c>
      <c r="C2243" s="3">
        <v>26809</v>
      </c>
      <c r="D2243" t="s">
        <v>667</v>
      </c>
      <c r="E2243">
        <v>18</v>
      </c>
      <c r="F2243" s="1">
        <v>45619</v>
      </c>
      <c r="G2243" s="1" t="str">
        <f>TEXT(Table1[[#This Row],[Enrollment date]], "mmm")</f>
        <v>Nov</v>
      </c>
      <c r="H2243" t="s">
        <v>360</v>
      </c>
      <c r="I2243" t="s">
        <v>660</v>
      </c>
      <c r="J2243" t="str">
        <f>_xlfn.XLOOKUP(Table1[[#This Row],[Course ]], CCF!B:B, CCF!A:A)</f>
        <v>DM101</v>
      </c>
      <c r="K2243" t="s">
        <v>365</v>
      </c>
      <c r="L2243">
        <f>_xlfn.XLOOKUP(K2243, CCF!B:B, CCF!C:C)</f>
        <v>85499</v>
      </c>
      <c r="M2243" t="s">
        <v>287</v>
      </c>
    </row>
    <row r="2244" spans="1:13" x14ac:dyDescent="0.3">
      <c r="A2244">
        <v>2243</v>
      </c>
      <c r="B2244" t="s">
        <v>2900</v>
      </c>
      <c r="C2244" s="3">
        <v>64212</v>
      </c>
      <c r="D2244" t="s">
        <v>667</v>
      </c>
      <c r="E2244">
        <v>30</v>
      </c>
      <c r="F2244" s="1">
        <v>45619</v>
      </c>
      <c r="G2244" s="1" t="str">
        <f>TEXT(Table1[[#This Row],[Enrollment date]], "mmm")</f>
        <v>Nov</v>
      </c>
      <c r="H2244" t="s">
        <v>360</v>
      </c>
      <c r="I2244" t="s">
        <v>661</v>
      </c>
      <c r="J2244" t="str">
        <f>_xlfn.XLOOKUP(Table1[[#This Row],[Course ]], CCF!B:B, CCF!A:A)</f>
        <v>DA202</v>
      </c>
      <c r="K2244" t="s">
        <v>363</v>
      </c>
      <c r="L2244">
        <f>_xlfn.XLOOKUP(K2244, CCF!B:B, CCF!C:C)</f>
        <v>79999</v>
      </c>
      <c r="M2244" t="s">
        <v>28</v>
      </c>
    </row>
    <row r="2245" spans="1:13" x14ac:dyDescent="0.3">
      <c r="A2245">
        <v>2244</v>
      </c>
      <c r="B2245" t="s">
        <v>2901</v>
      </c>
      <c r="C2245" s="3">
        <v>84307</v>
      </c>
      <c r="D2245" t="s">
        <v>666</v>
      </c>
      <c r="E2245">
        <v>30</v>
      </c>
      <c r="F2245" s="1">
        <v>45619</v>
      </c>
      <c r="G2245" s="1" t="str">
        <f>TEXT(Table1[[#This Row],[Enrollment date]], "mmm")</f>
        <v>Nov</v>
      </c>
      <c r="H2245" t="s">
        <v>360</v>
      </c>
      <c r="I2245" t="s">
        <v>659</v>
      </c>
      <c r="J2245" t="str">
        <f>_xlfn.XLOOKUP(Table1[[#This Row],[Course ]], CCF!B:B, CCF!A:A)</f>
        <v>DM101</v>
      </c>
      <c r="K2245" t="s">
        <v>365</v>
      </c>
      <c r="L2245">
        <f>_xlfn.XLOOKUP(K2245, CCF!B:B, CCF!C:C)</f>
        <v>85499</v>
      </c>
      <c r="M2245" t="s">
        <v>631</v>
      </c>
    </row>
    <row r="2246" spans="1:13" x14ac:dyDescent="0.3">
      <c r="A2246">
        <v>2245</v>
      </c>
      <c r="B2246" t="s">
        <v>2902</v>
      </c>
      <c r="C2246" s="3">
        <v>85213</v>
      </c>
      <c r="D2246" t="s">
        <v>666</v>
      </c>
      <c r="E2246">
        <v>35</v>
      </c>
      <c r="F2246" s="1">
        <v>45619</v>
      </c>
      <c r="G2246" s="1" t="str">
        <f>TEXT(Table1[[#This Row],[Enrollment date]], "mmm")</f>
        <v>Nov</v>
      </c>
      <c r="H2246" t="s">
        <v>360</v>
      </c>
      <c r="I2246" t="s">
        <v>660</v>
      </c>
      <c r="J2246" t="str">
        <f>_xlfn.XLOOKUP(Table1[[#This Row],[Course ]], CCF!B:B, CCF!A:A)</f>
        <v>FSD103</v>
      </c>
      <c r="K2246" t="s">
        <v>366</v>
      </c>
      <c r="L2246">
        <f>_xlfn.XLOOKUP(K2246, CCF!B:B, CCF!C:C)</f>
        <v>109990</v>
      </c>
      <c r="M2246" t="s">
        <v>92</v>
      </c>
    </row>
    <row r="2247" spans="1:13" x14ac:dyDescent="0.3">
      <c r="A2247">
        <v>2246</v>
      </c>
      <c r="B2247" t="s">
        <v>2903</v>
      </c>
      <c r="C2247" s="3">
        <v>13130</v>
      </c>
      <c r="D2247" t="s">
        <v>667</v>
      </c>
      <c r="E2247">
        <v>46</v>
      </c>
      <c r="F2247" s="1">
        <v>45619</v>
      </c>
      <c r="G2247" s="1" t="str">
        <f>TEXT(Table1[[#This Row],[Enrollment date]], "mmm")</f>
        <v>Nov</v>
      </c>
      <c r="H2247" t="s">
        <v>360</v>
      </c>
      <c r="I2247" t="s">
        <v>659</v>
      </c>
      <c r="J2247" t="str">
        <f>_xlfn.XLOOKUP(Table1[[#This Row],[Course ]], CCF!B:B, CCF!A:A)</f>
        <v>FSD103</v>
      </c>
      <c r="K2247" t="s">
        <v>366</v>
      </c>
      <c r="L2247">
        <f>_xlfn.XLOOKUP(K2247, CCF!B:B, CCF!C:C)</f>
        <v>109990</v>
      </c>
      <c r="M2247" t="s">
        <v>94</v>
      </c>
    </row>
    <row r="2248" spans="1:13" x14ac:dyDescent="0.3">
      <c r="A2248">
        <v>2247</v>
      </c>
      <c r="B2248" t="s">
        <v>2904</v>
      </c>
      <c r="C2248" s="3">
        <v>99663</v>
      </c>
      <c r="D2248" t="s">
        <v>666</v>
      </c>
      <c r="E2248">
        <v>35</v>
      </c>
      <c r="F2248" s="1">
        <v>45619</v>
      </c>
      <c r="G2248" s="1" t="str">
        <f>TEXT(Table1[[#This Row],[Enrollment date]], "mmm")</f>
        <v>Nov</v>
      </c>
      <c r="H2248" t="s">
        <v>360</v>
      </c>
      <c r="I2248" t="s">
        <v>665</v>
      </c>
      <c r="J2248" t="str">
        <f>_xlfn.XLOOKUP(Table1[[#This Row],[Course ]], CCF!B:B, CCF!A:A)</f>
        <v>DM101</v>
      </c>
      <c r="K2248" t="s">
        <v>365</v>
      </c>
      <c r="L2248">
        <f>_xlfn.XLOOKUP(K2248, CCF!B:B, CCF!C:C)</f>
        <v>85499</v>
      </c>
      <c r="M2248" t="s">
        <v>12</v>
      </c>
    </row>
    <row r="2249" spans="1:13" x14ac:dyDescent="0.3">
      <c r="A2249">
        <v>2248</v>
      </c>
      <c r="B2249" t="s">
        <v>2905</v>
      </c>
      <c r="C2249" s="3">
        <v>89526</v>
      </c>
      <c r="D2249" t="s">
        <v>666</v>
      </c>
      <c r="E2249">
        <v>53</v>
      </c>
      <c r="F2249" s="1">
        <v>45619</v>
      </c>
      <c r="G2249" s="1" t="str">
        <f>TEXT(Table1[[#This Row],[Enrollment date]], "mmm")</f>
        <v>Nov</v>
      </c>
      <c r="H2249" t="s">
        <v>360</v>
      </c>
      <c r="I2249" t="s">
        <v>659</v>
      </c>
      <c r="J2249" t="str">
        <f>_xlfn.XLOOKUP(Table1[[#This Row],[Course ]], CCF!B:B, CCF!A:A)</f>
        <v>DM101</v>
      </c>
      <c r="K2249" t="s">
        <v>365</v>
      </c>
      <c r="L2249">
        <f>_xlfn.XLOOKUP(K2249, CCF!B:B, CCF!C:C)</f>
        <v>85499</v>
      </c>
      <c r="M2249" t="s">
        <v>160</v>
      </c>
    </row>
    <row r="2250" spans="1:13" x14ac:dyDescent="0.3">
      <c r="A2250">
        <v>2249</v>
      </c>
      <c r="B2250" t="s">
        <v>2906</v>
      </c>
      <c r="C2250" s="3">
        <v>75158</v>
      </c>
      <c r="D2250" t="s">
        <v>666</v>
      </c>
      <c r="E2250">
        <v>38</v>
      </c>
      <c r="F2250" s="1">
        <v>45620</v>
      </c>
      <c r="G2250" s="1" t="str">
        <f>TEXT(Table1[[#This Row],[Enrollment date]], "mmm")</f>
        <v>Nov</v>
      </c>
      <c r="H2250" t="s">
        <v>360</v>
      </c>
      <c r="I2250" t="s">
        <v>659</v>
      </c>
      <c r="J2250" t="str">
        <f>_xlfn.XLOOKUP(Table1[[#This Row],[Course ]], CCF!B:B, CCF!A:A)</f>
        <v>DA202</v>
      </c>
      <c r="K2250" t="s">
        <v>363</v>
      </c>
      <c r="L2250">
        <f>_xlfn.XLOOKUP(K2250, CCF!B:B, CCF!C:C)</f>
        <v>79999</v>
      </c>
      <c r="M2250" t="s">
        <v>632</v>
      </c>
    </row>
    <row r="2251" spans="1:13" x14ac:dyDescent="0.3">
      <c r="A2251">
        <v>2250</v>
      </c>
      <c r="B2251" t="s">
        <v>2907</v>
      </c>
      <c r="C2251" s="3">
        <v>91542</v>
      </c>
      <c r="D2251" t="s">
        <v>666</v>
      </c>
      <c r="E2251">
        <v>53</v>
      </c>
      <c r="F2251" s="1">
        <v>45620</v>
      </c>
      <c r="G2251" s="1" t="str">
        <f>TEXT(Table1[[#This Row],[Enrollment date]], "mmm")</f>
        <v>Nov</v>
      </c>
      <c r="H2251" t="s">
        <v>360</v>
      </c>
      <c r="I2251" t="s">
        <v>665</v>
      </c>
      <c r="J2251" t="str">
        <f>_xlfn.XLOOKUP(Table1[[#This Row],[Course ]], CCF!B:B, CCF!A:A)</f>
        <v>DM101</v>
      </c>
      <c r="K2251" t="s">
        <v>365</v>
      </c>
      <c r="L2251">
        <f>_xlfn.XLOOKUP(K2251, CCF!B:B, CCF!C:C)</f>
        <v>85499</v>
      </c>
      <c r="M2251" t="s">
        <v>209</v>
      </c>
    </row>
    <row r="2252" spans="1:13" x14ac:dyDescent="0.3">
      <c r="A2252">
        <v>2251</v>
      </c>
      <c r="B2252" t="s">
        <v>2908</v>
      </c>
      <c r="C2252" s="3">
        <v>18593</v>
      </c>
      <c r="D2252" t="s">
        <v>666</v>
      </c>
      <c r="E2252">
        <v>48</v>
      </c>
      <c r="F2252" s="1">
        <v>45620</v>
      </c>
      <c r="G2252" s="1" t="str">
        <f>TEXT(Table1[[#This Row],[Enrollment date]], "mmm")</f>
        <v>Nov</v>
      </c>
      <c r="H2252" t="s">
        <v>360</v>
      </c>
      <c r="I2252" t="s">
        <v>664</v>
      </c>
      <c r="J2252" t="str">
        <f>_xlfn.XLOOKUP(Table1[[#This Row],[Course ]], CCF!B:B, CCF!A:A)</f>
        <v>DA202</v>
      </c>
      <c r="K2252" t="s">
        <v>363</v>
      </c>
      <c r="L2252">
        <f>_xlfn.XLOOKUP(K2252, CCF!B:B, CCF!C:C)</f>
        <v>79999</v>
      </c>
      <c r="M2252" t="s">
        <v>18</v>
      </c>
    </row>
    <row r="2253" spans="1:13" x14ac:dyDescent="0.3">
      <c r="A2253">
        <v>2252</v>
      </c>
      <c r="B2253" t="s">
        <v>845</v>
      </c>
      <c r="C2253" s="3">
        <v>60092</v>
      </c>
      <c r="D2253" t="s">
        <v>666</v>
      </c>
      <c r="E2253">
        <v>29</v>
      </c>
      <c r="F2253" s="1">
        <v>45620</v>
      </c>
      <c r="G2253" s="1" t="str">
        <f>TEXT(Table1[[#This Row],[Enrollment date]], "mmm")</f>
        <v>Nov</v>
      </c>
      <c r="H2253" t="s">
        <v>360</v>
      </c>
      <c r="I2253" t="s">
        <v>661</v>
      </c>
      <c r="J2253" t="str">
        <f>_xlfn.XLOOKUP(Table1[[#This Row],[Course ]], CCF!B:B, CCF!A:A)</f>
        <v>DA202</v>
      </c>
      <c r="K2253" t="s">
        <v>363</v>
      </c>
      <c r="L2253">
        <f>_xlfn.XLOOKUP(K2253, CCF!B:B, CCF!C:C)</f>
        <v>79999</v>
      </c>
      <c r="M2253" t="s">
        <v>633</v>
      </c>
    </row>
    <row r="2254" spans="1:13" x14ac:dyDescent="0.3">
      <c r="A2254">
        <v>2253</v>
      </c>
      <c r="B2254" t="s">
        <v>2909</v>
      </c>
      <c r="C2254" s="3">
        <v>13774</v>
      </c>
      <c r="D2254" t="s">
        <v>666</v>
      </c>
      <c r="E2254">
        <v>48</v>
      </c>
      <c r="F2254" s="1">
        <v>45620</v>
      </c>
      <c r="G2254" s="1" t="str">
        <f>TEXT(Table1[[#This Row],[Enrollment date]], "mmm")</f>
        <v>Nov</v>
      </c>
      <c r="H2254" t="s">
        <v>360</v>
      </c>
      <c r="I2254" t="s">
        <v>664</v>
      </c>
      <c r="J2254" t="str">
        <f>_xlfn.XLOOKUP(Table1[[#This Row],[Course ]], CCF!B:B, CCF!A:A)</f>
        <v>DM101</v>
      </c>
      <c r="K2254" t="s">
        <v>365</v>
      </c>
      <c r="L2254">
        <f>_xlfn.XLOOKUP(K2254, CCF!B:B, CCF!C:C)</f>
        <v>85499</v>
      </c>
      <c r="M2254" t="s">
        <v>27</v>
      </c>
    </row>
    <row r="2255" spans="1:13" x14ac:dyDescent="0.3">
      <c r="A2255">
        <v>2254</v>
      </c>
      <c r="B2255" t="s">
        <v>2910</v>
      </c>
      <c r="C2255" s="3">
        <v>37267</v>
      </c>
      <c r="D2255" t="s">
        <v>667</v>
      </c>
      <c r="E2255">
        <v>26</v>
      </c>
      <c r="F2255" s="1">
        <v>45621</v>
      </c>
      <c r="G2255" s="1" t="str">
        <f>TEXT(Table1[[#This Row],[Enrollment date]], "mmm")</f>
        <v>Nov</v>
      </c>
      <c r="H2255" t="s">
        <v>360</v>
      </c>
      <c r="I2255" t="s">
        <v>661</v>
      </c>
      <c r="J2255" t="str">
        <f>_xlfn.XLOOKUP(Table1[[#This Row],[Course ]], CCF!B:B, CCF!A:A)</f>
        <v>BA301</v>
      </c>
      <c r="K2255" t="s">
        <v>364</v>
      </c>
      <c r="L2255">
        <f>_xlfn.XLOOKUP(K2255, CCF!B:B, CCF!C:C)</f>
        <v>59999</v>
      </c>
      <c r="M2255" t="s">
        <v>17</v>
      </c>
    </row>
    <row r="2256" spans="1:13" x14ac:dyDescent="0.3">
      <c r="A2256">
        <v>2255</v>
      </c>
      <c r="B2256" t="s">
        <v>2911</v>
      </c>
      <c r="C2256" s="3">
        <v>99899</v>
      </c>
      <c r="D2256" t="s">
        <v>666</v>
      </c>
      <c r="E2256">
        <v>24</v>
      </c>
      <c r="F2256" s="1">
        <v>45621</v>
      </c>
      <c r="G2256" s="1" t="str">
        <f>TEXT(Table1[[#This Row],[Enrollment date]], "mmm")</f>
        <v>Nov</v>
      </c>
      <c r="H2256" t="s">
        <v>360</v>
      </c>
      <c r="I2256" t="s">
        <v>662</v>
      </c>
      <c r="J2256" t="str">
        <f>_xlfn.XLOOKUP(Table1[[#This Row],[Course ]], CCF!B:B, CCF!A:A)</f>
        <v>FSD103</v>
      </c>
      <c r="K2256" t="s">
        <v>366</v>
      </c>
      <c r="L2256">
        <f>_xlfn.XLOOKUP(K2256, CCF!B:B, CCF!C:C)</f>
        <v>109990</v>
      </c>
      <c r="M2256" t="s">
        <v>11</v>
      </c>
    </row>
    <row r="2257" spans="1:13" x14ac:dyDescent="0.3">
      <c r="A2257">
        <v>2256</v>
      </c>
      <c r="B2257" t="s">
        <v>2912</v>
      </c>
      <c r="C2257" s="3">
        <v>49594</v>
      </c>
      <c r="D2257" t="s">
        <v>666</v>
      </c>
      <c r="E2257">
        <v>37</v>
      </c>
      <c r="F2257" s="1">
        <v>45621</v>
      </c>
      <c r="G2257" s="1" t="str">
        <f>TEXT(Table1[[#This Row],[Enrollment date]], "mmm")</f>
        <v>Nov</v>
      </c>
      <c r="H2257" t="s">
        <v>360</v>
      </c>
      <c r="I2257" t="s">
        <v>661</v>
      </c>
      <c r="J2257" t="str">
        <f>_xlfn.XLOOKUP(Table1[[#This Row],[Course ]], CCF!B:B, CCF!A:A)</f>
        <v>DA202</v>
      </c>
      <c r="K2257" t="s">
        <v>363</v>
      </c>
      <c r="L2257">
        <f>_xlfn.XLOOKUP(K2257, CCF!B:B, CCF!C:C)</f>
        <v>79999</v>
      </c>
      <c r="M2257" t="s">
        <v>116</v>
      </c>
    </row>
    <row r="2258" spans="1:13" x14ac:dyDescent="0.3">
      <c r="A2258">
        <v>2257</v>
      </c>
      <c r="B2258" t="s">
        <v>2913</v>
      </c>
      <c r="C2258" s="3">
        <v>47435</v>
      </c>
      <c r="D2258" t="s">
        <v>667</v>
      </c>
      <c r="E2258">
        <v>32</v>
      </c>
      <c r="F2258" s="1">
        <v>45621</v>
      </c>
      <c r="G2258" s="1" t="str">
        <f>TEXT(Table1[[#This Row],[Enrollment date]], "mmm")</f>
        <v>Nov</v>
      </c>
      <c r="H2258" t="s">
        <v>360</v>
      </c>
      <c r="I2258" t="s">
        <v>664</v>
      </c>
      <c r="J2258" t="str">
        <f>_xlfn.XLOOKUP(Table1[[#This Row],[Course ]], CCF!B:B, CCF!A:A)</f>
        <v>DM101</v>
      </c>
      <c r="K2258" t="s">
        <v>365</v>
      </c>
      <c r="L2258">
        <f>_xlfn.XLOOKUP(K2258, CCF!B:B, CCF!C:C)</f>
        <v>85499</v>
      </c>
      <c r="M2258" t="s">
        <v>136</v>
      </c>
    </row>
    <row r="2259" spans="1:13" x14ac:dyDescent="0.3">
      <c r="A2259">
        <v>2258</v>
      </c>
      <c r="B2259" t="s">
        <v>2914</v>
      </c>
      <c r="C2259" s="3">
        <v>57122</v>
      </c>
      <c r="D2259" t="s">
        <v>667</v>
      </c>
      <c r="E2259">
        <v>45</v>
      </c>
      <c r="F2259" s="1">
        <v>45621</v>
      </c>
      <c r="G2259" s="1" t="str">
        <f>TEXT(Table1[[#This Row],[Enrollment date]], "mmm")</f>
        <v>Nov</v>
      </c>
      <c r="H2259" t="s">
        <v>360</v>
      </c>
      <c r="I2259" t="s">
        <v>664</v>
      </c>
      <c r="J2259" t="str">
        <f>_xlfn.XLOOKUP(Table1[[#This Row],[Course ]], CCF!B:B, CCF!A:A)</f>
        <v>DA202</v>
      </c>
      <c r="K2259" t="s">
        <v>363</v>
      </c>
      <c r="L2259">
        <f>_xlfn.XLOOKUP(K2259, CCF!B:B, CCF!C:C)</f>
        <v>79999</v>
      </c>
      <c r="M2259" t="s">
        <v>634</v>
      </c>
    </row>
    <row r="2260" spans="1:13" x14ac:dyDescent="0.3">
      <c r="A2260">
        <v>2259</v>
      </c>
      <c r="B2260" t="s">
        <v>2915</v>
      </c>
      <c r="C2260" s="3">
        <v>68240</v>
      </c>
      <c r="D2260" t="s">
        <v>666</v>
      </c>
      <c r="E2260">
        <v>44</v>
      </c>
      <c r="F2260" s="1">
        <v>45621</v>
      </c>
      <c r="G2260" s="1" t="str">
        <f>TEXT(Table1[[#This Row],[Enrollment date]], "mmm")</f>
        <v>Nov</v>
      </c>
      <c r="H2260" t="s">
        <v>360</v>
      </c>
      <c r="I2260" t="s">
        <v>660</v>
      </c>
      <c r="J2260" t="str">
        <f>_xlfn.XLOOKUP(Table1[[#This Row],[Course ]], CCF!B:B, CCF!A:A)</f>
        <v>DA202</v>
      </c>
      <c r="K2260" t="s">
        <v>363</v>
      </c>
      <c r="L2260">
        <f>_xlfn.XLOOKUP(K2260, CCF!B:B, CCF!C:C)</f>
        <v>79999</v>
      </c>
      <c r="M2260" t="s">
        <v>9</v>
      </c>
    </row>
    <row r="2261" spans="1:13" x14ac:dyDescent="0.3">
      <c r="A2261">
        <v>2260</v>
      </c>
      <c r="B2261" t="s">
        <v>2916</v>
      </c>
      <c r="C2261" s="3">
        <v>66294</v>
      </c>
      <c r="D2261" t="s">
        <v>666</v>
      </c>
      <c r="E2261">
        <v>44</v>
      </c>
      <c r="F2261" s="1">
        <v>45622</v>
      </c>
      <c r="G2261" s="1" t="str">
        <f>TEXT(Table1[[#This Row],[Enrollment date]], "mmm")</f>
        <v>Nov</v>
      </c>
      <c r="H2261" t="s">
        <v>360</v>
      </c>
      <c r="I2261" t="s">
        <v>659</v>
      </c>
      <c r="J2261" t="str">
        <f>_xlfn.XLOOKUP(Table1[[#This Row],[Course ]], CCF!B:B, CCF!A:A)</f>
        <v>DA202</v>
      </c>
      <c r="K2261" t="s">
        <v>363</v>
      </c>
      <c r="L2261">
        <f>_xlfn.XLOOKUP(K2261, CCF!B:B, CCF!C:C)</f>
        <v>79999</v>
      </c>
      <c r="M2261" t="s">
        <v>201</v>
      </c>
    </row>
    <row r="2262" spans="1:13" x14ac:dyDescent="0.3">
      <c r="A2262">
        <v>2261</v>
      </c>
      <c r="B2262" t="s">
        <v>2917</v>
      </c>
      <c r="C2262" s="3">
        <v>85112</v>
      </c>
      <c r="D2262" t="s">
        <v>667</v>
      </c>
      <c r="E2262">
        <v>42</v>
      </c>
      <c r="F2262" s="1">
        <v>45622</v>
      </c>
      <c r="G2262" s="1" t="str">
        <f>TEXT(Table1[[#This Row],[Enrollment date]], "mmm")</f>
        <v>Nov</v>
      </c>
      <c r="H2262" t="s">
        <v>360</v>
      </c>
      <c r="I2262" t="s">
        <v>660</v>
      </c>
      <c r="J2262" t="str">
        <f>_xlfn.XLOOKUP(Table1[[#This Row],[Course ]], CCF!B:B, CCF!A:A)</f>
        <v>UX401</v>
      </c>
      <c r="K2262" t="s">
        <v>367</v>
      </c>
      <c r="L2262">
        <f>_xlfn.XLOOKUP(K2262, CCF!B:B, CCF!C:C)</f>
        <v>67990</v>
      </c>
      <c r="M2262" t="s">
        <v>347</v>
      </c>
    </row>
    <row r="2263" spans="1:13" x14ac:dyDescent="0.3">
      <c r="A2263">
        <v>2262</v>
      </c>
      <c r="B2263" t="s">
        <v>2918</v>
      </c>
      <c r="C2263" s="3">
        <v>75504</v>
      </c>
      <c r="D2263" t="s">
        <v>667</v>
      </c>
      <c r="E2263">
        <v>31</v>
      </c>
      <c r="F2263" s="1">
        <v>45622</v>
      </c>
      <c r="G2263" s="1" t="str">
        <f>TEXT(Table1[[#This Row],[Enrollment date]], "mmm")</f>
        <v>Nov</v>
      </c>
      <c r="H2263" t="s">
        <v>360</v>
      </c>
      <c r="I2263" t="s">
        <v>661</v>
      </c>
      <c r="J2263" t="str">
        <f>_xlfn.XLOOKUP(Table1[[#This Row],[Course ]], CCF!B:B, CCF!A:A)</f>
        <v>DM101</v>
      </c>
      <c r="K2263" t="s">
        <v>365</v>
      </c>
      <c r="L2263">
        <f>_xlfn.XLOOKUP(K2263, CCF!B:B, CCF!C:C)</f>
        <v>85499</v>
      </c>
      <c r="M2263" t="s">
        <v>27</v>
      </c>
    </row>
    <row r="2264" spans="1:13" x14ac:dyDescent="0.3">
      <c r="A2264">
        <v>2263</v>
      </c>
      <c r="B2264" t="s">
        <v>2919</v>
      </c>
      <c r="C2264" s="3">
        <v>47525</v>
      </c>
      <c r="D2264" t="s">
        <v>666</v>
      </c>
      <c r="E2264">
        <v>21</v>
      </c>
      <c r="F2264" s="1">
        <v>45622</v>
      </c>
      <c r="G2264" s="1" t="str">
        <f>TEXT(Table1[[#This Row],[Enrollment date]], "mmm")</f>
        <v>Nov</v>
      </c>
      <c r="H2264" t="s">
        <v>360</v>
      </c>
      <c r="I2264" t="s">
        <v>661</v>
      </c>
      <c r="J2264" t="str">
        <f>_xlfn.XLOOKUP(Table1[[#This Row],[Course ]], CCF!B:B, CCF!A:A)</f>
        <v>DA202</v>
      </c>
      <c r="K2264" t="s">
        <v>363</v>
      </c>
      <c r="L2264">
        <f>_xlfn.XLOOKUP(K2264, CCF!B:B, CCF!C:C)</f>
        <v>79999</v>
      </c>
      <c r="M2264" t="s">
        <v>27</v>
      </c>
    </row>
    <row r="2265" spans="1:13" x14ac:dyDescent="0.3">
      <c r="A2265">
        <v>2264</v>
      </c>
      <c r="B2265" t="s">
        <v>2920</v>
      </c>
      <c r="C2265" s="3">
        <v>67089</v>
      </c>
      <c r="D2265" t="s">
        <v>667</v>
      </c>
      <c r="E2265">
        <v>26</v>
      </c>
      <c r="F2265" s="1">
        <v>45623</v>
      </c>
      <c r="G2265" s="1" t="str">
        <f>TEXT(Table1[[#This Row],[Enrollment date]], "mmm")</f>
        <v>Nov</v>
      </c>
      <c r="H2265" t="s">
        <v>360</v>
      </c>
      <c r="I2265" t="s">
        <v>659</v>
      </c>
      <c r="J2265" t="str">
        <f>_xlfn.XLOOKUP(Table1[[#This Row],[Course ]], CCF!B:B, CCF!A:A)</f>
        <v>DM101</v>
      </c>
      <c r="K2265" t="s">
        <v>365</v>
      </c>
      <c r="L2265">
        <f>_xlfn.XLOOKUP(K2265, CCF!B:B, CCF!C:C)</f>
        <v>85499</v>
      </c>
      <c r="M2265" t="s">
        <v>18</v>
      </c>
    </row>
    <row r="2266" spans="1:13" x14ac:dyDescent="0.3">
      <c r="A2266">
        <v>2265</v>
      </c>
      <c r="B2266" t="s">
        <v>2921</v>
      </c>
      <c r="C2266" s="3">
        <v>29873</v>
      </c>
      <c r="D2266" t="s">
        <v>666</v>
      </c>
      <c r="E2266">
        <v>29</v>
      </c>
      <c r="F2266" s="1">
        <v>45623</v>
      </c>
      <c r="G2266" s="1" t="str">
        <f>TEXT(Table1[[#This Row],[Enrollment date]], "mmm")</f>
        <v>Nov</v>
      </c>
      <c r="H2266" t="s">
        <v>360</v>
      </c>
      <c r="I2266" t="s">
        <v>659</v>
      </c>
      <c r="J2266" t="str">
        <f>_xlfn.XLOOKUP(Table1[[#This Row],[Course ]], CCF!B:B, CCF!A:A)</f>
        <v>BA301</v>
      </c>
      <c r="K2266" t="s">
        <v>364</v>
      </c>
      <c r="L2266">
        <f>_xlfn.XLOOKUP(K2266, CCF!B:B, CCF!C:C)</f>
        <v>59999</v>
      </c>
      <c r="M2266" t="s">
        <v>344</v>
      </c>
    </row>
    <row r="2267" spans="1:13" x14ac:dyDescent="0.3">
      <c r="A2267">
        <v>2266</v>
      </c>
      <c r="B2267" t="s">
        <v>2922</v>
      </c>
      <c r="C2267" s="3">
        <v>16588</v>
      </c>
      <c r="D2267" t="s">
        <v>666</v>
      </c>
      <c r="E2267">
        <v>48</v>
      </c>
      <c r="F2267" s="1">
        <v>45623</v>
      </c>
      <c r="G2267" s="1" t="str">
        <f>TEXT(Table1[[#This Row],[Enrollment date]], "mmm")</f>
        <v>Nov</v>
      </c>
      <c r="H2267" t="s">
        <v>360</v>
      </c>
      <c r="I2267" t="s">
        <v>660</v>
      </c>
      <c r="J2267" t="str">
        <f>_xlfn.XLOOKUP(Table1[[#This Row],[Course ]], CCF!B:B, CCF!A:A)</f>
        <v>UX401</v>
      </c>
      <c r="K2267" t="s">
        <v>367</v>
      </c>
      <c r="L2267">
        <f>_xlfn.XLOOKUP(K2267, CCF!B:B, CCF!C:C)</f>
        <v>67990</v>
      </c>
      <c r="M2267" t="s">
        <v>434</v>
      </c>
    </row>
    <row r="2268" spans="1:13" x14ac:dyDescent="0.3">
      <c r="A2268">
        <v>2267</v>
      </c>
      <c r="B2268" t="s">
        <v>2923</v>
      </c>
      <c r="C2268" s="3">
        <v>75951</v>
      </c>
      <c r="D2268" t="s">
        <v>666</v>
      </c>
      <c r="E2268">
        <v>23</v>
      </c>
      <c r="F2268" s="1">
        <v>45623</v>
      </c>
      <c r="G2268" s="1" t="str">
        <f>TEXT(Table1[[#This Row],[Enrollment date]], "mmm")</f>
        <v>Nov</v>
      </c>
      <c r="H2268" t="s">
        <v>360</v>
      </c>
      <c r="I2268" t="s">
        <v>659</v>
      </c>
      <c r="J2268" t="str">
        <f>_xlfn.XLOOKUP(Table1[[#This Row],[Course ]], CCF!B:B, CCF!A:A)</f>
        <v>DA202</v>
      </c>
      <c r="K2268" t="s">
        <v>363</v>
      </c>
      <c r="L2268">
        <f>_xlfn.XLOOKUP(K2268, CCF!B:B, CCF!C:C)</f>
        <v>79999</v>
      </c>
      <c r="M2268" t="s">
        <v>635</v>
      </c>
    </row>
    <row r="2269" spans="1:13" x14ac:dyDescent="0.3">
      <c r="A2269">
        <v>2268</v>
      </c>
      <c r="B2269" t="s">
        <v>2924</v>
      </c>
      <c r="C2269" s="3">
        <v>81671</v>
      </c>
      <c r="D2269" t="s">
        <v>667</v>
      </c>
      <c r="E2269">
        <v>63</v>
      </c>
      <c r="F2269" s="1">
        <v>45623</v>
      </c>
      <c r="G2269" s="1" t="str">
        <f>TEXT(Table1[[#This Row],[Enrollment date]], "mmm")</f>
        <v>Nov</v>
      </c>
      <c r="H2269" t="s">
        <v>360</v>
      </c>
      <c r="I2269" t="s">
        <v>660</v>
      </c>
      <c r="J2269" t="str">
        <f>_xlfn.XLOOKUP(Table1[[#This Row],[Course ]], CCF!B:B, CCF!A:A)</f>
        <v>DM101</v>
      </c>
      <c r="K2269" t="s">
        <v>365</v>
      </c>
      <c r="L2269">
        <f>_xlfn.XLOOKUP(K2269, CCF!B:B, CCF!C:C)</f>
        <v>85499</v>
      </c>
      <c r="M2269" t="s">
        <v>80</v>
      </c>
    </row>
    <row r="2270" spans="1:13" x14ac:dyDescent="0.3">
      <c r="A2270">
        <v>2269</v>
      </c>
      <c r="B2270" t="s">
        <v>2925</v>
      </c>
      <c r="C2270" s="3">
        <v>35069</v>
      </c>
      <c r="D2270" t="s">
        <v>666</v>
      </c>
      <c r="E2270">
        <v>28</v>
      </c>
      <c r="F2270" s="1">
        <v>45623</v>
      </c>
      <c r="G2270" s="1" t="str">
        <f>TEXT(Table1[[#This Row],[Enrollment date]], "mmm")</f>
        <v>Nov</v>
      </c>
      <c r="H2270" t="s">
        <v>360</v>
      </c>
      <c r="I2270" t="s">
        <v>665</v>
      </c>
      <c r="J2270" t="str">
        <f>_xlfn.XLOOKUP(Table1[[#This Row],[Course ]], CCF!B:B, CCF!A:A)</f>
        <v>DM101</v>
      </c>
      <c r="K2270" t="s">
        <v>365</v>
      </c>
      <c r="L2270">
        <f>_xlfn.XLOOKUP(K2270, CCF!B:B, CCF!C:C)</f>
        <v>85499</v>
      </c>
      <c r="M2270" t="s">
        <v>30</v>
      </c>
    </row>
    <row r="2271" spans="1:13" x14ac:dyDescent="0.3">
      <c r="A2271">
        <v>2270</v>
      </c>
      <c r="B2271" t="s">
        <v>1121</v>
      </c>
      <c r="C2271" s="3">
        <v>75935</v>
      </c>
      <c r="D2271" t="s">
        <v>666</v>
      </c>
      <c r="E2271">
        <v>34</v>
      </c>
      <c r="F2271" s="1">
        <v>45623</v>
      </c>
      <c r="G2271" s="1" t="str">
        <f>TEXT(Table1[[#This Row],[Enrollment date]], "mmm")</f>
        <v>Nov</v>
      </c>
      <c r="H2271" t="s">
        <v>360</v>
      </c>
      <c r="I2271" t="s">
        <v>659</v>
      </c>
      <c r="J2271" t="str">
        <f>_xlfn.XLOOKUP(Table1[[#This Row],[Course ]], CCF!B:B, CCF!A:A)</f>
        <v>DM101</v>
      </c>
      <c r="K2271" t="s">
        <v>365</v>
      </c>
      <c r="L2271">
        <f>_xlfn.XLOOKUP(K2271, CCF!B:B, CCF!C:C)</f>
        <v>85499</v>
      </c>
      <c r="M2271" t="s">
        <v>226</v>
      </c>
    </row>
    <row r="2272" spans="1:13" x14ac:dyDescent="0.3">
      <c r="A2272">
        <v>2271</v>
      </c>
      <c r="B2272" t="s">
        <v>2926</v>
      </c>
      <c r="C2272" s="3">
        <v>16701</v>
      </c>
      <c r="D2272" t="s">
        <v>667</v>
      </c>
      <c r="E2272">
        <v>27</v>
      </c>
      <c r="F2272" s="1">
        <v>45623</v>
      </c>
      <c r="G2272" s="1" t="str">
        <f>TEXT(Table1[[#This Row],[Enrollment date]], "mmm")</f>
        <v>Nov</v>
      </c>
      <c r="H2272" t="s">
        <v>360</v>
      </c>
      <c r="I2272" t="s">
        <v>659</v>
      </c>
      <c r="J2272" t="str">
        <f>_xlfn.XLOOKUP(Table1[[#This Row],[Course ]], CCF!B:B, CCF!A:A)</f>
        <v>BA301</v>
      </c>
      <c r="K2272" t="s">
        <v>364</v>
      </c>
      <c r="L2272">
        <f>_xlfn.XLOOKUP(K2272, CCF!B:B, CCF!C:C)</f>
        <v>59999</v>
      </c>
      <c r="M2272" t="s">
        <v>636</v>
      </c>
    </row>
    <row r="2273" spans="1:13" x14ac:dyDescent="0.3">
      <c r="A2273">
        <v>2272</v>
      </c>
      <c r="B2273" t="s">
        <v>2927</v>
      </c>
      <c r="C2273" s="3">
        <v>41413</v>
      </c>
      <c r="D2273" t="s">
        <v>667</v>
      </c>
      <c r="E2273">
        <v>30</v>
      </c>
      <c r="F2273" s="1">
        <v>45623</v>
      </c>
      <c r="G2273" s="1" t="str">
        <f>TEXT(Table1[[#This Row],[Enrollment date]], "mmm")</f>
        <v>Nov</v>
      </c>
      <c r="H2273" t="s">
        <v>360</v>
      </c>
      <c r="I2273" t="s">
        <v>660</v>
      </c>
      <c r="J2273" t="str">
        <f>_xlfn.XLOOKUP(Table1[[#This Row],[Course ]], CCF!B:B, CCF!A:A)</f>
        <v>DA202</v>
      </c>
      <c r="K2273" t="s">
        <v>363</v>
      </c>
      <c r="L2273">
        <f>_xlfn.XLOOKUP(K2273, CCF!B:B, CCF!C:C)</f>
        <v>79999</v>
      </c>
      <c r="M2273" t="s">
        <v>536</v>
      </c>
    </row>
    <row r="2274" spans="1:13" x14ac:dyDescent="0.3">
      <c r="A2274">
        <v>2273</v>
      </c>
      <c r="B2274" t="s">
        <v>2928</v>
      </c>
      <c r="C2274" s="3">
        <v>91609</v>
      </c>
      <c r="D2274" t="s">
        <v>666</v>
      </c>
      <c r="E2274">
        <v>44</v>
      </c>
      <c r="F2274" s="1">
        <v>45624</v>
      </c>
      <c r="G2274" s="1" t="str">
        <f>TEXT(Table1[[#This Row],[Enrollment date]], "mmm")</f>
        <v>Nov</v>
      </c>
      <c r="H2274" t="s">
        <v>361</v>
      </c>
      <c r="I2274" t="s">
        <v>659</v>
      </c>
      <c r="J2274" t="str">
        <f>_xlfn.XLOOKUP(Table1[[#This Row],[Course ]], CCF!B:B, CCF!A:A)</f>
        <v>DM101</v>
      </c>
      <c r="K2274" t="s">
        <v>365</v>
      </c>
      <c r="L2274">
        <f>_xlfn.XLOOKUP(K2274, CCF!B:B, CCF!C:C)</f>
        <v>85499</v>
      </c>
      <c r="M2274" t="s">
        <v>637</v>
      </c>
    </row>
    <row r="2275" spans="1:13" x14ac:dyDescent="0.3">
      <c r="A2275">
        <v>2274</v>
      </c>
      <c r="B2275" t="s">
        <v>2929</v>
      </c>
      <c r="C2275" s="3">
        <v>84450</v>
      </c>
      <c r="D2275" t="s">
        <v>667</v>
      </c>
      <c r="E2275">
        <v>41</v>
      </c>
      <c r="F2275" s="1">
        <v>45624</v>
      </c>
      <c r="G2275" s="1" t="str">
        <f>TEXT(Table1[[#This Row],[Enrollment date]], "mmm")</f>
        <v>Nov</v>
      </c>
      <c r="H2275" t="s">
        <v>360</v>
      </c>
      <c r="I2275" t="s">
        <v>662</v>
      </c>
      <c r="J2275" t="str">
        <f>_xlfn.XLOOKUP(Table1[[#This Row],[Course ]], CCF!B:B, CCF!A:A)</f>
        <v>DM101</v>
      </c>
      <c r="K2275" t="s">
        <v>365</v>
      </c>
      <c r="L2275">
        <f>_xlfn.XLOOKUP(K2275, CCF!B:B, CCF!C:C)</f>
        <v>85499</v>
      </c>
      <c r="M2275" t="s">
        <v>638</v>
      </c>
    </row>
    <row r="2276" spans="1:13" x14ac:dyDescent="0.3">
      <c r="A2276">
        <v>2275</v>
      </c>
      <c r="B2276" t="s">
        <v>2930</v>
      </c>
      <c r="C2276" s="3">
        <v>13413</v>
      </c>
      <c r="D2276" t="s">
        <v>667</v>
      </c>
      <c r="E2276">
        <v>26</v>
      </c>
      <c r="F2276" s="1">
        <v>45624</v>
      </c>
      <c r="G2276" s="1" t="str">
        <f>TEXT(Table1[[#This Row],[Enrollment date]], "mmm")</f>
        <v>Nov</v>
      </c>
      <c r="H2276" t="s">
        <v>360</v>
      </c>
      <c r="I2276" t="s">
        <v>659</v>
      </c>
      <c r="J2276" t="str">
        <f>_xlfn.XLOOKUP(Table1[[#This Row],[Course ]], CCF!B:B, CCF!A:A)</f>
        <v>DM101</v>
      </c>
      <c r="K2276" t="s">
        <v>365</v>
      </c>
      <c r="L2276">
        <f>_xlfn.XLOOKUP(K2276, CCF!B:B, CCF!C:C)</f>
        <v>85499</v>
      </c>
      <c r="M2276" t="s">
        <v>154</v>
      </c>
    </row>
    <row r="2277" spans="1:13" x14ac:dyDescent="0.3">
      <c r="A2277">
        <v>2276</v>
      </c>
      <c r="B2277" t="s">
        <v>2931</v>
      </c>
      <c r="C2277" s="3">
        <v>32577</v>
      </c>
      <c r="D2277" t="s">
        <v>667</v>
      </c>
      <c r="E2277">
        <v>75</v>
      </c>
      <c r="F2277" s="1">
        <v>45624</v>
      </c>
      <c r="G2277" s="1" t="str">
        <f>TEXT(Table1[[#This Row],[Enrollment date]], "mmm")</f>
        <v>Nov</v>
      </c>
      <c r="H2277" t="s">
        <v>360</v>
      </c>
      <c r="I2277" t="s">
        <v>660</v>
      </c>
      <c r="J2277" t="str">
        <f>_xlfn.XLOOKUP(Table1[[#This Row],[Course ]], CCF!B:B, CCF!A:A)</f>
        <v>DA202</v>
      </c>
      <c r="K2277" t="s">
        <v>363</v>
      </c>
      <c r="L2277">
        <f>_xlfn.XLOOKUP(K2277, CCF!B:B, CCF!C:C)</f>
        <v>79999</v>
      </c>
      <c r="M2277" t="s">
        <v>30</v>
      </c>
    </row>
    <row r="2278" spans="1:13" x14ac:dyDescent="0.3">
      <c r="A2278">
        <v>2277</v>
      </c>
      <c r="B2278" t="s">
        <v>2932</v>
      </c>
      <c r="C2278" s="3">
        <v>2447</v>
      </c>
      <c r="D2278" t="s">
        <v>667</v>
      </c>
      <c r="E2278">
        <v>78</v>
      </c>
      <c r="F2278" s="1">
        <v>45624</v>
      </c>
      <c r="G2278" s="1" t="str">
        <f>TEXT(Table1[[#This Row],[Enrollment date]], "mmm")</f>
        <v>Nov</v>
      </c>
      <c r="H2278" t="s">
        <v>361</v>
      </c>
      <c r="I2278" t="s">
        <v>665</v>
      </c>
      <c r="J2278" t="str">
        <f>_xlfn.XLOOKUP(Table1[[#This Row],[Course ]], CCF!B:B, CCF!A:A)</f>
        <v>BA301</v>
      </c>
      <c r="K2278" t="s">
        <v>364</v>
      </c>
      <c r="L2278">
        <f>_xlfn.XLOOKUP(K2278, CCF!B:B, CCF!C:C)</f>
        <v>59999</v>
      </c>
      <c r="M2278" t="s">
        <v>16</v>
      </c>
    </row>
    <row r="2279" spans="1:13" x14ac:dyDescent="0.3">
      <c r="A2279">
        <v>2278</v>
      </c>
      <c r="B2279" t="s">
        <v>2933</v>
      </c>
      <c r="C2279" s="3">
        <v>15134</v>
      </c>
      <c r="D2279" t="s">
        <v>666</v>
      </c>
      <c r="E2279">
        <v>45</v>
      </c>
      <c r="F2279" s="1">
        <v>45624</v>
      </c>
      <c r="G2279" s="1" t="str">
        <f>TEXT(Table1[[#This Row],[Enrollment date]], "mmm")</f>
        <v>Nov</v>
      </c>
      <c r="H2279" t="s">
        <v>360</v>
      </c>
      <c r="I2279" t="s">
        <v>660</v>
      </c>
      <c r="J2279" t="str">
        <f>_xlfn.XLOOKUP(Table1[[#This Row],[Course ]], CCF!B:B, CCF!A:A)</f>
        <v>BA301</v>
      </c>
      <c r="K2279" t="s">
        <v>364</v>
      </c>
      <c r="L2279">
        <f>_xlfn.XLOOKUP(K2279, CCF!B:B, CCF!C:C)</f>
        <v>59999</v>
      </c>
      <c r="M2279" t="s">
        <v>73</v>
      </c>
    </row>
    <row r="2280" spans="1:13" x14ac:dyDescent="0.3">
      <c r="A2280">
        <v>2279</v>
      </c>
      <c r="B2280" t="s">
        <v>2934</v>
      </c>
      <c r="C2280" s="3">
        <v>90684</v>
      </c>
      <c r="D2280" t="s">
        <v>667</v>
      </c>
      <c r="E2280">
        <v>35</v>
      </c>
      <c r="F2280" s="1">
        <v>45625</v>
      </c>
      <c r="G2280" s="1" t="str">
        <f>TEXT(Table1[[#This Row],[Enrollment date]], "mmm")</f>
        <v>Nov</v>
      </c>
      <c r="H2280" t="s">
        <v>360</v>
      </c>
      <c r="I2280" t="s">
        <v>664</v>
      </c>
      <c r="J2280" t="str">
        <f>_xlfn.XLOOKUP(Table1[[#This Row],[Course ]], CCF!B:B, CCF!A:A)</f>
        <v>DA202</v>
      </c>
      <c r="K2280" t="s">
        <v>363</v>
      </c>
      <c r="L2280">
        <f>_xlfn.XLOOKUP(K2280, CCF!B:B, CCF!C:C)</f>
        <v>79999</v>
      </c>
      <c r="M2280" t="s">
        <v>639</v>
      </c>
    </row>
    <row r="2281" spans="1:13" x14ac:dyDescent="0.3">
      <c r="A2281">
        <v>2280</v>
      </c>
      <c r="B2281" t="s">
        <v>2935</v>
      </c>
      <c r="C2281" s="3">
        <v>91599</v>
      </c>
      <c r="D2281" t="s">
        <v>666</v>
      </c>
      <c r="E2281">
        <v>40</v>
      </c>
      <c r="F2281" s="1">
        <v>45625</v>
      </c>
      <c r="G2281" s="1" t="str">
        <f>TEXT(Table1[[#This Row],[Enrollment date]], "mmm")</f>
        <v>Nov</v>
      </c>
      <c r="H2281" t="s">
        <v>360</v>
      </c>
      <c r="I2281" t="s">
        <v>664</v>
      </c>
      <c r="J2281" t="str">
        <f>_xlfn.XLOOKUP(Table1[[#This Row],[Course ]], CCF!B:B, CCF!A:A)</f>
        <v>DA202</v>
      </c>
      <c r="K2281" t="s">
        <v>363</v>
      </c>
      <c r="L2281">
        <f>_xlfn.XLOOKUP(K2281, CCF!B:B, CCF!C:C)</f>
        <v>79999</v>
      </c>
      <c r="M2281" t="s">
        <v>91</v>
      </c>
    </row>
    <row r="2282" spans="1:13" x14ac:dyDescent="0.3">
      <c r="A2282">
        <v>2281</v>
      </c>
      <c r="B2282" t="s">
        <v>2936</v>
      </c>
      <c r="C2282" s="3">
        <v>36971</v>
      </c>
      <c r="D2282" t="s">
        <v>667</v>
      </c>
      <c r="E2282">
        <v>33</v>
      </c>
      <c r="F2282" s="1">
        <v>45625</v>
      </c>
      <c r="G2282" s="1" t="str">
        <f>TEXT(Table1[[#This Row],[Enrollment date]], "mmm")</f>
        <v>Nov</v>
      </c>
      <c r="H2282" t="s">
        <v>3</v>
      </c>
      <c r="I2282" t="s">
        <v>662</v>
      </c>
      <c r="J2282" t="str">
        <f>_xlfn.XLOOKUP(Table1[[#This Row],[Course ]], CCF!B:B, CCF!A:A)</f>
        <v>DM101</v>
      </c>
      <c r="K2282" t="s">
        <v>365</v>
      </c>
      <c r="L2282">
        <f>_xlfn.XLOOKUP(K2282, CCF!B:B, CCF!C:C)</f>
        <v>85499</v>
      </c>
      <c r="M2282" t="s">
        <v>102</v>
      </c>
    </row>
    <row r="2283" spans="1:13" x14ac:dyDescent="0.3">
      <c r="A2283">
        <v>2282</v>
      </c>
      <c r="B2283" t="s">
        <v>2937</v>
      </c>
      <c r="C2283" s="3">
        <v>59599</v>
      </c>
      <c r="D2283" t="s">
        <v>667</v>
      </c>
      <c r="E2283">
        <v>72</v>
      </c>
      <c r="F2283" s="1">
        <v>45625</v>
      </c>
      <c r="G2283" s="1" t="str">
        <f>TEXT(Table1[[#This Row],[Enrollment date]], "mmm")</f>
        <v>Nov</v>
      </c>
      <c r="H2283" t="s">
        <v>360</v>
      </c>
      <c r="I2283" t="s">
        <v>660</v>
      </c>
      <c r="J2283" t="str">
        <f>_xlfn.XLOOKUP(Table1[[#This Row],[Course ]], CCF!B:B, CCF!A:A)</f>
        <v>HR201</v>
      </c>
      <c r="K2283" t="s">
        <v>3152</v>
      </c>
      <c r="L2283">
        <f>_xlfn.XLOOKUP(K2283, CCF!B:B, CCF!C:C)</f>
        <v>41999</v>
      </c>
      <c r="M2283" t="s">
        <v>640</v>
      </c>
    </row>
    <row r="2284" spans="1:13" x14ac:dyDescent="0.3">
      <c r="A2284">
        <v>2283</v>
      </c>
      <c r="B2284" t="s">
        <v>2938</v>
      </c>
      <c r="C2284" s="3">
        <v>88285</v>
      </c>
      <c r="D2284" t="s">
        <v>666</v>
      </c>
      <c r="E2284">
        <v>41</v>
      </c>
      <c r="F2284" s="1">
        <v>45625</v>
      </c>
      <c r="G2284" s="1" t="str">
        <f>TEXT(Table1[[#This Row],[Enrollment date]], "mmm")</f>
        <v>Nov</v>
      </c>
      <c r="H2284" t="s">
        <v>360</v>
      </c>
      <c r="I2284" t="s">
        <v>659</v>
      </c>
      <c r="J2284" t="str">
        <f>_xlfn.XLOOKUP(Table1[[#This Row],[Course ]], CCF!B:B, CCF!A:A)</f>
        <v>DA202</v>
      </c>
      <c r="K2284" t="s">
        <v>363</v>
      </c>
      <c r="L2284">
        <f>_xlfn.XLOOKUP(K2284, CCF!B:B, CCF!C:C)</f>
        <v>79999</v>
      </c>
      <c r="M2284" t="s">
        <v>485</v>
      </c>
    </row>
    <row r="2285" spans="1:13" x14ac:dyDescent="0.3">
      <c r="A2285">
        <v>2284</v>
      </c>
      <c r="B2285" t="s">
        <v>2939</v>
      </c>
      <c r="C2285" s="3">
        <v>71884</v>
      </c>
      <c r="D2285" t="s">
        <v>667</v>
      </c>
      <c r="E2285">
        <v>29</v>
      </c>
      <c r="F2285" s="1">
        <v>45626</v>
      </c>
      <c r="G2285" s="1" t="str">
        <f>TEXT(Table1[[#This Row],[Enrollment date]], "mmm")</f>
        <v>Nov</v>
      </c>
      <c r="H2285" t="s">
        <v>360</v>
      </c>
      <c r="I2285" t="s">
        <v>660</v>
      </c>
      <c r="J2285" t="str">
        <f>_xlfn.XLOOKUP(Table1[[#This Row],[Course ]], CCF!B:B, CCF!A:A)</f>
        <v>BA301</v>
      </c>
      <c r="K2285" t="s">
        <v>364</v>
      </c>
      <c r="L2285">
        <f>_xlfn.XLOOKUP(K2285, CCF!B:B, CCF!C:C)</f>
        <v>59999</v>
      </c>
      <c r="M2285" t="s">
        <v>454</v>
      </c>
    </row>
    <row r="2286" spans="1:13" x14ac:dyDescent="0.3">
      <c r="A2286">
        <v>2285</v>
      </c>
      <c r="B2286" t="s">
        <v>2940</v>
      </c>
      <c r="C2286" s="3">
        <v>12761</v>
      </c>
      <c r="D2286" t="s">
        <v>666</v>
      </c>
      <c r="E2286">
        <v>19</v>
      </c>
      <c r="F2286" s="1">
        <v>45626</v>
      </c>
      <c r="G2286" s="1" t="str">
        <f>TEXT(Table1[[#This Row],[Enrollment date]], "mmm")</f>
        <v>Nov</v>
      </c>
      <c r="H2286" t="s">
        <v>360</v>
      </c>
      <c r="I2286" t="s">
        <v>660</v>
      </c>
      <c r="J2286" t="str">
        <f>_xlfn.XLOOKUP(Table1[[#This Row],[Course ]], CCF!B:B, CCF!A:A)</f>
        <v>DM101</v>
      </c>
      <c r="K2286" t="s">
        <v>365</v>
      </c>
      <c r="L2286">
        <f>_xlfn.XLOOKUP(K2286, CCF!B:B, CCF!C:C)</f>
        <v>85499</v>
      </c>
      <c r="M2286" t="s">
        <v>487</v>
      </c>
    </row>
    <row r="2287" spans="1:13" x14ac:dyDescent="0.3">
      <c r="A2287">
        <v>2286</v>
      </c>
      <c r="B2287" t="s">
        <v>2941</v>
      </c>
      <c r="C2287" s="3">
        <v>33745</v>
      </c>
      <c r="D2287" t="s">
        <v>666</v>
      </c>
      <c r="E2287">
        <v>20</v>
      </c>
      <c r="F2287" s="1">
        <v>45626</v>
      </c>
      <c r="G2287" s="1" t="str">
        <f>TEXT(Table1[[#This Row],[Enrollment date]], "mmm")</f>
        <v>Nov</v>
      </c>
      <c r="H2287" t="s">
        <v>360</v>
      </c>
      <c r="I2287" t="s">
        <v>660</v>
      </c>
      <c r="J2287" t="str">
        <f>_xlfn.XLOOKUP(Table1[[#This Row],[Course ]], CCF!B:B, CCF!A:A)</f>
        <v>FSD103</v>
      </c>
      <c r="K2287" t="s">
        <v>366</v>
      </c>
      <c r="L2287">
        <f>_xlfn.XLOOKUP(K2287, CCF!B:B, CCF!C:C)</f>
        <v>109990</v>
      </c>
      <c r="M2287" t="s">
        <v>23</v>
      </c>
    </row>
    <row r="2288" spans="1:13" x14ac:dyDescent="0.3">
      <c r="A2288">
        <v>2287</v>
      </c>
      <c r="B2288" t="s">
        <v>2942</v>
      </c>
      <c r="C2288" s="3">
        <v>91946</v>
      </c>
      <c r="D2288" t="s">
        <v>666</v>
      </c>
      <c r="E2288">
        <v>37</v>
      </c>
      <c r="F2288" s="1">
        <v>45626</v>
      </c>
      <c r="G2288" s="1" t="str">
        <f>TEXT(Table1[[#This Row],[Enrollment date]], "mmm")</f>
        <v>Nov</v>
      </c>
      <c r="H2288" t="s">
        <v>360</v>
      </c>
      <c r="I2288" t="s">
        <v>659</v>
      </c>
      <c r="J2288" t="str">
        <f>_xlfn.XLOOKUP(Table1[[#This Row],[Course ]], CCF!B:B, CCF!A:A)</f>
        <v>DA202</v>
      </c>
      <c r="K2288" t="s">
        <v>363</v>
      </c>
      <c r="L2288">
        <f>_xlfn.XLOOKUP(K2288, CCF!B:B, CCF!C:C)</f>
        <v>79999</v>
      </c>
      <c r="M2288" t="s">
        <v>7</v>
      </c>
    </row>
    <row r="2289" spans="1:13" x14ac:dyDescent="0.3">
      <c r="A2289">
        <v>2288</v>
      </c>
      <c r="B2289" t="s">
        <v>2943</v>
      </c>
      <c r="C2289" s="3">
        <v>38537</v>
      </c>
      <c r="D2289" t="s">
        <v>667</v>
      </c>
      <c r="E2289">
        <v>38</v>
      </c>
      <c r="F2289" s="1">
        <v>45626</v>
      </c>
      <c r="G2289" s="1" t="str">
        <f>TEXT(Table1[[#This Row],[Enrollment date]], "mmm")</f>
        <v>Nov</v>
      </c>
      <c r="H2289" t="s">
        <v>360</v>
      </c>
      <c r="I2289" t="s">
        <v>660</v>
      </c>
      <c r="J2289" t="str">
        <f>_xlfn.XLOOKUP(Table1[[#This Row],[Course ]], CCF!B:B, CCF!A:A)</f>
        <v>DM101</v>
      </c>
      <c r="K2289" t="s">
        <v>365</v>
      </c>
      <c r="L2289">
        <f>_xlfn.XLOOKUP(K2289, CCF!B:B, CCF!C:C)</f>
        <v>85499</v>
      </c>
      <c r="M2289" t="s">
        <v>47</v>
      </c>
    </row>
    <row r="2290" spans="1:13" x14ac:dyDescent="0.3">
      <c r="A2290">
        <v>2289</v>
      </c>
      <c r="B2290" t="s">
        <v>2944</v>
      </c>
      <c r="C2290" s="3">
        <v>72221</v>
      </c>
      <c r="D2290" t="s">
        <v>666</v>
      </c>
      <c r="E2290">
        <v>21</v>
      </c>
      <c r="F2290" s="1">
        <v>45626</v>
      </c>
      <c r="G2290" s="1" t="str">
        <f>TEXT(Table1[[#This Row],[Enrollment date]], "mmm")</f>
        <v>Nov</v>
      </c>
      <c r="H2290" t="s">
        <v>360</v>
      </c>
      <c r="I2290" t="s">
        <v>659</v>
      </c>
      <c r="J2290" t="str">
        <f>_xlfn.XLOOKUP(Table1[[#This Row],[Course ]], CCF!B:B, CCF!A:A)</f>
        <v>DA202</v>
      </c>
      <c r="K2290" t="s">
        <v>363</v>
      </c>
      <c r="L2290">
        <f>_xlfn.XLOOKUP(K2290, CCF!B:B, CCF!C:C)</f>
        <v>79999</v>
      </c>
      <c r="M2290" t="s">
        <v>63</v>
      </c>
    </row>
    <row r="2291" spans="1:13" x14ac:dyDescent="0.3">
      <c r="A2291">
        <v>2290</v>
      </c>
      <c r="B2291" t="s">
        <v>2945</v>
      </c>
      <c r="C2291" s="3">
        <v>97026</v>
      </c>
      <c r="D2291" t="s">
        <v>667</v>
      </c>
      <c r="E2291">
        <v>58</v>
      </c>
      <c r="F2291" s="1">
        <v>45626</v>
      </c>
      <c r="G2291" s="1" t="str">
        <f>TEXT(Table1[[#This Row],[Enrollment date]], "mmm")</f>
        <v>Nov</v>
      </c>
      <c r="H2291" t="s">
        <v>360</v>
      </c>
      <c r="I2291" t="s">
        <v>663</v>
      </c>
      <c r="J2291" t="str">
        <f>_xlfn.XLOOKUP(Table1[[#This Row],[Course ]], CCF!B:B, CCF!A:A)</f>
        <v>DM101</v>
      </c>
      <c r="K2291" t="s">
        <v>365</v>
      </c>
      <c r="L2291">
        <f>_xlfn.XLOOKUP(K2291, CCF!B:B, CCF!C:C)</f>
        <v>85499</v>
      </c>
      <c r="M2291" t="s">
        <v>16</v>
      </c>
    </row>
    <row r="2292" spans="1:13" x14ac:dyDescent="0.3">
      <c r="A2292">
        <v>2291</v>
      </c>
      <c r="B2292" t="s">
        <v>2946</v>
      </c>
      <c r="C2292" s="3">
        <v>61728</v>
      </c>
      <c r="D2292" t="s">
        <v>666</v>
      </c>
      <c r="E2292">
        <v>58</v>
      </c>
      <c r="F2292" s="1">
        <v>45627</v>
      </c>
      <c r="G2292" s="1" t="str">
        <f>TEXT(Table1[[#This Row],[Enrollment date]], "mmm")</f>
        <v>Dec</v>
      </c>
      <c r="H2292" t="s">
        <v>361</v>
      </c>
      <c r="I2292" t="s">
        <v>660</v>
      </c>
      <c r="J2292" t="str">
        <f>_xlfn.XLOOKUP(Table1[[#This Row],[Course ]], CCF!B:B, CCF!A:A)</f>
        <v>DM101</v>
      </c>
      <c r="K2292" t="s">
        <v>365</v>
      </c>
      <c r="L2292">
        <f>_xlfn.XLOOKUP(K2292, CCF!B:B, CCF!C:C)</f>
        <v>85499</v>
      </c>
      <c r="M2292" t="s">
        <v>20</v>
      </c>
    </row>
    <row r="2293" spans="1:13" x14ac:dyDescent="0.3">
      <c r="A2293">
        <v>2292</v>
      </c>
      <c r="B2293" t="s">
        <v>2947</v>
      </c>
      <c r="C2293" s="3">
        <v>66697</v>
      </c>
      <c r="D2293" t="s">
        <v>666</v>
      </c>
      <c r="E2293">
        <v>38</v>
      </c>
      <c r="F2293" s="1">
        <v>45627</v>
      </c>
      <c r="G2293" s="1" t="str">
        <f>TEXT(Table1[[#This Row],[Enrollment date]], "mmm")</f>
        <v>Dec</v>
      </c>
      <c r="H2293" t="s">
        <v>360</v>
      </c>
      <c r="I2293" t="s">
        <v>663</v>
      </c>
      <c r="J2293" t="str">
        <f>_xlfn.XLOOKUP(Table1[[#This Row],[Course ]], CCF!B:B, CCF!A:A)</f>
        <v>DA202</v>
      </c>
      <c r="K2293" t="s">
        <v>363</v>
      </c>
      <c r="L2293">
        <f>_xlfn.XLOOKUP(K2293, CCF!B:B, CCF!C:C)</f>
        <v>79999</v>
      </c>
      <c r="M2293" t="s">
        <v>123</v>
      </c>
    </row>
    <row r="2294" spans="1:13" x14ac:dyDescent="0.3">
      <c r="A2294">
        <v>2293</v>
      </c>
      <c r="B2294" t="s">
        <v>2948</v>
      </c>
      <c r="C2294" s="3">
        <v>99501</v>
      </c>
      <c r="D2294" t="s">
        <v>666</v>
      </c>
      <c r="E2294">
        <v>21</v>
      </c>
      <c r="F2294" s="1">
        <v>45627</v>
      </c>
      <c r="G2294" s="1" t="str">
        <f>TEXT(Table1[[#This Row],[Enrollment date]], "mmm")</f>
        <v>Dec</v>
      </c>
      <c r="H2294" t="s">
        <v>360</v>
      </c>
      <c r="I2294" t="s">
        <v>661</v>
      </c>
      <c r="J2294" t="str">
        <f>_xlfn.XLOOKUP(Table1[[#This Row],[Course ]], CCF!B:B, CCF!A:A)</f>
        <v>DM101</v>
      </c>
      <c r="K2294" t="s">
        <v>365</v>
      </c>
      <c r="L2294">
        <f>_xlfn.XLOOKUP(K2294, CCF!B:B, CCF!C:C)</f>
        <v>85499</v>
      </c>
      <c r="M2294" t="s">
        <v>641</v>
      </c>
    </row>
    <row r="2295" spans="1:13" x14ac:dyDescent="0.3">
      <c r="A2295">
        <v>2294</v>
      </c>
      <c r="B2295" t="s">
        <v>2949</v>
      </c>
      <c r="C2295" s="3">
        <v>57106</v>
      </c>
      <c r="D2295" t="s">
        <v>666</v>
      </c>
      <c r="E2295">
        <v>42</v>
      </c>
      <c r="F2295" s="1">
        <v>45627</v>
      </c>
      <c r="G2295" s="1" t="str">
        <f>TEXT(Table1[[#This Row],[Enrollment date]], "mmm")</f>
        <v>Dec</v>
      </c>
      <c r="H2295" t="s">
        <v>360</v>
      </c>
      <c r="I2295" t="s">
        <v>663</v>
      </c>
      <c r="J2295" t="str">
        <f>_xlfn.XLOOKUP(Table1[[#This Row],[Course ]], CCF!B:B, CCF!A:A)</f>
        <v>DA202</v>
      </c>
      <c r="K2295" t="s">
        <v>363</v>
      </c>
      <c r="L2295">
        <f>_xlfn.XLOOKUP(K2295, CCF!B:B, CCF!C:C)</f>
        <v>79999</v>
      </c>
      <c r="M2295" t="s">
        <v>9</v>
      </c>
    </row>
    <row r="2296" spans="1:13" x14ac:dyDescent="0.3">
      <c r="A2296">
        <v>2295</v>
      </c>
      <c r="B2296" t="s">
        <v>2950</v>
      </c>
      <c r="C2296" s="3">
        <v>23260</v>
      </c>
      <c r="D2296" t="s">
        <v>666</v>
      </c>
      <c r="E2296">
        <v>30</v>
      </c>
      <c r="F2296" s="1">
        <v>45627</v>
      </c>
      <c r="G2296" s="1" t="str">
        <f>TEXT(Table1[[#This Row],[Enrollment date]], "mmm")</f>
        <v>Dec</v>
      </c>
      <c r="H2296" t="s">
        <v>360</v>
      </c>
      <c r="I2296" t="s">
        <v>660</v>
      </c>
      <c r="J2296" t="str">
        <f>_xlfn.XLOOKUP(Table1[[#This Row],[Course ]], CCF!B:B, CCF!A:A)</f>
        <v>DM101</v>
      </c>
      <c r="K2296" t="s">
        <v>365</v>
      </c>
      <c r="L2296">
        <f>_xlfn.XLOOKUP(K2296, CCF!B:B, CCF!C:C)</f>
        <v>85499</v>
      </c>
      <c r="M2296" t="s">
        <v>67</v>
      </c>
    </row>
    <row r="2297" spans="1:13" x14ac:dyDescent="0.3">
      <c r="A2297">
        <v>2296</v>
      </c>
      <c r="B2297" t="s">
        <v>2951</v>
      </c>
      <c r="C2297" s="3">
        <v>63274</v>
      </c>
      <c r="D2297" t="s">
        <v>666</v>
      </c>
      <c r="E2297">
        <v>32</v>
      </c>
      <c r="F2297" s="1">
        <v>45627</v>
      </c>
      <c r="G2297" s="1" t="str">
        <f>TEXT(Table1[[#This Row],[Enrollment date]], "mmm")</f>
        <v>Dec</v>
      </c>
      <c r="H2297" t="s">
        <v>360</v>
      </c>
      <c r="I2297" t="s">
        <v>663</v>
      </c>
      <c r="J2297" t="str">
        <f>_xlfn.XLOOKUP(Table1[[#This Row],[Course ]], CCF!B:B, CCF!A:A)</f>
        <v>DM101</v>
      </c>
      <c r="K2297" t="s">
        <v>365</v>
      </c>
      <c r="L2297">
        <f>_xlfn.XLOOKUP(K2297, CCF!B:B, CCF!C:C)</f>
        <v>85499</v>
      </c>
      <c r="M2297" t="s">
        <v>642</v>
      </c>
    </row>
    <row r="2298" spans="1:13" x14ac:dyDescent="0.3">
      <c r="A2298">
        <v>2297</v>
      </c>
      <c r="B2298" t="s">
        <v>2952</v>
      </c>
      <c r="C2298" s="3">
        <v>65400</v>
      </c>
      <c r="D2298" t="s">
        <v>667</v>
      </c>
      <c r="E2298">
        <v>56</v>
      </c>
      <c r="F2298" s="1">
        <v>45628</v>
      </c>
      <c r="G2298" s="1" t="str">
        <f>TEXT(Table1[[#This Row],[Enrollment date]], "mmm")</f>
        <v>Dec</v>
      </c>
      <c r="H2298" t="s">
        <v>360</v>
      </c>
      <c r="I2298" t="s">
        <v>660</v>
      </c>
      <c r="J2298" t="str">
        <f>_xlfn.XLOOKUP(Table1[[#This Row],[Course ]], CCF!B:B, CCF!A:A)</f>
        <v>BA301</v>
      </c>
      <c r="K2298" t="s">
        <v>364</v>
      </c>
      <c r="L2298">
        <f>_xlfn.XLOOKUP(K2298, CCF!B:B, CCF!C:C)</f>
        <v>59999</v>
      </c>
      <c r="M2298" t="s">
        <v>201</v>
      </c>
    </row>
    <row r="2299" spans="1:13" x14ac:dyDescent="0.3">
      <c r="A2299">
        <v>2298</v>
      </c>
      <c r="B2299" t="s">
        <v>2953</v>
      </c>
      <c r="C2299" s="3">
        <v>53546</v>
      </c>
      <c r="D2299" t="s">
        <v>667</v>
      </c>
      <c r="E2299">
        <v>38</v>
      </c>
      <c r="F2299" s="1">
        <v>45628</v>
      </c>
      <c r="G2299" s="1" t="str">
        <f>TEXT(Table1[[#This Row],[Enrollment date]], "mmm")</f>
        <v>Dec</v>
      </c>
      <c r="H2299" t="s">
        <v>360</v>
      </c>
      <c r="I2299" t="s">
        <v>660</v>
      </c>
      <c r="J2299" t="str">
        <f>_xlfn.XLOOKUP(Table1[[#This Row],[Course ]], CCF!B:B, CCF!A:A)</f>
        <v>BA301</v>
      </c>
      <c r="K2299" t="s">
        <v>364</v>
      </c>
      <c r="L2299">
        <f>_xlfn.XLOOKUP(K2299, CCF!B:B, CCF!C:C)</f>
        <v>59999</v>
      </c>
      <c r="M2299" t="s">
        <v>9</v>
      </c>
    </row>
    <row r="2300" spans="1:13" x14ac:dyDescent="0.3">
      <c r="A2300">
        <v>2299</v>
      </c>
      <c r="B2300" t="s">
        <v>2954</v>
      </c>
      <c r="C2300" s="3">
        <v>21458</v>
      </c>
      <c r="D2300" t="s">
        <v>667</v>
      </c>
      <c r="E2300">
        <v>48</v>
      </c>
      <c r="F2300" s="1">
        <v>45628</v>
      </c>
      <c r="G2300" s="1" t="str">
        <f>TEXT(Table1[[#This Row],[Enrollment date]], "mmm")</f>
        <v>Dec</v>
      </c>
      <c r="H2300" t="s">
        <v>360</v>
      </c>
      <c r="I2300" t="s">
        <v>660</v>
      </c>
      <c r="J2300" t="str">
        <f>_xlfn.XLOOKUP(Table1[[#This Row],[Course ]], CCF!B:B, CCF!A:A)</f>
        <v>BA301</v>
      </c>
      <c r="K2300" t="s">
        <v>364</v>
      </c>
      <c r="L2300">
        <f>_xlfn.XLOOKUP(K2300, CCF!B:B, CCF!C:C)</f>
        <v>59999</v>
      </c>
      <c r="M2300" t="s">
        <v>16</v>
      </c>
    </row>
    <row r="2301" spans="1:13" x14ac:dyDescent="0.3">
      <c r="A2301">
        <v>2300</v>
      </c>
      <c r="B2301" t="s">
        <v>2955</v>
      </c>
      <c r="C2301" s="3">
        <v>77348</v>
      </c>
      <c r="D2301" t="s">
        <v>666</v>
      </c>
      <c r="E2301">
        <v>74</v>
      </c>
      <c r="F2301" s="1">
        <v>45628</v>
      </c>
      <c r="G2301" s="1" t="str">
        <f>TEXT(Table1[[#This Row],[Enrollment date]], "mmm")</f>
        <v>Dec</v>
      </c>
      <c r="H2301" t="s">
        <v>360</v>
      </c>
      <c r="I2301" t="s">
        <v>661</v>
      </c>
      <c r="J2301" t="str">
        <f>_xlfn.XLOOKUP(Table1[[#This Row],[Course ]], CCF!B:B, CCF!A:A)</f>
        <v>FSD103</v>
      </c>
      <c r="K2301" t="s">
        <v>366</v>
      </c>
      <c r="L2301">
        <f>_xlfn.XLOOKUP(K2301, CCF!B:B, CCF!C:C)</f>
        <v>109990</v>
      </c>
      <c r="M2301" t="s">
        <v>161</v>
      </c>
    </row>
    <row r="2302" spans="1:13" x14ac:dyDescent="0.3">
      <c r="A2302">
        <v>2301</v>
      </c>
      <c r="B2302" t="s">
        <v>2956</v>
      </c>
      <c r="C2302" s="3">
        <v>88266</v>
      </c>
      <c r="D2302" t="s">
        <v>666</v>
      </c>
      <c r="E2302">
        <v>37</v>
      </c>
      <c r="F2302" s="1">
        <v>45628</v>
      </c>
      <c r="G2302" s="1" t="str">
        <f>TEXT(Table1[[#This Row],[Enrollment date]], "mmm")</f>
        <v>Dec</v>
      </c>
      <c r="H2302" t="s">
        <v>360</v>
      </c>
      <c r="I2302" t="s">
        <v>663</v>
      </c>
      <c r="J2302" t="str">
        <f>_xlfn.XLOOKUP(Table1[[#This Row],[Course ]], CCF!B:B, CCF!A:A)</f>
        <v>DM101</v>
      </c>
      <c r="K2302" t="s">
        <v>365</v>
      </c>
      <c r="L2302">
        <f>_xlfn.XLOOKUP(K2302, CCF!B:B, CCF!C:C)</f>
        <v>85499</v>
      </c>
      <c r="M2302" t="s">
        <v>9</v>
      </c>
    </row>
    <row r="2303" spans="1:13" x14ac:dyDescent="0.3">
      <c r="A2303">
        <v>2302</v>
      </c>
      <c r="B2303" t="s">
        <v>2957</v>
      </c>
      <c r="C2303" s="3">
        <v>80167</v>
      </c>
      <c r="D2303" t="s">
        <v>666</v>
      </c>
      <c r="E2303">
        <v>31</v>
      </c>
      <c r="F2303" s="1">
        <v>45628</v>
      </c>
      <c r="G2303" s="1" t="str">
        <f>TEXT(Table1[[#This Row],[Enrollment date]], "mmm")</f>
        <v>Dec</v>
      </c>
      <c r="H2303" t="s">
        <v>360</v>
      </c>
      <c r="I2303" t="s">
        <v>659</v>
      </c>
      <c r="J2303" t="str">
        <f>_xlfn.XLOOKUP(Table1[[#This Row],[Course ]], CCF!B:B, CCF!A:A)</f>
        <v>DM101</v>
      </c>
      <c r="K2303" t="s">
        <v>365</v>
      </c>
      <c r="L2303">
        <f>_xlfn.XLOOKUP(K2303, CCF!B:B, CCF!C:C)</f>
        <v>85499</v>
      </c>
      <c r="M2303" t="s">
        <v>103</v>
      </c>
    </row>
    <row r="2304" spans="1:13" x14ac:dyDescent="0.3">
      <c r="A2304">
        <v>2303</v>
      </c>
      <c r="B2304" t="s">
        <v>2958</v>
      </c>
      <c r="C2304" s="3">
        <v>82153</v>
      </c>
      <c r="D2304" t="s">
        <v>666</v>
      </c>
      <c r="E2304">
        <v>21</v>
      </c>
      <c r="F2304" s="1">
        <v>45628</v>
      </c>
      <c r="G2304" s="1" t="str">
        <f>TEXT(Table1[[#This Row],[Enrollment date]], "mmm")</f>
        <v>Dec</v>
      </c>
      <c r="H2304" t="s">
        <v>360</v>
      </c>
      <c r="I2304" t="s">
        <v>659</v>
      </c>
      <c r="J2304" t="str">
        <f>_xlfn.XLOOKUP(Table1[[#This Row],[Course ]], CCF!B:B, CCF!A:A)</f>
        <v>DA202</v>
      </c>
      <c r="K2304" t="s">
        <v>363</v>
      </c>
      <c r="L2304">
        <f>_xlfn.XLOOKUP(K2304, CCF!B:B, CCF!C:C)</f>
        <v>79999</v>
      </c>
      <c r="M2304" t="s">
        <v>18</v>
      </c>
    </row>
    <row r="2305" spans="1:13" x14ac:dyDescent="0.3">
      <c r="A2305">
        <v>2304</v>
      </c>
      <c r="B2305" t="s">
        <v>2959</v>
      </c>
      <c r="C2305" s="3">
        <v>53567</v>
      </c>
      <c r="D2305" t="s">
        <v>666</v>
      </c>
      <c r="E2305">
        <v>27</v>
      </c>
      <c r="F2305" s="1">
        <v>45629</v>
      </c>
      <c r="G2305" s="1" t="str">
        <f>TEXT(Table1[[#This Row],[Enrollment date]], "mmm")</f>
        <v>Dec</v>
      </c>
      <c r="H2305" t="s">
        <v>360</v>
      </c>
      <c r="I2305" t="s">
        <v>659</v>
      </c>
      <c r="J2305" t="str">
        <f>_xlfn.XLOOKUP(Table1[[#This Row],[Course ]], CCF!B:B, CCF!A:A)</f>
        <v>DM101</v>
      </c>
      <c r="K2305" t="s">
        <v>365</v>
      </c>
      <c r="L2305">
        <f>_xlfn.XLOOKUP(K2305, CCF!B:B, CCF!C:C)</f>
        <v>85499</v>
      </c>
      <c r="M2305" t="s">
        <v>643</v>
      </c>
    </row>
    <row r="2306" spans="1:13" x14ac:dyDescent="0.3">
      <c r="A2306">
        <v>2305</v>
      </c>
      <c r="B2306" t="s">
        <v>2960</v>
      </c>
      <c r="C2306" s="3">
        <v>89065</v>
      </c>
      <c r="D2306" t="s">
        <v>666</v>
      </c>
      <c r="E2306">
        <v>38</v>
      </c>
      <c r="F2306" s="1">
        <v>45629</v>
      </c>
      <c r="G2306" s="1" t="str">
        <f>TEXT(Table1[[#This Row],[Enrollment date]], "mmm")</f>
        <v>Dec</v>
      </c>
      <c r="H2306" t="s">
        <v>360</v>
      </c>
      <c r="I2306" t="s">
        <v>665</v>
      </c>
      <c r="J2306" t="str">
        <f>_xlfn.XLOOKUP(Table1[[#This Row],[Course ]], CCF!B:B, CCF!A:A)</f>
        <v>DM101</v>
      </c>
      <c r="K2306" t="s">
        <v>365</v>
      </c>
      <c r="L2306">
        <f>_xlfn.XLOOKUP(K2306, CCF!B:B, CCF!C:C)</f>
        <v>85499</v>
      </c>
      <c r="M2306" t="s">
        <v>16</v>
      </c>
    </row>
    <row r="2307" spans="1:13" x14ac:dyDescent="0.3">
      <c r="A2307">
        <v>2306</v>
      </c>
      <c r="B2307" t="s">
        <v>2961</v>
      </c>
      <c r="C2307" s="3">
        <v>32866</v>
      </c>
      <c r="D2307" t="s">
        <v>666</v>
      </c>
      <c r="E2307">
        <v>46</v>
      </c>
      <c r="F2307" s="1">
        <v>45629</v>
      </c>
      <c r="G2307" s="1" t="str">
        <f>TEXT(Table1[[#This Row],[Enrollment date]], "mmm")</f>
        <v>Dec</v>
      </c>
      <c r="H2307" t="s">
        <v>360</v>
      </c>
      <c r="I2307" t="s">
        <v>659</v>
      </c>
      <c r="J2307" t="str">
        <f>_xlfn.XLOOKUP(Table1[[#This Row],[Course ]], CCF!B:B, CCF!A:A)</f>
        <v>HR201</v>
      </c>
      <c r="K2307" t="s">
        <v>3152</v>
      </c>
      <c r="L2307">
        <f>_xlfn.XLOOKUP(K2307, CCF!B:B, CCF!C:C)</f>
        <v>41999</v>
      </c>
      <c r="M2307" t="s">
        <v>8</v>
      </c>
    </row>
    <row r="2308" spans="1:13" x14ac:dyDescent="0.3">
      <c r="A2308">
        <v>2307</v>
      </c>
      <c r="B2308" t="s">
        <v>2962</v>
      </c>
      <c r="C2308" s="3">
        <v>40129</v>
      </c>
      <c r="D2308" t="s">
        <v>666</v>
      </c>
      <c r="E2308">
        <v>29</v>
      </c>
      <c r="F2308" s="1">
        <v>45630</v>
      </c>
      <c r="G2308" s="1" t="str">
        <f>TEXT(Table1[[#This Row],[Enrollment date]], "mmm")</f>
        <v>Dec</v>
      </c>
      <c r="H2308" t="s">
        <v>360</v>
      </c>
      <c r="I2308" t="s">
        <v>661</v>
      </c>
      <c r="J2308" t="str">
        <f>_xlfn.XLOOKUP(Table1[[#This Row],[Course ]], CCF!B:B, CCF!A:A)</f>
        <v>BA301</v>
      </c>
      <c r="K2308" t="s">
        <v>364</v>
      </c>
      <c r="L2308">
        <f>_xlfn.XLOOKUP(K2308, CCF!B:B, CCF!C:C)</f>
        <v>59999</v>
      </c>
      <c r="M2308" t="s">
        <v>27</v>
      </c>
    </row>
    <row r="2309" spans="1:13" x14ac:dyDescent="0.3">
      <c r="A2309">
        <v>2308</v>
      </c>
      <c r="B2309" t="s">
        <v>2963</v>
      </c>
      <c r="C2309" s="3">
        <v>11773</v>
      </c>
      <c r="D2309" t="s">
        <v>667</v>
      </c>
      <c r="E2309">
        <v>74</v>
      </c>
      <c r="F2309" s="1">
        <v>45630</v>
      </c>
      <c r="G2309" s="1" t="str">
        <f>TEXT(Table1[[#This Row],[Enrollment date]], "mmm")</f>
        <v>Dec</v>
      </c>
      <c r="H2309" t="s">
        <v>360</v>
      </c>
      <c r="I2309" t="s">
        <v>664</v>
      </c>
      <c r="J2309" t="str">
        <f>_xlfn.XLOOKUP(Table1[[#This Row],[Course ]], CCF!B:B, CCF!A:A)</f>
        <v>DM101</v>
      </c>
      <c r="K2309" t="s">
        <v>365</v>
      </c>
      <c r="L2309">
        <f>_xlfn.XLOOKUP(K2309, CCF!B:B, CCF!C:C)</f>
        <v>85499</v>
      </c>
      <c r="M2309" t="s">
        <v>38</v>
      </c>
    </row>
    <row r="2310" spans="1:13" x14ac:dyDescent="0.3">
      <c r="A2310">
        <v>2309</v>
      </c>
      <c r="B2310" t="s">
        <v>2784</v>
      </c>
      <c r="C2310" s="3">
        <v>86772</v>
      </c>
      <c r="D2310" t="s">
        <v>667</v>
      </c>
      <c r="E2310">
        <v>35</v>
      </c>
      <c r="F2310" s="1">
        <v>45630</v>
      </c>
      <c r="G2310" s="1" t="str">
        <f>TEXT(Table1[[#This Row],[Enrollment date]], "mmm")</f>
        <v>Dec</v>
      </c>
      <c r="H2310" t="s">
        <v>360</v>
      </c>
      <c r="I2310" t="s">
        <v>660</v>
      </c>
      <c r="J2310" t="str">
        <f>_xlfn.XLOOKUP(Table1[[#This Row],[Course ]], CCF!B:B, CCF!A:A)</f>
        <v>BA301</v>
      </c>
      <c r="K2310" t="s">
        <v>364</v>
      </c>
      <c r="L2310">
        <f>_xlfn.XLOOKUP(K2310, CCF!B:B, CCF!C:C)</f>
        <v>59999</v>
      </c>
      <c r="M2310" t="s">
        <v>236</v>
      </c>
    </row>
    <row r="2311" spans="1:13" x14ac:dyDescent="0.3">
      <c r="A2311">
        <v>2310</v>
      </c>
      <c r="B2311" t="s">
        <v>2964</v>
      </c>
      <c r="C2311" s="3">
        <v>36072</v>
      </c>
      <c r="D2311" t="s">
        <v>666</v>
      </c>
      <c r="E2311">
        <v>63</v>
      </c>
      <c r="F2311" s="1">
        <v>45630</v>
      </c>
      <c r="G2311" s="1" t="str">
        <f>TEXT(Table1[[#This Row],[Enrollment date]], "mmm")</f>
        <v>Dec</v>
      </c>
      <c r="H2311" t="s">
        <v>360</v>
      </c>
      <c r="I2311" t="s">
        <v>664</v>
      </c>
      <c r="J2311" t="str">
        <f>_xlfn.XLOOKUP(Table1[[#This Row],[Course ]], CCF!B:B, CCF!A:A)</f>
        <v>DA202</v>
      </c>
      <c r="K2311" t="s">
        <v>363</v>
      </c>
      <c r="L2311">
        <f>_xlfn.XLOOKUP(K2311, CCF!B:B, CCF!C:C)</f>
        <v>79999</v>
      </c>
      <c r="M2311" t="s">
        <v>80</v>
      </c>
    </row>
    <row r="2312" spans="1:13" x14ac:dyDescent="0.3">
      <c r="A2312">
        <v>2311</v>
      </c>
      <c r="B2312" t="s">
        <v>2965</v>
      </c>
      <c r="C2312" s="3">
        <v>42926</v>
      </c>
      <c r="D2312" t="s">
        <v>666</v>
      </c>
      <c r="E2312">
        <v>23</v>
      </c>
      <c r="F2312" s="1">
        <v>45630</v>
      </c>
      <c r="G2312" s="1" t="str">
        <f>TEXT(Table1[[#This Row],[Enrollment date]], "mmm")</f>
        <v>Dec</v>
      </c>
      <c r="H2312" t="s">
        <v>360</v>
      </c>
      <c r="I2312" t="s">
        <v>664</v>
      </c>
      <c r="J2312" t="str">
        <f>_xlfn.XLOOKUP(Table1[[#This Row],[Course ]], CCF!B:B, CCF!A:A)</f>
        <v>DM101</v>
      </c>
      <c r="K2312" t="s">
        <v>365</v>
      </c>
      <c r="L2312">
        <f>_xlfn.XLOOKUP(K2312, CCF!B:B, CCF!C:C)</f>
        <v>85499</v>
      </c>
      <c r="M2312" t="s">
        <v>53</v>
      </c>
    </row>
    <row r="2313" spans="1:13" x14ac:dyDescent="0.3">
      <c r="A2313">
        <v>2312</v>
      </c>
      <c r="B2313" t="s">
        <v>2966</v>
      </c>
      <c r="C2313" s="3">
        <v>67877</v>
      </c>
      <c r="D2313" t="s">
        <v>666</v>
      </c>
      <c r="E2313">
        <v>19</v>
      </c>
      <c r="F2313" s="1">
        <v>45631</v>
      </c>
      <c r="G2313" s="1" t="str">
        <f>TEXT(Table1[[#This Row],[Enrollment date]], "mmm")</f>
        <v>Dec</v>
      </c>
      <c r="H2313" t="s">
        <v>360</v>
      </c>
      <c r="I2313" t="s">
        <v>660</v>
      </c>
      <c r="J2313" t="str">
        <f>_xlfn.XLOOKUP(Table1[[#This Row],[Course ]], CCF!B:B, CCF!A:A)</f>
        <v>BA301</v>
      </c>
      <c r="K2313" t="s">
        <v>364</v>
      </c>
      <c r="L2313">
        <f>_xlfn.XLOOKUP(K2313, CCF!B:B, CCF!C:C)</f>
        <v>59999</v>
      </c>
      <c r="M2313" t="s">
        <v>30</v>
      </c>
    </row>
    <row r="2314" spans="1:13" x14ac:dyDescent="0.3">
      <c r="A2314">
        <v>2313</v>
      </c>
      <c r="B2314" t="s">
        <v>2967</v>
      </c>
      <c r="C2314" s="3">
        <v>87785</v>
      </c>
      <c r="D2314" t="s">
        <v>666</v>
      </c>
      <c r="E2314">
        <v>77</v>
      </c>
      <c r="F2314" s="1">
        <v>45631</v>
      </c>
      <c r="G2314" s="1" t="str">
        <f>TEXT(Table1[[#This Row],[Enrollment date]], "mmm")</f>
        <v>Dec</v>
      </c>
      <c r="H2314" t="s">
        <v>360</v>
      </c>
      <c r="I2314" t="s">
        <v>661</v>
      </c>
      <c r="J2314" t="str">
        <f>_xlfn.XLOOKUP(Table1[[#This Row],[Course ]], CCF!B:B, CCF!A:A)</f>
        <v>DA202</v>
      </c>
      <c r="K2314" t="s">
        <v>363</v>
      </c>
      <c r="L2314">
        <f>_xlfn.XLOOKUP(K2314, CCF!B:B, CCF!C:C)</f>
        <v>79999</v>
      </c>
      <c r="M2314" t="s">
        <v>84</v>
      </c>
    </row>
    <row r="2315" spans="1:13" x14ac:dyDescent="0.3">
      <c r="A2315">
        <v>2314</v>
      </c>
      <c r="B2315" t="s">
        <v>2968</v>
      </c>
      <c r="C2315" s="3">
        <v>56256</v>
      </c>
      <c r="D2315" t="s">
        <v>666</v>
      </c>
      <c r="E2315">
        <v>48</v>
      </c>
      <c r="F2315" s="1">
        <v>45631</v>
      </c>
      <c r="G2315" s="1" t="str">
        <f>TEXT(Table1[[#This Row],[Enrollment date]], "mmm")</f>
        <v>Dec</v>
      </c>
      <c r="H2315" t="s">
        <v>360</v>
      </c>
      <c r="I2315" t="s">
        <v>659</v>
      </c>
      <c r="J2315" t="str">
        <f>_xlfn.XLOOKUP(Table1[[#This Row],[Course ]], CCF!B:B, CCF!A:A)</f>
        <v>UX401</v>
      </c>
      <c r="K2315" t="s">
        <v>367</v>
      </c>
      <c r="L2315">
        <f>_xlfn.XLOOKUP(K2315, CCF!B:B, CCF!C:C)</f>
        <v>67990</v>
      </c>
      <c r="M2315" t="s">
        <v>48</v>
      </c>
    </row>
    <row r="2316" spans="1:13" x14ac:dyDescent="0.3">
      <c r="A2316">
        <v>2315</v>
      </c>
      <c r="B2316" t="s">
        <v>2969</v>
      </c>
      <c r="C2316" s="3">
        <v>17300</v>
      </c>
      <c r="D2316" t="s">
        <v>666</v>
      </c>
      <c r="E2316">
        <v>31</v>
      </c>
      <c r="F2316" s="1">
        <v>45631</v>
      </c>
      <c r="G2316" s="1" t="str">
        <f>TEXT(Table1[[#This Row],[Enrollment date]], "mmm")</f>
        <v>Dec</v>
      </c>
      <c r="H2316" t="s">
        <v>360</v>
      </c>
      <c r="I2316" t="s">
        <v>664</v>
      </c>
      <c r="J2316" t="str">
        <f>_xlfn.XLOOKUP(Table1[[#This Row],[Course ]], CCF!B:B, CCF!A:A)</f>
        <v>FSD103</v>
      </c>
      <c r="K2316" t="s">
        <v>366</v>
      </c>
      <c r="L2316">
        <f>_xlfn.XLOOKUP(K2316, CCF!B:B, CCF!C:C)</f>
        <v>109990</v>
      </c>
      <c r="M2316" t="s">
        <v>2</v>
      </c>
    </row>
    <row r="2317" spans="1:13" x14ac:dyDescent="0.3">
      <c r="A2317">
        <v>2316</v>
      </c>
      <c r="B2317" t="s">
        <v>2970</v>
      </c>
      <c r="C2317" s="3">
        <v>25852</v>
      </c>
      <c r="D2317" t="s">
        <v>666</v>
      </c>
      <c r="E2317">
        <v>55</v>
      </c>
      <c r="F2317" s="1">
        <v>45631</v>
      </c>
      <c r="G2317" s="1" t="str">
        <f>TEXT(Table1[[#This Row],[Enrollment date]], "mmm")</f>
        <v>Dec</v>
      </c>
      <c r="H2317" t="s">
        <v>360</v>
      </c>
      <c r="I2317" t="s">
        <v>660</v>
      </c>
      <c r="J2317" t="str">
        <f>_xlfn.XLOOKUP(Table1[[#This Row],[Course ]], CCF!B:B, CCF!A:A)</f>
        <v>DM101</v>
      </c>
      <c r="K2317" t="s">
        <v>365</v>
      </c>
      <c r="L2317">
        <f>_xlfn.XLOOKUP(K2317, CCF!B:B, CCF!C:C)</f>
        <v>85499</v>
      </c>
      <c r="M2317" t="s">
        <v>570</v>
      </c>
    </row>
    <row r="2318" spans="1:13" x14ac:dyDescent="0.3">
      <c r="A2318">
        <v>2317</v>
      </c>
      <c r="B2318" t="s">
        <v>2971</v>
      </c>
      <c r="C2318" s="3">
        <v>55004</v>
      </c>
      <c r="D2318" t="s">
        <v>667</v>
      </c>
      <c r="E2318">
        <v>32</v>
      </c>
      <c r="F2318" s="1">
        <v>45631</v>
      </c>
      <c r="G2318" s="1" t="str">
        <f>TEXT(Table1[[#This Row],[Enrollment date]], "mmm")</f>
        <v>Dec</v>
      </c>
      <c r="H2318" t="s">
        <v>360</v>
      </c>
      <c r="I2318" t="s">
        <v>659</v>
      </c>
      <c r="J2318" t="str">
        <f>_xlfn.XLOOKUP(Table1[[#This Row],[Course ]], CCF!B:B, CCF!A:A)</f>
        <v>DM101</v>
      </c>
      <c r="K2318" t="s">
        <v>365</v>
      </c>
      <c r="L2318">
        <f>_xlfn.XLOOKUP(K2318, CCF!B:B, CCF!C:C)</f>
        <v>85499</v>
      </c>
      <c r="M2318" t="s">
        <v>18</v>
      </c>
    </row>
    <row r="2319" spans="1:13" x14ac:dyDescent="0.3">
      <c r="A2319">
        <v>2318</v>
      </c>
      <c r="B2319" t="s">
        <v>2972</v>
      </c>
      <c r="C2319" s="3">
        <v>64359</v>
      </c>
      <c r="D2319" t="s">
        <v>667</v>
      </c>
      <c r="E2319">
        <v>31</v>
      </c>
      <c r="F2319" s="1">
        <v>45631</v>
      </c>
      <c r="G2319" s="1" t="str">
        <f>TEXT(Table1[[#This Row],[Enrollment date]], "mmm")</f>
        <v>Dec</v>
      </c>
      <c r="H2319" t="s">
        <v>360</v>
      </c>
      <c r="I2319" t="s">
        <v>665</v>
      </c>
      <c r="J2319" t="str">
        <f>_xlfn.XLOOKUP(Table1[[#This Row],[Course ]], CCF!B:B, CCF!A:A)</f>
        <v>UX401</v>
      </c>
      <c r="K2319" t="s">
        <v>367</v>
      </c>
      <c r="L2319">
        <f>_xlfn.XLOOKUP(K2319, CCF!B:B, CCF!C:C)</f>
        <v>67990</v>
      </c>
      <c r="M2319" t="s">
        <v>147</v>
      </c>
    </row>
    <row r="2320" spans="1:13" x14ac:dyDescent="0.3">
      <c r="A2320">
        <v>2319</v>
      </c>
      <c r="B2320" t="s">
        <v>2973</v>
      </c>
      <c r="C2320" s="3">
        <v>66491</v>
      </c>
      <c r="D2320" t="s">
        <v>667</v>
      </c>
      <c r="E2320">
        <v>60</v>
      </c>
      <c r="F2320" s="1">
        <v>45631</v>
      </c>
      <c r="G2320" s="1" t="str">
        <f>TEXT(Table1[[#This Row],[Enrollment date]], "mmm")</f>
        <v>Dec</v>
      </c>
      <c r="H2320" t="s">
        <v>361</v>
      </c>
      <c r="I2320" t="s">
        <v>661</v>
      </c>
      <c r="J2320" t="str">
        <f>_xlfn.XLOOKUP(Table1[[#This Row],[Course ]], CCF!B:B, CCF!A:A)</f>
        <v>DA202</v>
      </c>
      <c r="K2320" t="s">
        <v>363</v>
      </c>
      <c r="L2320">
        <f>_xlfn.XLOOKUP(K2320, CCF!B:B, CCF!C:C)</f>
        <v>79999</v>
      </c>
      <c r="M2320" t="s">
        <v>111</v>
      </c>
    </row>
    <row r="2321" spans="1:13" x14ac:dyDescent="0.3">
      <c r="A2321">
        <v>2320</v>
      </c>
      <c r="B2321" t="s">
        <v>2974</v>
      </c>
      <c r="C2321" s="3">
        <v>43143</v>
      </c>
      <c r="D2321" t="s">
        <v>667</v>
      </c>
      <c r="E2321">
        <v>36</v>
      </c>
      <c r="F2321" s="1">
        <v>45631</v>
      </c>
      <c r="G2321" s="1" t="str">
        <f>TEXT(Table1[[#This Row],[Enrollment date]], "mmm")</f>
        <v>Dec</v>
      </c>
      <c r="H2321" t="s">
        <v>360</v>
      </c>
      <c r="I2321" t="s">
        <v>662</v>
      </c>
      <c r="J2321" t="str">
        <f>_xlfn.XLOOKUP(Table1[[#This Row],[Course ]], CCF!B:B, CCF!A:A)</f>
        <v>DA202</v>
      </c>
      <c r="K2321" t="s">
        <v>363</v>
      </c>
      <c r="L2321">
        <f>_xlfn.XLOOKUP(K2321, CCF!B:B, CCF!C:C)</f>
        <v>79999</v>
      </c>
      <c r="M2321" t="s">
        <v>9</v>
      </c>
    </row>
    <row r="2322" spans="1:13" x14ac:dyDescent="0.3">
      <c r="A2322">
        <v>2321</v>
      </c>
      <c r="B2322" t="s">
        <v>2975</v>
      </c>
      <c r="C2322" s="3">
        <v>55929</v>
      </c>
      <c r="D2322" t="s">
        <v>666</v>
      </c>
      <c r="E2322">
        <v>41</v>
      </c>
      <c r="F2322" s="1">
        <v>45631</v>
      </c>
      <c r="G2322" s="1" t="str">
        <f>TEXT(Table1[[#This Row],[Enrollment date]], "mmm")</f>
        <v>Dec</v>
      </c>
      <c r="H2322" t="s">
        <v>360</v>
      </c>
      <c r="I2322" t="s">
        <v>659</v>
      </c>
      <c r="J2322" t="str">
        <f>_xlfn.XLOOKUP(Table1[[#This Row],[Course ]], CCF!B:B, CCF!A:A)</f>
        <v>DM101</v>
      </c>
      <c r="K2322" t="s">
        <v>365</v>
      </c>
      <c r="L2322">
        <f>_xlfn.XLOOKUP(K2322, CCF!B:B, CCF!C:C)</f>
        <v>85499</v>
      </c>
      <c r="M2322" t="s">
        <v>16</v>
      </c>
    </row>
    <row r="2323" spans="1:13" x14ac:dyDescent="0.3">
      <c r="A2323">
        <v>2322</v>
      </c>
      <c r="B2323" t="s">
        <v>2976</v>
      </c>
      <c r="C2323" s="3">
        <v>94014</v>
      </c>
      <c r="D2323" t="s">
        <v>667</v>
      </c>
      <c r="E2323">
        <v>32</v>
      </c>
      <c r="F2323" s="1">
        <v>45632</v>
      </c>
      <c r="G2323" s="1" t="str">
        <f>TEXT(Table1[[#This Row],[Enrollment date]], "mmm")</f>
        <v>Dec</v>
      </c>
      <c r="H2323" t="s">
        <v>360</v>
      </c>
      <c r="I2323" t="s">
        <v>661</v>
      </c>
      <c r="J2323" t="str">
        <f>_xlfn.XLOOKUP(Table1[[#This Row],[Course ]], CCF!B:B, CCF!A:A)</f>
        <v>DA202</v>
      </c>
      <c r="K2323" t="s">
        <v>363</v>
      </c>
      <c r="L2323">
        <f>_xlfn.XLOOKUP(K2323, CCF!B:B, CCF!C:C)</f>
        <v>79999</v>
      </c>
      <c r="M2323" t="s">
        <v>11</v>
      </c>
    </row>
    <row r="2324" spans="1:13" x14ac:dyDescent="0.3">
      <c r="A2324">
        <v>2323</v>
      </c>
      <c r="B2324" t="s">
        <v>2977</v>
      </c>
      <c r="C2324" s="3">
        <v>30916</v>
      </c>
      <c r="D2324" t="s">
        <v>667</v>
      </c>
      <c r="E2324">
        <v>21</v>
      </c>
      <c r="F2324" s="1">
        <v>45632</v>
      </c>
      <c r="G2324" s="1" t="str">
        <f>TEXT(Table1[[#This Row],[Enrollment date]], "mmm")</f>
        <v>Dec</v>
      </c>
      <c r="H2324" t="s">
        <v>360</v>
      </c>
      <c r="I2324" t="s">
        <v>663</v>
      </c>
      <c r="J2324" t="str">
        <f>_xlfn.XLOOKUP(Table1[[#This Row],[Course ]], CCF!B:B, CCF!A:A)</f>
        <v>BA301</v>
      </c>
      <c r="K2324" t="s">
        <v>364</v>
      </c>
      <c r="L2324">
        <f>_xlfn.XLOOKUP(K2324, CCF!B:B, CCF!C:C)</f>
        <v>59999</v>
      </c>
      <c r="M2324" t="s">
        <v>16</v>
      </c>
    </row>
    <row r="2325" spans="1:13" x14ac:dyDescent="0.3">
      <c r="A2325">
        <v>2324</v>
      </c>
      <c r="B2325" t="s">
        <v>2978</v>
      </c>
      <c r="C2325" s="3">
        <v>24187</v>
      </c>
      <c r="D2325" t="s">
        <v>666</v>
      </c>
      <c r="E2325">
        <v>30</v>
      </c>
      <c r="F2325" s="1">
        <v>45632</v>
      </c>
      <c r="G2325" s="1" t="str">
        <f>TEXT(Table1[[#This Row],[Enrollment date]], "mmm")</f>
        <v>Dec</v>
      </c>
      <c r="H2325" t="s">
        <v>360</v>
      </c>
      <c r="I2325" t="s">
        <v>660</v>
      </c>
      <c r="J2325" t="str">
        <f>_xlfn.XLOOKUP(Table1[[#This Row],[Course ]], CCF!B:B, CCF!A:A)</f>
        <v>DA202</v>
      </c>
      <c r="K2325" t="s">
        <v>363</v>
      </c>
      <c r="L2325">
        <f>_xlfn.XLOOKUP(K2325, CCF!B:B, CCF!C:C)</f>
        <v>79999</v>
      </c>
      <c r="M2325" t="s">
        <v>178</v>
      </c>
    </row>
    <row r="2326" spans="1:13" x14ac:dyDescent="0.3">
      <c r="A2326">
        <v>2325</v>
      </c>
      <c r="B2326" t="s">
        <v>2979</v>
      </c>
      <c r="C2326" s="3">
        <v>97930</v>
      </c>
      <c r="D2326" t="s">
        <v>667</v>
      </c>
      <c r="E2326">
        <v>43</v>
      </c>
      <c r="F2326" s="1">
        <v>45632</v>
      </c>
      <c r="G2326" s="1" t="str">
        <f>TEXT(Table1[[#This Row],[Enrollment date]], "mmm")</f>
        <v>Dec</v>
      </c>
      <c r="H2326" t="s">
        <v>360</v>
      </c>
      <c r="I2326" t="s">
        <v>659</v>
      </c>
      <c r="J2326" t="str">
        <f>_xlfn.XLOOKUP(Table1[[#This Row],[Course ]], CCF!B:B, CCF!A:A)</f>
        <v>BA301</v>
      </c>
      <c r="K2326" t="s">
        <v>364</v>
      </c>
      <c r="L2326">
        <f>_xlfn.XLOOKUP(K2326, CCF!B:B, CCF!C:C)</f>
        <v>59999</v>
      </c>
      <c r="M2326" t="s">
        <v>214</v>
      </c>
    </row>
    <row r="2327" spans="1:13" x14ac:dyDescent="0.3">
      <c r="A2327">
        <v>2326</v>
      </c>
      <c r="B2327" t="s">
        <v>2980</v>
      </c>
      <c r="C2327" s="3">
        <v>89094</v>
      </c>
      <c r="D2327" t="s">
        <v>666</v>
      </c>
      <c r="E2327">
        <v>27</v>
      </c>
      <c r="F2327" s="1">
        <v>45632</v>
      </c>
      <c r="G2327" s="1" t="str">
        <f>TEXT(Table1[[#This Row],[Enrollment date]], "mmm")</f>
        <v>Dec</v>
      </c>
      <c r="H2327" t="s">
        <v>360</v>
      </c>
      <c r="I2327" t="s">
        <v>660</v>
      </c>
      <c r="J2327" t="str">
        <f>_xlfn.XLOOKUP(Table1[[#This Row],[Course ]], CCF!B:B, CCF!A:A)</f>
        <v>DA202</v>
      </c>
      <c r="K2327" t="s">
        <v>363</v>
      </c>
      <c r="L2327">
        <f>_xlfn.XLOOKUP(K2327, CCF!B:B, CCF!C:C)</f>
        <v>79999</v>
      </c>
      <c r="M2327" t="s">
        <v>42</v>
      </c>
    </row>
    <row r="2328" spans="1:13" x14ac:dyDescent="0.3">
      <c r="A2328">
        <v>2327</v>
      </c>
      <c r="B2328" t="s">
        <v>2981</v>
      </c>
      <c r="C2328" s="3">
        <v>53465</v>
      </c>
      <c r="D2328" t="s">
        <v>667</v>
      </c>
      <c r="E2328">
        <v>38</v>
      </c>
      <c r="F2328" s="1">
        <v>45633</v>
      </c>
      <c r="G2328" s="1" t="str">
        <f>TEXT(Table1[[#This Row],[Enrollment date]], "mmm")</f>
        <v>Dec</v>
      </c>
      <c r="H2328" t="s">
        <v>360</v>
      </c>
      <c r="I2328" t="s">
        <v>661</v>
      </c>
      <c r="J2328" t="str">
        <f>_xlfn.XLOOKUP(Table1[[#This Row],[Course ]], CCF!B:B, CCF!A:A)</f>
        <v>DM101</v>
      </c>
      <c r="K2328" t="s">
        <v>365</v>
      </c>
      <c r="L2328">
        <f>_xlfn.XLOOKUP(K2328, CCF!B:B, CCF!C:C)</f>
        <v>85499</v>
      </c>
      <c r="M2328" t="s">
        <v>644</v>
      </c>
    </row>
    <row r="2329" spans="1:13" x14ac:dyDescent="0.3">
      <c r="A2329">
        <v>2328</v>
      </c>
      <c r="B2329" t="s">
        <v>2982</v>
      </c>
      <c r="C2329" s="3">
        <v>17488</v>
      </c>
      <c r="D2329" t="s">
        <v>666</v>
      </c>
      <c r="E2329">
        <v>32</v>
      </c>
      <c r="F2329" s="1">
        <v>45633</v>
      </c>
      <c r="G2329" s="1" t="str">
        <f>TEXT(Table1[[#This Row],[Enrollment date]], "mmm")</f>
        <v>Dec</v>
      </c>
      <c r="H2329" t="s">
        <v>360</v>
      </c>
      <c r="I2329" t="s">
        <v>659</v>
      </c>
      <c r="J2329" t="str">
        <f>_xlfn.XLOOKUP(Table1[[#This Row],[Course ]], CCF!B:B, CCF!A:A)</f>
        <v>DA202</v>
      </c>
      <c r="K2329" t="s">
        <v>363</v>
      </c>
      <c r="L2329">
        <f>_xlfn.XLOOKUP(K2329, CCF!B:B, CCF!C:C)</f>
        <v>79999</v>
      </c>
      <c r="M2329" t="s">
        <v>9</v>
      </c>
    </row>
    <row r="2330" spans="1:13" x14ac:dyDescent="0.3">
      <c r="A2330">
        <v>2329</v>
      </c>
      <c r="B2330" t="s">
        <v>2983</v>
      </c>
      <c r="C2330" s="3">
        <v>98034</v>
      </c>
      <c r="D2330" t="s">
        <v>667</v>
      </c>
      <c r="E2330">
        <v>22</v>
      </c>
      <c r="F2330" s="1">
        <v>45633</v>
      </c>
      <c r="G2330" s="1" t="str">
        <f>TEXT(Table1[[#This Row],[Enrollment date]], "mmm")</f>
        <v>Dec</v>
      </c>
      <c r="H2330" t="s">
        <v>360</v>
      </c>
      <c r="I2330" t="s">
        <v>660</v>
      </c>
      <c r="J2330" t="str">
        <f>_xlfn.XLOOKUP(Table1[[#This Row],[Course ]], CCF!B:B, CCF!A:A)</f>
        <v>BA301</v>
      </c>
      <c r="K2330" t="s">
        <v>364</v>
      </c>
      <c r="L2330">
        <f>_xlfn.XLOOKUP(K2330, CCF!B:B, CCF!C:C)</f>
        <v>59999</v>
      </c>
      <c r="M2330" t="s">
        <v>16</v>
      </c>
    </row>
    <row r="2331" spans="1:13" x14ac:dyDescent="0.3">
      <c r="A2331">
        <v>2330</v>
      </c>
      <c r="B2331" t="s">
        <v>2984</v>
      </c>
      <c r="C2331" s="3">
        <v>27162</v>
      </c>
      <c r="D2331" t="s">
        <v>666</v>
      </c>
      <c r="E2331">
        <v>21</v>
      </c>
      <c r="F2331" s="1">
        <v>45633</v>
      </c>
      <c r="G2331" s="1" t="str">
        <f>TEXT(Table1[[#This Row],[Enrollment date]], "mmm")</f>
        <v>Dec</v>
      </c>
      <c r="H2331" t="s">
        <v>360</v>
      </c>
      <c r="I2331" t="s">
        <v>660</v>
      </c>
      <c r="J2331" t="str">
        <f>_xlfn.XLOOKUP(Table1[[#This Row],[Course ]], CCF!B:B, CCF!A:A)</f>
        <v>HR201</v>
      </c>
      <c r="K2331" t="s">
        <v>3152</v>
      </c>
      <c r="L2331">
        <f>_xlfn.XLOOKUP(K2331, CCF!B:B, CCF!C:C)</f>
        <v>41999</v>
      </c>
      <c r="M2331" t="s">
        <v>16</v>
      </c>
    </row>
    <row r="2332" spans="1:13" x14ac:dyDescent="0.3">
      <c r="A2332">
        <v>2331</v>
      </c>
      <c r="B2332" t="s">
        <v>2985</v>
      </c>
      <c r="C2332" s="3">
        <v>59803</v>
      </c>
      <c r="D2332" t="s">
        <v>666</v>
      </c>
      <c r="E2332">
        <v>34</v>
      </c>
      <c r="F2332" s="1">
        <v>45633</v>
      </c>
      <c r="G2332" s="1" t="str">
        <f>TEXT(Table1[[#This Row],[Enrollment date]], "mmm")</f>
        <v>Dec</v>
      </c>
      <c r="H2332" t="s">
        <v>360</v>
      </c>
      <c r="I2332" t="s">
        <v>661</v>
      </c>
      <c r="J2332" t="str">
        <f>_xlfn.XLOOKUP(Table1[[#This Row],[Course ]], CCF!B:B, CCF!A:A)</f>
        <v>DM101</v>
      </c>
      <c r="K2332" t="s">
        <v>365</v>
      </c>
      <c r="L2332">
        <f>_xlfn.XLOOKUP(K2332, CCF!B:B, CCF!C:C)</f>
        <v>85499</v>
      </c>
      <c r="M2332" t="s">
        <v>16</v>
      </c>
    </row>
    <row r="2333" spans="1:13" x14ac:dyDescent="0.3">
      <c r="A2333">
        <v>2332</v>
      </c>
      <c r="B2333" t="s">
        <v>2986</v>
      </c>
      <c r="C2333" s="3">
        <v>62067</v>
      </c>
      <c r="D2333" t="s">
        <v>666</v>
      </c>
      <c r="E2333">
        <v>30</v>
      </c>
      <c r="F2333" s="1">
        <v>45633</v>
      </c>
      <c r="G2333" s="1" t="str">
        <f>TEXT(Table1[[#This Row],[Enrollment date]], "mmm")</f>
        <v>Dec</v>
      </c>
      <c r="H2333" t="s">
        <v>360</v>
      </c>
      <c r="I2333" t="s">
        <v>664</v>
      </c>
      <c r="J2333" t="str">
        <f>_xlfn.XLOOKUP(Table1[[#This Row],[Course ]], CCF!B:B, CCF!A:A)</f>
        <v>DM101</v>
      </c>
      <c r="K2333" t="s">
        <v>365</v>
      </c>
      <c r="L2333">
        <f>_xlfn.XLOOKUP(K2333, CCF!B:B, CCF!C:C)</f>
        <v>85499</v>
      </c>
      <c r="M2333" t="s">
        <v>192</v>
      </c>
    </row>
    <row r="2334" spans="1:13" x14ac:dyDescent="0.3">
      <c r="A2334">
        <v>2333</v>
      </c>
      <c r="B2334" t="s">
        <v>2987</v>
      </c>
      <c r="C2334" s="3">
        <v>47388</v>
      </c>
      <c r="D2334" t="s">
        <v>667</v>
      </c>
      <c r="E2334">
        <v>47</v>
      </c>
      <c r="F2334" s="1">
        <v>45633</v>
      </c>
      <c r="G2334" s="1" t="str">
        <f>TEXT(Table1[[#This Row],[Enrollment date]], "mmm")</f>
        <v>Dec</v>
      </c>
      <c r="H2334" t="s">
        <v>360</v>
      </c>
      <c r="I2334" t="s">
        <v>659</v>
      </c>
      <c r="J2334" t="str">
        <f>_xlfn.XLOOKUP(Table1[[#This Row],[Course ]], CCF!B:B, CCF!A:A)</f>
        <v>DM101</v>
      </c>
      <c r="K2334" t="s">
        <v>365</v>
      </c>
      <c r="L2334">
        <f>_xlfn.XLOOKUP(K2334, CCF!B:B, CCF!C:C)</f>
        <v>85499</v>
      </c>
      <c r="M2334" t="s">
        <v>306</v>
      </c>
    </row>
    <row r="2335" spans="1:13" x14ac:dyDescent="0.3">
      <c r="A2335">
        <v>2334</v>
      </c>
      <c r="B2335" t="s">
        <v>2988</v>
      </c>
      <c r="C2335" s="3">
        <v>21424</v>
      </c>
      <c r="D2335" t="s">
        <v>666</v>
      </c>
      <c r="E2335">
        <v>64</v>
      </c>
      <c r="F2335" s="1">
        <v>45634</v>
      </c>
      <c r="G2335" s="1" t="str">
        <f>TEXT(Table1[[#This Row],[Enrollment date]], "mmm")</f>
        <v>Dec</v>
      </c>
      <c r="H2335" t="s">
        <v>360</v>
      </c>
      <c r="I2335" t="s">
        <v>661</v>
      </c>
      <c r="J2335" t="str">
        <f>_xlfn.XLOOKUP(Table1[[#This Row],[Course ]], CCF!B:B, CCF!A:A)</f>
        <v>DM101</v>
      </c>
      <c r="K2335" t="s">
        <v>365</v>
      </c>
      <c r="L2335">
        <f>_xlfn.XLOOKUP(K2335, CCF!B:B, CCF!C:C)</f>
        <v>85499</v>
      </c>
      <c r="M2335" t="s">
        <v>16</v>
      </c>
    </row>
    <row r="2336" spans="1:13" x14ac:dyDescent="0.3">
      <c r="A2336">
        <v>2335</v>
      </c>
      <c r="B2336" t="s">
        <v>2989</v>
      </c>
      <c r="C2336" s="3">
        <v>17391</v>
      </c>
      <c r="D2336" t="s">
        <v>666</v>
      </c>
      <c r="E2336">
        <v>41</v>
      </c>
      <c r="F2336" s="1">
        <v>45634</v>
      </c>
      <c r="G2336" s="1" t="str">
        <f>TEXT(Table1[[#This Row],[Enrollment date]], "mmm")</f>
        <v>Dec</v>
      </c>
      <c r="H2336" t="s">
        <v>361</v>
      </c>
      <c r="I2336" t="s">
        <v>659</v>
      </c>
      <c r="J2336" t="str">
        <f>_xlfn.XLOOKUP(Table1[[#This Row],[Course ]], CCF!B:B, CCF!A:A)</f>
        <v>DM101</v>
      </c>
      <c r="K2336" t="s">
        <v>365</v>
      </c>
      <c r="L2336">
        <f>_xlfn.XLOOKUP(K2336, CCF!B:B, CCF!C:C)</f>
        <v>85499</v>
      </c>
      <c r="M2336" t="s">
        <v>129</v>
      </c>
    </row>
    <row r="2337" spans="1:13" x14ac:dyDescent="0.3">
      <c r="A2337">
        <v>2336</v>
      </c>
      <c r="B2337" t="s">
        <v>2990</v>
      </c>
      <c r="C2337" s="3">
        <v>92476</v>
      </c>
      <c r="D2337" t="s">
        <v>667</v>
      </c>
      <c r="E2337">
        <v>41</v>
      </c>
      <c r="F2337" s="1">
        <v>45634</v>
      </c>
      <c r="G2337" s="1" t="str">
        <f>TEXT(Table1[[#This Row],[Enrollment date]], "mmm")</f>
        <v>Dec</v>
      </c>
      <c r="H2337" t="s">
        <v>360</v>
      </c>
      <c r="I2337" t="s">
        <v>660</v>
      </c>
      <c r="J2337" t="str">
        <f>_xlfn.XLOOKUP(Table1[[#This Row],[Course ]], CCF!B:B, CCF!A:A)</f>
        <v>DM101</v>
      </c>
      <c r="K2337" t="s">
        <v>365</v>
      </c>
      <c r="L2337">
        <f>_xlfn.XLOOKUP(K2337, CCF!B:B, CCF!C:C)</f>
        <v>85499</v>
      </c>
      <c r="M2337" t="s">
        <v>167</v>
      </c>
    </row>
    <row r="2338" spans="1:13" x14ac:dyDescent="0.3">
      <c r="A2338">
        <v>2337</v>
      </c>
      <c r="B2338" t="s">
        <v>2991</v>
      </c>
      <c r="C2338" s="3">
        <v>20647</v>
      </c>
      <c r="D2338" t="s">
        <v>666</v>
      </c>
      <c r="E2338">
        <v>29</v>
      </c>
      <c r="F2338" s="1">
        <v>45634</v>
      </c>
      <c r="G2338" s="1" t="str">
        <f>TEXT(Table1[[#This Row],[Enrollment date]], "mmm")</f>
        <v>Dec</v>
      </c>
      <c r="H2338" t="s">
        <v>360</v>
      </c>
      <c r="I2338" t="s">
        <v>660</v>
      </c>
      <c r="J2338" t="str">
        <f>_xlfn.XLOOKUP(Table1[[#This Row],[Course ]], CCF!B:B, CCF!A:A)</f>
        <v>DM101</v>
      </c>
      <c r="K2338" t="s">
        <v>365</v>
      </c>
      <c r="L2338">
        <f>_xlfn.XLOOKUP(K2338, CCF!B:B, CCF!C:C)</f>
        <v>85499</v>
      </c>
      <c r="M2338" t="s">
        <v>80</v>
      </c>
    </row>
    <row r="2339" spans="1:13" x14ac:dyDescent="0.3">
      <c r="A2339">
        <v>2338</v>
      </c>
      <c r="B2339" t="s">
        <v>2992</v>
      </c>
      <c r="C2339" s="3">
        <v>26882</v>
      </c>
      <c r="D2339" t="s">
        <v>667</v>
      </c>
      <c r="E2339">
        <v>38</v>
      </c>
      <c r="F2339" s="1">
        <v>45634</v>
      </c>
      <c r="G2339" s="1" t="str">
        <f>TEXT(Table1[[#This Row],[Enrollment date]], "mmm")</f>
        <v>Dec</v>
      </c>
      <c r="H2339" t="s">
        <v>360</v>
      </c>
      <c r="I2339" t="s">
        <v>659</v>
      </c>
      <c r="J2339" t="str">
        <f>_xlfn.XLOOKUP(Table1[[#This Row],[Course ]], CCF!B:B, CCF!A:A)</f>
        <v>DA202</v>
      </c>
      <c r="K2339" t="s">
        <v>363</v>
      </c>
      <c r="L2339">
        <f>_xlfn.XLOOKUP(K2339, CCF!B:B, CCF!C:C)</f>
        <v>79999</v>
      </c>
      <c r="M2339" t="s">
        <v>9</v>
      </c>
    </row>
    <row r="2340" spans="1:13" x14ac:dyDescent="0.3">
      <c r="A2340">
        <v>2339</v>
      </c>
      <c r="B2340" t="s">
        <v>2993</v>
      </c>
      <c r="C2340" s="3">
        <v>17808</v>
      </c>
      <c r="D2340" t="s">
        <v>666</v>
      </c>
      <c r="E2340">
        <v>30</v>
      </c>
      <c r="F2340" s="1">
        <v>45635</v>
      </c>
      <c r="G2340" s="1" t="str">
        <f>TEXT(Table1[[#This Row],[Enrollment date]], "mmm")</f>
        <v>Dec</v>
      </c>
      <c r="H2340" t="s">
        <v>360</v>
      </c>
      <c r="I2340" t="s">
        <v>665</v>
      </c>
      <c r="J2340" t="str">
        <f>_xlfn.XLOOKUP(Table1[[#This Row],[Course ]], CCF!B:B, CCF!A:A)</f>
        <v>UX401</v>
      </c>
      <c r="K2340" t="s">
        <v>367</v>
      </c>
      <c r="L2340">
        <f>_xlfn.XLOOKUP(K2340, CCF!B:B, CCF!C:C)</f>
        <v>67990</v>
      </c>
      <c r="M2340" t="s">
        <v>17</v>
      </c>
    </row>
    <row r="2341" spans="1:13" x14ac:dyDescent="0.3">
      <c r="A2341">
        <v>2340</v>
      </c>
      <c r="B2341" t="s">
        <v>2994</v>
      </c>
      <c r="C2341" s="3">
        <v>37606</v>
      </c>
      <c r="D2341" t="s">
        <v>667</v>
      </c>
      <c r="E2341">
        <v>40</v>
      </c>
      <c r="F2341" s="1">
        <v>45635</v>
      </c>
      <c r="G2341" s="1" t="str">
        <f>TEXT(Table1[[#This Row],[Enrollment date]], "mmm")</f>
        <v>Dec</v>
      </c>
      <c r="H2341" t="s">
        <v>360</v>
      </c>
      <c r="I2341" t="s">
        <v>661</v>
      </c>
      <c r="J2341" t="str">
        <f>_xlfn.XLOOKUP(Table1[[#This Row],[Course ]], CCF!B:B, CCF!A:A)</f>
        <v>AI001</v>
      </c>
      <c r="K2341" t="s">
        <v>368</v>
      </c>
      <c r="L2341">
        <f>_xlfn.XLOOKUP(K2341, CCF!B:B, CCF!C:C)</f>
        <v>119990</v>
      </c>
      <c r="M2341" t="s">
        <v>9</v>
      </c>
    </row>
    <row r="2342" spans="1:13" x14ac:dyDescent="0.3">
      <c r="A2342">
        <v>2341</v>
      </c>
      <c r="B2342" t="s">
        <v>2995</v>
      </c>
      <c r="C2342" s="3">
        <v>83583</v>
      </c>
      <c r="D2342" t="s">
        <v>667</v>
      </c>
      <c r="E2342">
        <v>47</v>
      </c>
      <c r="F2342" s="1">
        <v>45635</v>
      </c>
      <c r="G2342" s="1" t="str">
        <f>TEXT(Table1[[#This Row],[Enrollment date]], "mmm")</f>
        <v>Dec</v>
      </c>
      <c r="H2342" t="s">
        <v>360</v>
      </c>
      <c r="I2342" t="s">
        <v>660</v>
      </c>
      <c r="J2342" t="str">
        <f>_xlfn.XLOOKUP(Table1[[#This Row],[Course ]], CCF!B:B, CCF!A:A)</f>
        <v>DM101</v>
      </c>
      <c r="K2342" t="s">
        <v>365</v>
      </c>
      <c r="L2342">
        <f>_xlfn.XLOOKUP(K2342, CCF!B:B, CCF!C:C)</f>
        <v>85499</v>
      </c>
      <c r="M2342" t="s">
        <v>645</v>
      </c>
    </row>
    <row r="2343" spans="1:13" x14ac:dyDescent="0.3">
      <c r="A2343">
        <v>2342</v>
      </c>
      <c r="B2343" t="s">
        <v>2996</v>
      </c>
      <c r="C2343" s="3">
        <v>63668</v>
      </c>
      <c r="D2343" t="s">
        <v>666</v>
      </c>
      <c r="E2343">
        <v>45</v>
      </c>
      <c r="F2343" s="1">
        <v>45635</v>
      </c>
      <c r="G2343" s="1" t="str">
        <f>TEXT(Table1[[#This Row],[Enrollment date]], "mmm")</f>
        <v>Dec</v>
      </c>
      <c r="H2343" t="s">
        <v>360</v>
      </c>
      <c r="I2343" t="s">
        <v>665</v>
      </c>
      <c r="J2343" t="str">
        <f>_xlfn.XLOOKUP(Table1[[#This Row],[Course ]], CCF!B:B, CCF!A:A)</f>
        <v>DM101</v>
      </c>
      <c r="K2343" t="s">
        <v>365</v>
      </c>
      <c r="L2343">
        <f>_xlfn.XLOOKUP(K2343, CCF!B:B, CCF!C:C)</f>
        <v>85499</v>
      </c>
      <c r="M2343" t="s">
        <v>646</v>
      </c>
    </row>
    <row r="2344" spans="1:13" x14ac:dyDescent="0.3">
      <c r="A2344">
        <v>2343</v>
      </c>
      <c r="B2344" t="s">
        <v>2997</v>
      </c>
      <c r="C2344" s="3">
        <v>94143</v>
      </c>
      <c r="D2344" t="s">
        <v>666</v>
      </c>
      <c r="E2344">
        <v>37</v>
      </c>
      <c r="F2344" s="1">
        <v>45635</v>
      </c>
      <c r="G2344" s="1" t="str">
        <f>TEXT(Table1[[#This Row],[Enrollment date]], "mmm")</f>
        <v>Dec</v>
      </c>
      <c r="H2344" t="s">
        <v>360</v>
      </c>
      <c r="I2344" t="s">
        <v>659</v>
      </c>
      <c r="J2344" t="str">
        <f>_xlfn.XLOOKUP(Table1[[#This Row],[Course ]], CCF!B:B, CCF!A:A)</f>
        <v>DM101</v>
      </c>
      <c r="K2344" t="s">
        <v>365</v>
      </c>
      <c r="L2344">
        <f>_xlfn.XLOOKUP(K2344, CCF!B:B, CCF!C:C)</f>
        <v>85499</v>
      </c>
      <c r="M2344" t="s">
        <v>18</v>
      </c>
    </row>
    <row r="2345" spans="1:13" x14ac:dyDescent="0.3">
      <c r="A2345">
        <v>2344</v>
      </c>
      <c r="B2345" t="s">
        <v>2998</v>
      </c>
      <c r="C2345" s="3">
        <v>10493</v>
      </c>
      <c r="D2345" t="s">
        <v>666</v>
      </c>
      <c r="E2345">
        <v>27</v>
      </c>
      <c r="F2345" s="1">
        <v>45635</v>
      </c>
      <c r="G2345" s="1" t="str">
        <f>TEXT(Table1[[#This Row],[Enrollment date]], "mmm")</f>
        <v>Dec</v>
      </c>
      <c r="H2345" t="s">
        <v>3</v>
      </c>
      <c r="I2345" t="s">
        <v>660</v>
      </c>
      <c r="J2345" t="str">
        <f>_xlfn.XLOOKUP(Table1[[#This Row],[Course ]], CCF!B:B, CCF!A:A)</f>
        <v>DA202</v>
      </c>
      <c r="K2345" t="s">
        <v>363</v>
      </c>
      <c r="L2345">
        <f>_xlfn.XLOOKUP(K2345, CCF!B:B, CCF!C:C)</f>
        <v>79999</v>
      </c>
      <c r="M2345" t="s">
        <v>9</v>
      </c>
    </row>
    <row r="2346" spans="1:13" x14ac:dyDescent="0.3">
      <c r="A2346">
        <v>2345</v>
      </c>
      <c r="B2346" t="s">
        <v>2999</v>
      </c>
      <c r="C2346" s="3">
        <v>18682</v>
      </c>
      <c r="D2346" t="s">
        <v>667</v>
      </c>
      <c r="E2346">
        <v>36</v>
      </c>
      <c r="F2346" s="1">
        <v>45635</v>
      </c>
      <c r="G2346" s="1" t="str">
        <f>TEXT(Table1[[#This Row],[Enrollment date]], "mmm")</f>
        <v>Dec</v>
      </c>
      <c r="H2346" t="s">
        <v>360</v>
      </c>
      <c r="I2346" t="s">
        <v>664</v>
      </c>
      <c r="J2346" t="str">
        <f>_xlfn.XLOOKUP(Table1[[#This Row],[Course ]], CCF!B:B, CCF!A:A)</f>
        <v>FSD103</v>
      </c>
      <c r="K2346" t="s">
        <v>366</v>
      </c>
      <c r="L2346">
        <f>_xlfn.XLOOKUP(K2346, CCF!B:B, CCF!C:C)</f>
        <v>109990</v>
      </c>
      <c r="M2346" t="s">
        <v>217</v>
      </c>
    </row>
    <row r="2347" spans="1:13" x14ac:dyDescent="0.3">
      <c r="A2347">
        <v>2346</v>
      </c>
      <c r="B2347" t="s">
        <v>3000</v>
      </c>
      <c r="C2347" s="3">
        <v>80983</v>
      </c>
      <c r="D2347" t="s">
        <v>667</v>
      </c>
      <c r="E2347">
        <v>39</v>
      </c>
      <c r="F2347" s="1">
        <v>45636</v>
      </c>
      <c r="G2347" s="1" t="str">
        <f>TEXT(Table1[[#This Row],[Enrollment date]], "mmm")</f>
        <v>Dec</v>
      </c>
      <c r="H2347" t="s">
        <v>360</v>
      </c>
      <c r="I2347" t="s">
        <v>659</v>
      </c>
      <c r="J2347" t="str">
        <f>_xlfn.XLOOKUP(Table1[[#This Row],[Course ]], CCF!B:B, CCF!A:A)</f>
        <v>DM101</v>
      </c>
      <c r="K2347" t="s">
        <v>365</v>
      </c>
      <c r="L2347">
        <f>_xlfn.XLOOKUP(K2347, CCF!B:B, CCF!C:C)</f>
        <v>85499</v>
      </c>
      <c r="M2347" t="s">
        <v>199</v>
      </c>
    </row>
    <row r="2348" spans="1:13" x14ac:dyDescent="0.3">
      <c r="A2348">
        <v>2347</v>
      </c>
      <c r="B2348" t="s">
        <v>3001</v>
      </c>
      <c r="C2348" s="3">
        <v>69643</v>
      </c>
      <c r="D2348" t="s">
        <v>666</v>
      </c>
      <c r="E2348">
        <v>65</v>
      </c>
      <c r="F2348" s="1">
        <v>45636</v>
      </c>
      <c r="G2348" s="1" t="str">
        <f>TEXT(Table1[[#This Row],[Enrollment date]], "mmm")</f>
        <v>Dec</v>
      </c>
      <c r="H2348" t="s">
        <v>360</v>
      </c>
      <c r="I2348" t="s">
        <v>663</v>
      </c>
      <c r="J2348" t="str">
        <f>_xlfn.XLOOKUP(Table1[[#This Row],[Course ]], CCF!B:B, CCF!A:A)</f>
        <v>DM101</v>
      </c>
      <c r="K2348" t="s">
        <v>365</v>
      </c>
      <c r="L2348">
        <f>_xlfn.XLOOKUP(K2348, CCF!B:B, CCF!C:C)</f>
        <v>85499</v>
      </c>
      <c r="M2348" t="s">
        <v>134</v>
      </c>
    </row>
    <row r="2349" spans="1:13" x14ac:dyDescent="0.3">
      <c r="A2349">
        <v>2348</v>
      </c>
      <c r="B2349" t="s">
        <v>3002</v>
      </c>
      <c r="C2349" s="3">
        <v>91901</v>
      </c>
      <c r="D2349" t="s">
        <v>667</v>
      </c>
      <c r="E2349">
        <v>43</v>
      </c>
      <c r="F2349" s="1">
        <v>45636</v>
      </c>
      <c r="G2349" s="1" t="str">
        <f>TEXT(Table1[[#This Row],[Enrollment date]], "mmm")</f>
        <v>Dec</v>
      </c>
      <c r="H2349" t="s">
        <v>360</v>
      </c>
      <c r="I2349" t="s">
        <v>659</v>
      </c>
      <c r="J2349" t="str">
        <f>_xlfn.XLOOKUP(Table1[[#This Row],[Course ]], CCF!B:B, CCF!A:A)</f>
        <v>DA202</v>
      </c>
      <c r="K2349" t="s">
        <v>363</v>
      </c>
      <c r="L2349">
        <f>_xlfn.XLOOKUP(K2349, CCF!B:B, CCF!C:C)</f>
        <v>79999</v>
      </c>
      <c r="M2349" t="s">
        <v>20</v>
      </c>
    </row>
    <row r="2350" spans="1:13" x14ac:dyDescent="0.3">
      <c r="A2350">
        <v>2349</v>
      </c>
      <c r="B2350" t="s">
        <v>3003</v>
      </c>
      <c r="C2350" s="3">
        <v>13509</v>
      </c>
      <c r="D2350" t="s">
        <v>667</v>
      </c>
      <c r="E2350">
        <v>22</v>
      </c>
      <c r="F2350" s="1">
        <v>45636</v>
      </c>
      <c r="G2350" s="1" t="str">
        <f>TEXT(Table1[[#This Row],[Enrollment date]], "mmm")</f>
        <v>Dec</v>
      </c>
      <c r="H2350" t="s">
        <v>360</v>
      </c>
      <c r="I2350" t="s">
        <v>660</v>
      </c>
      <c r="J2350" t="str">
        <f>_xlfn.XLOOKUP(Table1[[#This Row],[Course ]], CCF!B:B, CCF!A:A)</f>
        <v>BA301</v>
      </c>
      <c r="K2350" t="s">
        <v>364</v>
      </c>
      <c r="L2350">
        <f>_xlfn.XLOOKUP(K2350, CCF!B:B, CCF!C:C)</f>
        <v>59999</v>
      </c>
      <c r="M2350" t="s">
        <v>27</v>
      </c>
    </row>
    <row r="2351" spans="1:13" x14ac:dyDescent="0.3">
      <c r="A2351">
        <v>2350</v>
      </c>
      <c r="B2351" t="s">
        <v>3004</v>
      </c>
      <c r="C2351" s="3">
        <v>77238</v>
      </c>
      <c r="D2351" t="s">
        <v>666</v>
      </c>
      <c r="E2351">
        <v>57</v>
      </c>
      <c r="F2351" s="1">
        <v>45637</v>
      </c>
      <c r="G2351" s="1" t="str">
        <f>TEXT(Table1[[#This Row],[Enrollment date]], "mmm")</f>
        <v>Dec</v>
      </c>
      <c r="H2351" t="s">
        <v>360</v>
      </c>
      <c r="I2351" t="s">
        <v>659</v>
      </c>
      <c r="J2351" t="str">
        <f>_xlfn.XLOOKUP(Table1[[#This Row],[Course ]], CCF!B:B, CCF!A:A)</f>
        <v>DA202</v>
      </c>
      <c r="K2351" t="s">
        <v>363</v>
      </c>
      <c r="L2351">
        <f>_xlfn.XLOOKUP(K2351, CCF!B:B, CCF!C:C)</f>
        <v>79999</v>
      </c>
      <c r="M2351" t="s">
        <v>16</v>
      </c>
    </row>
    <row r="2352" spans="1:13" x14ac:dyDescent="0.3">
      <c r="A2352">
        <v>2351</v>
      </c>
      <c r="B2352" t="s">
        <v>3005</v>
      </c>
      <c r="C2352" s="3">
        <v>92191</v>
      </c>
      <c r="D2352" t="s">
        <v>667</v>
      </c>
      <c r="E2352">
        <v>18</v>
      </c>
      <c r="F2352" s="1">
        <v>45637</v>
      </c>
      <c r="G2352" s="1" t="str">
        <f>TEXT(Table1[[#This Row],[Enrollment date]], "mmm")</f>
        <v>Dec</v>
      </c>
      <c r="H2352" t="s">
        <v>360</v>
      </c>
      <c r="I2352" t="s">
        <v>664</v>
      </c>
      <c r="J2352" t="str">
        <f>_xlfn.XLOOKUP(Table1[[#This Row],[Course ]], CCF!B:B, CCF!A:A)</f>
        <v>DM101</v>
      </c>
      <c r="K2352" t="s">
        <v>365</v>
      </c>
      <c r="L2352">
        <f>_xlfn.XLOOKUP(K2352, CCF!B:B, CCF!C:C)</f>
        <v>85499</v>
      </c>
      <c r="M2352" t="s">
        <v>9</v>
      </c>
    </row>
    <row r="2353" spans="1:13" x14ac:dyDescent="0.3">
      <c r="A2353">
        <v>2352</v>
      </c>
      <c r="B2353" t="s">
        <v>3006</v>
      </c>
      <c r="C2353" s="3">
        <v>97281</v>
      </c>
      <c r="D2353" t="s">
        <v>666</v>
      </c>
      <c r="E2353">
        <v>40</v>
      </c>
      <c r="F2353" s="1">
        <v>45637</v>
      </c>
      <c r="G2353" s="1" t="str">
        <f>TEXT(Table1[[#This Row],[Enrollment date]], "mmm")</f>
        <v>Dec</v>
      </c>
      <c r="H2353" t="s">
        <v>360</v>
      </c>
      <c r="I2353" t="s">
        <v>665</v>
      </c>
      <c r="J2353" t="str">
        <f>_xlfn.XLOOKUP(Table1[[#This Row],[Course ]], CCF!B:B, CCF!A:A)</f>
        <v>DM101</v>
      </c>
      <c r="K2353" t="s">
        <v>365</v>
      </c>
      <c r="L2353">
        <f>_xlfn.XLOOKUP(K2353, CCF!B:B, CCF!C:C)</f>
        <v>85499</v>
      </c>
      <c r="M2353" t="s">
        <v>144</v>
      </c>
    </row>
    <row r="2354" spans="1:13" x14ac:dyDescent="0.3">
      <c r="A2354">
        <v>2353</v>
      </c>
      <c r="B2354" t="s">
        <v>3007</v>
      </c>
      <c r="C2354" s="3">
        <v>47527</v>
      </c>
      <c r="D2354" t="s">
        <v>667</v>
      </c>
      <c r="E2354">
        <v>30</v>
      </c>
      <c r="F2354" s="1">
        <v>45637</v>
      </c>
      <c r="G2354" s="1" t="str">
        <f>TEXT(Table1[[#This Row],[Enrollment date]], "mmm")</f>
        <v>Dec</v>
      </c>
      <c r="H2354" t="s">
        <v>360</v>
      </c>
      <c r="I2354" t="s">
        <v>659</v>
      </c>
      <c r="J2354" t="str">
        <f>_xlfn.XLOOKUP(Table1[[#This Row],[Course ]], CCF!B:B, CCF!A:A)</f>
        <v>DM101</v>
      </c>
      <c r="K2354" t="s">
        <v>365</v>
      </c>
      <c r="L2354">
        <f>_xlfn.XLOOKUP(K2354, CCF!B:B, CCF!C:C)</f>
        <v>85499</v>
      </c>
      <c r="M2354" t="s">
        <v>148</v>
      </c>
    </row>
    <row r="2355" spans="1:13" x14ac:dyDescent="0.3">
      <c r="A2355">
        <v>2354</v>
      </c>
      <c r="B2355" t="s">
        <v>3008</v>
      </c>
      <c r="C2355" s="3">
        <v>46437</v>
      </c>
      <c r="D2355" t="s">
        <v>667</v>
      </c>
      <c r="E2355">
        <v>23</v>
      </c>
      <c r="F2355" s="1">
        <v>45637</v>
      </c>
      <c r="G2355" s="1" t="str">
        <f>TEXT(Table1[[#This Row],[Enrollment date]], "mmm")</f>
        <v>Dec</v>
      </c>
      <c r="H2355" t="s">
        <v>360</v>
      </c>
      <c r="I2355" t="s">
        <v>661</v>
      </c>
      <c r="J2355" t="str">
        <f>_xlfn.XLOOKUP(Table1[[#This Row],[Course ]], CCF!B:B, CCF!A:A)</f>
        <v>BA301</v>
      </c>
      <c r="K2355" t="s">
        <v>364</v>
      </c>
      <c r="L2355">
        <f>_xlfn.XLOOKUP(K2355, CCF!B:B, CCF!C:C)</f>
        <v>59999</v>
      </c>
      <c r="M2355" t="s">
        <v>184</v>
      </c>
    </row>
    <row r="2356" spans="1:13" x14ac:dyDescent="0.3">
      <c r="A2356">
        <v>2355</v>
      </c>
      <c r="B2356" t="s">
        <v>3009</v>
      </c>
      <c r="C2356" s="3">
        <v>98430</v>
      </c>
      <c r="D2356" t="s">
        <v>666</v>
      </c>
      <c r="E2356">
        <v>22</v>
      </c>
      <c r="F2356" s="1">
        <v>45637</v>
      </c>
      <c r="G2356" s="1" t="str">
        <f>TEXT(Table1[[#This Row],[Enrollment date]], "mmm")</f>
        <v>Dec</v>
      </c>
      <c r="H2356" t="s">
        <v>360</v>
      </c>
      <c r="I2356" t="s">
        <v>660</v>
      </c>
      <c r="J2356" t="str">
        <f>_xlfn.XLOOKUP(Table1[[#This Row],[Course ]], CCF!B:B, CCF!A:A)</f>
        <v>DA202</v>
      </c>
      <c r="K2356" t="s">
        <v>363</v>
      </c>
      <c r="L2356">
        <f>_xlfn.XLOOKUP(K2356, CCF!B:B, CCF!C:C)</f>
        <v>79999</v>
      </c>
      <c r="M2356" t="s">
        <v>20</v>
      </c>
    </row>
    <row r="2357" spans="1:13" x14ac:dyDescent="0.3">
      <c r="A2357">
        <v>2356</v>
      </c>
      <c r="B2357" t="s">
        <v>3010</v>
      </c>
      <c r="C2357" s="3">
        <v>93914</v>
      </c>
      <c r="D2357" t="s">
        <v>666</v>
      </c>
      <c r="E2357">
        <v>77</v>
      </c>
      <c r="F2357" s="1">
        <v>45637</v>
      </c>
      <c r="G2357" s="1" t="str">
        <f>TEXT(Table1[[#This Row],[Enrollment date]], "mmm")</f>
        <v>Dec</v>
      </c>
      <c r="H2357" t="s">
        <v>360</v>
      </c>
      <c r="I2357" t="s">
        <v>660</v>
      </c>
      <c r="J2357" t="str">
        <f>_xlfn.XLOOKUP(Table1[[#This Row],[Course ]], CCF!B:B, CCF!A:A)</f>
        <v>DM101</v>
      </c>
      <c r="K2357" t="s">
        <v>365</v>
      </c>
      <c r="L2357">
        <f>_xlfn.XLOOKUP(K2357, CCF!B:B, CCF!C:C)</f>
        <v>85499</v>
      </c>
      <c r="M2357" t="s">
        <v>338</v>
      </c>
    </row>
    <row r="2358" spans="1:13" x14ac:dyDescent="0.3">
      <c r="A2358">
        <v>2357</v>
      </c>
      <c r="B2358" t="s">
        <v>3011</v>
      </c>
      <c r="C2358" s="3">
        <v>50576</v>
      </c>
      <c r="D2358" t="s">
        <v>666</v>
      </c>
      <c r="E2358">
        <v>28</v>
      </c>
      <c r="F2358" s="1">
        <v>45638</v>
      </c>
      <c r="G2358" s="1" t="str">
        <f>TEXT(Table1[[#This Row],[Enrollment date]], "mmm")</f>
        <v>Dec</v>
      </c>
      <c r="H2358" t="s">
        <v>360</v>
      </c>
      <c r="I2358" t="s">
        <v>660</v>
      </c>
      <c r="J2358" t="str">
        <f>_xlfn.XLOOKUP(Table1[[#This Row],[Course ]], CCF!B:B, CCF!A:A)</f>
        <v>DM101</v>
      </c>
      <c r="K2358" t="s">
        <v>365</v>
      </c>
      <c r="L2358">
        <f>_xlfn.XLOOKUP(K2358, CCF!B:B, CCF!C:C)</f>
        <v>85499</v>
      </c>
      <c r="M2358" t="s">
        <v>192</v>
      </c>
    </row>
    <row r="2359" spans="1:13" x14ac:dyDescent="0.3">
      <c r="A2359">
        <v>2358</v>
      </c>
      <c r="B2359" t="s">
        <v>3012</v>
      </c>
      <c r="C2359" s="3">
        <v>11398</v>
      </c>
      <c r="D2359" t="s">
        <v>667</v>
      </c>
      <c r="E2359">
        <v>26</v>
      </c>
      <c r="F2359" s="1">
        <v>45638</v>
      </c>
      <c r="G2359" s="1" t="str">
        <f>TEXT(Table1[[#This Row],[Enrollment date]], "mmm")</f>
        <v>Dec</v>
      </c>
      <c r="H2359" t="s">
        <v>360</v>
      </c>
      <c r="I2359" t="s">
        <v>659</v>
      </c>
      <c r="J2359" t="str">
        <f>_xlfn.XLOOKUP(Table1[[#This Row],[Course ]], CCF!B:B, CCF!A:A)</f>
        <v>DM101</v>
      </c>
      <c r="K2359" t="s">
        <v>365</v>
      </c>
      <c r="L2359">
        <f>_xlfn.XLOOKUP(K2359, CCF!B:B, CCF!C:C)</f>
        <v>85499</v>
      </c>
      <c r="M2359" t="s">
        <v>308</v>
      </c>
    </row>
    <row r="2360" spans="1:13" x14ac:dyDescent="0.3">
      <c r="A2360">
        <v>2359</v>
      </c>
      <c r="B2360" t="s">
        <v>3013</v>
      </c>
      <c r="C2360" s="3">
        <v>99927</v>
      </c>
      <c r="D2360" t="s">
        <v>666</v>
      </c>
      <c r="E2360">
        <v>47</v>
      </c>
      <c r="F2360" s="1">
        <v>45638</v>
      </c>
      <c r="G2360" s="1" t="str">
        <f>TEXT(Table1[[#This Row],[Enrollment date]], "mmm")</f>
        <v>Dec</v>
      </c>
      <c r="H2360" t="s">
        <v>360</v>
      </c>
      <c r="I2360" t="s">
        <v>661</v>
      </c>
      <c r="J2360" t="str">
        <f>_xlfn.XLOOKUP(Table1[[#This Row],[Course ]], CCF!B:B, CCF!A:A)</f>
        <v>DM101</v>
      </c>
      <c r="K2360" t="s">
        <v>365</v>
      </c>
      <c r="L2360">
        <f>_xlfn.XLOOKUP(K2360, CCF!B:B, CCF!C:C)</f>
        <v>85499</v>
      </c>
      <c r="M2360" t="s">
        <v>27</v>
      </c>
    </row>
    <row r="2361" spans="1:13" x14ac:dyDescent="0.3">
      <c r="A2361">
        <v>2360</v>
      </c>
      <c r="B2361" t="s">
        <v>3014</v>
      </c>
      <c r="C2361" s="3">
        <v>98239</v>
      </c>
      <c r="D2361" t="s">
        <v>666</v>
      </c>
      <c r="E2361">
        <v>54</v>
      </c>
      <c r="F2361" s="1">
        <v>45638</v>
      </c>
      <c r="G2361" s="1" t="str">
        <f>TEXT(Table1[[#This Row],[Enrollment date]], "mmm")</f>
        <v>Dec</v>
      </c>
      <c r="H2361" t="s">
        <v>360</v>
      </c>
      <c r="I2361" t="s">
        <v>660</v>
      </c>
      <c r="J2361" t="str">
        <f>_xlfn.XLOOKUP(Table1[[#This Row],[Course ]], CCF!B:B, CCF!A:A)</f>
        <v>DA202</v>
      </c>
      <c r="K2361" t="s">
        <v>363</v>
      </c>
      <c r="L2361">
        <f>_xlfn.XLOOKUP(K2361, CCF!B:B, CCF!C:C)</f>
        <v>79999</v>
      </c>
      <c r="M2361" t="s">
        <v>141</v>
      </c>
    </row>
    <row r="2362" spans="1:13" x14ac:dyDescent="0.3">
      <c r="A2362">
        <v>2361</v>
      </c>
      <c r="B2362" t="s">
        <v>3015</v>
      </c>
      <c r="C2362" s="3">
        <v>50496</v>
      </c>
      <c r="D2362" t="s">
        <v>667</v>
      </c>
      <c r="E2362">
        <v>20</v>
      </c>
      <c r="F2362" s="1">
        <v>45638</v>
      </c>
      <c r="G2362" s="1" t="str">
        <f>TEXT(Table1[[#This Row],[Enrollment date]], "mmm")</f>
        <v>Dec</v>
      </c>
      <c r="H2362" t="s">
        <v>360</v>
      </c>
      <c r="I2362" t="s">
        <v>661</v>
      </c>
      <c r="J2362" t="str">
        <f>_xlfn.XLOOKUP(Table1[[#This Row],[Course ]], CCF!B:B, CCF!A:A)</f>
        <v>DM101</v>
      </c>
      <c r="K2362" t="s">
        <v>365</v>
      </c>
      <c r="L2362">
        <f>_xlfn.XLOOKUP(K2362, CCF!B:B, CCF!C:C)</f>
        <v>85499</v>
      </c>
      <c r="M2362" t="s">
        <v>303</v>
      </c>
    </row>
    <row r="2363" spans="1:13" x14ac:dyDescent="0.3">
      <c r="A2363">
        <v>2362</v>
      </c>
      <c r="B2363" t="s">
        <v>3016</v>
      </c>
      <c r="C2363" s="3">
        <v>30282</v>
      </c>
      <c r="D2363" t="s">
        <v>666</v>
      </c>
      <c r="E2363">
        <v>40</v>
      </c>
      <c r="F2363" s="1">
        <v>45638</v>
      </c>
      <c r="G2363" s="1" t="str">
        <f>TEXT(Table1[[#This Row],[Enrollment date]], "mmm")</f>
        <v>Dec</v>
      </c>
      <c r="H2363" t="s">
        <v>360</v>
      </c>
      <c r="I2363" t="s">
        <v>660</v>
      </c>
      <c r="J2363" t="str">
        <f>_xlfn.XLOOKUP(Table1[[#This Row],[Course ]], CCF!B:B, CCF!A:A)</f>
        <v>FSD103</v>
      </c>
      <c r="K2363" t="s">
        <v>366</v>
      </c>
      <c r="L2363">
        <f>_xlfn.XLOOKUP(K2363, CCF!B:B, CCF!C:C)</f>
        <v>109990</v>
      </c>
      <c r="M2363" t="s">
        <v>238</v>
      </c>
    </row>
    <row r="2364" spans="1:13" x14ac:dyDescent="0.3">
      <c r="A2364">
        <v>2363</v>
      </c>
      <c r="B2364" t="s">
        <v>3017</v>
      </c>
      <c r="C2364" s="3">
        <v>32399</v>
      </c>
      <c r="D2364" t="s">
        <v>667</v>
      </c>
      <c r="E2364">
        <v>33</v>
      </c>
      <c r="F2364" s="1">
        <v>45638</v>
      </c>
      <c r="G2364" s="1" t="str">
        <f>TEXT(Table1[[#This Row],[Enrollment date]], "mmm")</f>
        <v>Dec</v>
      </c>
      <c r="H2364" t="s">
        <v>360</v>
      </c>
      <c r="I2364" t="s">
        <v>659</v>
      </c>
      <c r="J2364" t="str">
        <f>_xlfn.XLOOKUP(Table1[[#This Row],[Course ]], CCF!B:B, CCF!A:A)</f>
        <v>DA202</v>
      </c>
      <c r="K2364" t="s">
        <v>363</v>
      </c>
      <c r="L2364">
        <f>_xlfn.XLOOKUP(K2364, CCF!B:B, CCF!C:C)</f>
        <v>79999</v>
      </c>
      <c r="M2364" t="s">
        <v>154</v>
      </c>
    </row>
    <row r="2365" spans="1:13" x14ac:dyDescent="0.3">
      <c r="A2365">
        <v>2364</v>
      </c>
      <c r="B2365" t="s">
        <v>3018</v>
      </c>
      <c r="C2365" s="3">
        <v>47240</v>
      </c>
      <c r="D2365" t="s">
        <v>666</v>
      </c>
      <c r="E2365">
        <v>46</v>
      </c>
      <c r="F2365" s="1">
        <v>45638</v>
      </c>
      <c r="G2365" s="1" t="str">
        <f>TEXT(Table1[[#This Row],[Enrollment date]], "mmm")</f>
        <v>Dec</v>
      </c>
      <c r="H2365" t="s">
        <v>360</v>
      </c>
      <c r="I2365" t="s">
        <v>659</v>
      </c>
      <c r="J2365" t="str">
        <f>_xlfn.XLOOKUP(Table1[[#This Row],[Course ]], CCF!B:B, CCF!A:A)</f>
        <v>BA301</v>
      </c>
      <c r="K2365" t="s">
        <v>364</v>
      </c>
      <c r="L2365">
        <f>_xlfn.XLOOKUP(K2365, CCF!B:B, CCF!C:C)</f>
        <v>59999</v>
      </c>
      <c r="M2365" t="s">
        <v>15</v>
      </c>
    </row>
    <row r="2366" spans="1:13" x14ac:dyDescent="0.3">
      <c r="A2366">
        <v>2365</v>
      </c>
      <c r="B2366" t="s">
        <v>3019</v>
      </c>
      <c r="C2366" s="3">
        <v>55548</v>
      </c>
      <c r="D2366" t="s">
        <v>667</v>
      </c>
      <c r="E2366">
        <v>19</v>
      </c>
      <c r="F2366" s="1">
        <v>45639</v>
      </c>
      <c r="G2366" s="1" t="str">
        <f>TEXT(Table1[[#This Row],[Enrollment date]], "mmm")</f>
        <v>Dec</v>
      </c>
      <c r="H2366" t="s">
        <v>360</v>
      </c>
      <c r="I2366" t="s">
        <v>659</v>
      </c>
      <c r="J2366" t="str">
        <f>_xlfn.XLOOKUP(Table1[[#This Row],[Course ]], CCF!B:B, CCF!A:A)</f>
        <v>DM101</v>
      </c>
      <c r="K2366" t="s">
        <v>365</v>
      </c>
      <c r="L2366">
        <f>_xlfn.XLOOKUP(K2366, CCF!B:B, CCF!C:C)</f>
        <v>85499</v>
      </c>
      <c r="M2366" t="s">
        <v>172</v>
      </c>
    </row>
    <row r="2367" spans="1:13" x14ac:dyDescent="0.3">
      <c r="A2367">
        <v>2366</v>
      </c>
      <c r="B2367" t="s">
        <v>3020</v>
      </c>
      <c r="C2367" s="3">
        <v>66420</v>
      </c>
      <c r="D2367" t="s">
        <v>666</v>
      </c>
      <c r="E2367">
        <v>20</v>
      </c>
      <c r="F2367" s="1">
        <v>45639</v>
      </c>
      <c r="G2367" s="1" t="str">
        <f>TEXT(Table1[[#This Row],[Enrollment date]], "mmm")</f>
        <v>Dec</v>
      </c>
      <c r="H2367" t="s">
        <v>360</v>
      </c>
      <c r="I2367" t="s">
        <v>660</v>
      </c>
      <c r="J2367" t="str">
        <f>_xlfn.XLOOKUP(Table1[[#This Row],[Course ]], CCF!B:B, CCF!A:A)</f>
        <v>DM101</v>
      </c>
      <c r="K2367" t="s">
        <v>365</v>
      </c>
      <c r="L2367">
        <f>_xlfn.XLOOKUP(K2367, CCF!B:B, CCF!C:C)</f>
        <v>85499</v>
      </c>
      <c r="M2367" t="s">
        <v>647</v>
      </c>
    </row>
    <row r="2368" spans="1:13" x14ac:dyDescent="0.3">
      <c r="A2368">
        <v>2367</v>
      </c>
      <c r="B2368" t="s">
        <v>3021</v>
      </c>
      <c r="C2368" s="3">
        <v>78070</v>
      </c>
      <c r="D2368" t="s">
        <v>667</v>
      </c>
      <c r="E2368">
        <v>63</v>
      </c>
      <c r="F2368" s="1">
        <v>45639</v>
      </c>
      <c r="G2368" s="1" t="str">
        <f>TEXT(Table1[[#This Row],[Enrollment date]], "mmm")</f>
        <v>Dec</v>
      </c>
      <c r="H2368" t="s">
        <v>360</v>
      </c>
      <c r="I2368" t="s">
        <v>660</v>
      </c>
      <c r="J2368" t="str">
        <f>_xlfn.XLOOKUP(Table1[[#This Row],[Course ]], CCF!B:B, CCF!A:A)</f>
        <v>DA202</v>
      </c>
      <c r="K2368" t="s">
        <v>363</v>
      </c>
      <c r="L2368">
        <f>_xlfn.XLOOKUP(K2368, CCF!B:B, CCF!C:C)</f>
        <v>79999</v>
      </c>
      <c r="M2368" t="s">
        <v>9</v>
      </c>
    </row>
    <row r="2369" spans="1:13" x14ac:dyDescent="0.3">
      <c r="A2369">
        <v>2368</v>
      </c>
      <c r="B2369" t="s">
        <v>3022</v>
      </c>
      <c r="C2369" s="3">
        <v>56593</v>
      </c>
      <c r="D2369" t="s">
        <v>666</v>
      </c>
      <c r="E2369">
        <v>18</v>
      </c>
      <c r="F2369" s="1">
        <v>45639</v>
      </c>
      <c r="G2369" s="1" t="str">
        <f>TEXT(Table1[[#This Row],[Enrollment date]], "mmm")</f>
        <v>Dec</v>
      </c>
      <c r="H2369" t="s">
        <v>360</v>
      </c>
      <c r="I2369" t="s">
        <v>659</v>
      </c>
      <c r="J2369" t="str">
        <f>_xlfn.XLOOKUP(Table1[[#This Row],[Course ]], CCF!B:B, CCF!A:A)</f>
        <v>BA301</v>
      </c>
      <c r="K2369" t="s">
        <v>364</v>
      </c>
      <c r="L2369">
        <f>_xlfn.XLOOKUP(K2369, CCF!B:B, CCF!C:C)</f>
        <v>59999</v>
      </c>
      <c r="M2369" t="s">
        <v>568</v>
      </c>
    </row>
    <row r="2370" spans="1:13" x14ac:dyDescent="0.3">
      <c r="A2370">
        <v>2369</v>
      </c>
      <c r="B2370" t="s">
        <v>3023</v>
      </c>
      <c r="C2370" s="3">
        <v>86622</v>
      </c>
      <c r="D2370" t="s">
        <v>666</v>
      </c>
      <c r="E2370">
        <v>37</v>
      </c>
      <c r="F2370" s="1">
        <v>45639</v>
      </c>
      <c r="G2370" s="1" t="str">
        <f>TEXT(Table1[[#This Row],[Enrollment date]], "mmm")</f>
        <v>Dec</v>
      </c>
      <c r="H2370" t="s">
        <v>360</v>
      </c>
      <c r="I2370" t="s">
        <v>659</v>
      </c>
      <c r="J2370" t="str">
        <f>_xlfn.XLOOKUP(Table1[[#This Row],[Course ]], CCF!B:B, CCF!A:A)</f>
        <v>DM101</v>
      </c>
      <c r="K2370" t="s">
        <v>365</v>
      </c>
      <c r="L2370">
        <f>_xlfn.XLOOKUP(K2370, CCF!B:B, CCF!C:C)</f>
        <v>85499</v>
      </c>
      <c r="M2370" t="s">
        <v>30</v>
      </c>
    </row>
    <row r="2371" spans="1:13" x14ac:dyDescent="0.3">
      <c r="A2371">
        <v>2370</v>
      </c>
      <c r="B2371" t="s">
        <v>3024</v>
      </c>
      <c r="C2371" s="3">
        <v>14519</v>
      </c>
      <c r="D2371" t="s">
        <v>666</v>
      </c>
      <c r="E2371">
        <v>29</v>
      </c>
      <c r="F2371" s="1">
        <v>45639</v>
      </c>
      <c r="G2371" s="1" t="str">
        <f>TEXT(Table1[[#This Row],[Enrollment date]], "mmm")</f>
        <v>Dec</v>
      </c>
      <c r="H2371" t="s">
        <v>360</v>
      </c>
      <c r="I2371" t="s">
        <v>659</v>
      </c>
      <c r="J2371" t="str">
        <f>_xlfn.XLOOKUP(Table1[[#This Row],[Course ]], CCF!B:B, CCF!A:A)</f>
        <v>DM101</v>
      </c>
      <c r="K2371" t="s">
        <v>365</v>
      </c>
      <c r="L2371">
        <f>_xlfn.XLOOKUP(K2371, CCF!B:B, CCF!C:C)</f>
        <v>85499</v>
      </c>
      <c r="M2371" t="s">
        <v>648</v>
      </c>
    </row>
    <row r="2372" spans="1:13" x14ac:dyDescent="0.3">
      <c r="A2372">
        <v>2371</v>
      </c>
      <c r="B2372" t="s">
        <v>3025</v>
      </c>
      <c r="C2372" s="3">
        <v>47202</v>
      </c>
      <c r="D2372" t="s">
        <v>666</v>
      </c>
      <c r="E2372">
        <v>35</v>
      </c>
      <c r="F2372" s="1">
        <v>45639</v>
      </c>
      <c r="G2372" s="1" t="str">
        <f>TEXT(Table1[[#This Row],[Enrollment date]], "mmm")</f>
        <v>Dec</v>
      </c>
      <c r="H2372" t="s">
        <v>360</v>
      </c>
      <c r="I2372" t="s">
        <v>663</v>
      </c>
      <c r="J2372" t="str">
        <f>_xlfn.XLOOKUP(Table1[[#This Row],[Course ]], CCF!B:B, CCF!A:A)</f>
        <v>DM101</v>
      </c>
      <c r="K2372" t="s">
        <v>365</v>
      </c>
      <c r="L2372">
        <f>_xlfn.XLOOKUP(K2372, CCF!B:B, CCF!C:C)</f>
        <v>85499</v>
      </c>
      <c r="M2372" t="s">
        <v>128</v>
      </c>
    </row>
    <row r="2373" spans="1:13" x14ac:dyDescent="0.3">
      <c r="A2373">
        <v>2372</v>
      </c>
      <c r="B2373" t="s">
        <v>3026</v>
      </c>
      <c r="C2373" s="3">
        <v>30669</v>
      </c>
      <c r="D2373" t="s">
        <v>666</v>
      </c>
      <c r="E2373">
        <v>55</v>
      </c>
      <c r="F2373" s="1">
        <v>45640</v>
      </c>
      <c r="G2373" s="1" t="str">
        <f>TEXT(Table1[[#This Row],[Enrollment date]], "mmm")</f>
        <v>Dec</v>
      </c>
      <c r="H2373" t="s">
        <v>3</v>
      </c>
      <c r="I2373" t="s">
        <v>662</v>
      </c>
      <c r="J2373" t="str">
        <f>_xlfn.XLOOKUP(Table1[[#This Row],[Course ]], CCF!B:B, CCF!A:A)</f>
        <v>DM101</v>
      </c>
      <c r="K2373" t="s">
        <v>365</v>
      </c>
      <c r="L2373">
        <f>_xlfn.XLOOKUP(K2373, CCF!B:B, CCF!C:C)</f>
        <v>85499</v>
      </c>
      <c r="M2373" t="s">
        <v>18</v>
      </c>
    </row>
    <row r="2374" spans="1:13" x14ac:dyDescent="0.3">
      <c r="A2374">
        <v>2373</v>
      </c>
      <c r="B2374" t="s">
        <v>3027</v>
      </c>
      <c r="C2374" s="3">
        <v>61770</v>
      </c>
      <c r="D2374" t="s">
        <v>666</v>
      </c>
      <c r="E2374">
        <v>24</v>
      </c>
      <c r="F2374" s="1">
        <v>45640</v>
      </c>
      <c r="G2374" s="1" t="str">
        <f>TEXT(Table1[[#This Row],[Enrollment date]], "mmm")</f>
        <v>Dec</v>
      </c>
      <c r="H2374" t="s">
        <v>360</v>
      </c>
      <c r="I2374" t="s">
        <v>659</v>
      </c>
      <c r="J2374" t="str">
        <f>_xlfn.XLOOKUP(Table1[[#This Row],[Course ]], CCF!B:B, CCF!A:A)</f>
        <v>DA202</v>
      </c>
      <c r="K2374" t="s">
        <v>363</v>
      </c>
      <c r="L2374">
        <f>_xlfn.XLOOKUP(K2374, CCF!B:B, CCF!C:C)</f>
        <v>79999</v>
      </c>
      <c r="M2374" t="s">
        <v>218</v>
      </c>
    </row>
    <row r="2375" spans="1:13" x14ac:dyDescent="0.3">
      <c r="A2375">
        <v>2374</v>
      </c>
      <c r="B2375" t="s">
        <v>3028</v>
      </c>
      <c r="C2375" s="3">
        <v>61300</v>
      </c>
      <c r="D2375" t="s">
        <v>666</v>
      </c>
      <c r="E2375">
        <v>33</v>
      </c>
      <c r="F2375" s="1">
        <v>45640</v>
      </c>
      <c r="G2375" s="1" t="str">
        <f>TEXT(Table1[[#This Row],[Enrollment date]], "mmm")</f>
        <v>Dec</v>
      </c>
      <c r="H2375" t="s">
        <v>361</v>
      </c>
      <c r="I2375" t="s">
        <v>660</v>
      </c>
      <c r="J2375" t="str">
        <f>_xlfn.XLOOKUP(Table1[[#This Row],[Course ]], CCF!B:B, CCF!A:A)</f>
        <v>DM101</v>
      </c>
      <c r="K2375" t="s">
        <v>365</v>
      </c>
      <c r="L2375">
        <f>_xlfn.XLOOKUP(K2375, CCF!B:B, CCF!C:C)</f>
        <v>85499</v>
      </c>
      <c r="M2375" t="s">
        <v>175</v>
      </c>
    </row>
    <row r="2376" spans="1:13" x14ac:dyDescent="0.3">
      <c r="A2376">
        <v>2375</v>
      </c>
      <c r="B2376" t="s">
        <v>3029</v>
      </c>
      <c r="C2376" s="3">
        <v>99708</v>
      </c>
      <c r="D2376" t="s">
        <v>666</v>
      </c>
      <c r="E2376">
        <v>21</v>
      </c>
      <c r="F2376" s="1">
        <v>45640</v>
      </c>
      <c r="G2376" s="1" t="str">
        <f>TEXT(Table1[[#This Row],[Enrollment date]], "mmm")</f>
        <v>Dec</v>
      </c>
      <c r="H2376" t="s">
        <v>360</v>
      </c>
      <c r="I2376" t="s">
        <v>660</v>
      </c>
      <c r="J2376" t="str">
        <f>_xlfn.XLOOKUP(Table1[[#This Row],[Course ]], CCF!B:B, CCF!A:A)</f>
        <v>DA202</v>
      </c>
      <c r="K2376" t="s">
        <v>363</v>
      </c>
      <c r="L2376">
        <f>_xlfn.XLOOKUP(K2376, CCF!B:B, CCF!C:C)</f>
        <v>79999</v>
      </c>
      <c r="M2376" t="s">
        <v>134</v>
      </c>
    </row>
    <row r="2377" spans="1:13" x14ac:dyDescent="0.3">
      <c r="A2377">
        <v>2376</v>
      </c>
      <c r="B2377" t="s">
        <v>3030</v>
      </c>
      <c r="C2377" s="3">
        <v>53100</v>
      </c>
      <c r="D2377" t="s">
        <v>667</v>
      </c>
      <c r="E2377">
        <v>24</v>
      </c>
      <c r="F2377" s="1">
        <v>45640</v>
      </c>
      <c r="G2377" s="1" t="str">
        <f>TEXT(Table1[[#This Row],[Enrollment date]], "mmm")</f>
        <v>Dec</v>
      </c>
      <c r="H2377" t="s">
        <v>360</v>
      </c>
      <c r="I2377" t="s">
        <v>661</v>
      </c>
      <c r="J2377" t="str">
        <f>_xlfn.XLOOKUP(Table1[[#This Row],[Course ]], CCF!B:B, CCF!A:A)</f>
        <v>FSD103</v>
      </c>
      <c r="K2377" t="s">
        <v>366</v>
      </c>
      <c r="L2377">
        <f>_xlfn.XLOOKUP(K2377, CCF!B:B, CCF!C:C)</f>
        <v>109990</v>
      </c>
      <c r="M2377" t="s">
        <v>16</v>
      </c>
    </row>
    <row r="2378" spans="1:13" x14ac:dyDescent="0.3">
      <c r="A2378">
        <v>2377</v>
      </c>
      <c r="B2378" t="s">
        <v>3031</v>
      </c>
      <c r="C2378" s="3">
        <v>38175</v>
      </c>
      <c r="D2378" t="s">
        <v>666</v>
      </c>
      <c r="E2378">
        <v>37</v>
      </c>
      <c r="F2378" s="1">
        <v>45640</v>
      </c>
      <c r="G2378" s="1" t="str">
        <f>TEXT(Table1[[#This Row],[Enrollment date]], "mmm")</f>
        <v>Dec</v>
      </c>
      <c r="H2378" t="s">
        <v>360</v>
      </c>
      <c r="I2378" t="s">
        <v>661</v>
      </c>
      <c r="J2378" t="str">
        <f>_xlfn.XLOOKUP(Table1[[#This Row],[Course ]], CCF!B:B, CCF!A:A)</f>
        <v>DM101</v>
      </c>
      <c r="K2378" t="s">
        <v>365</v>
      </c>
      <c r="L2378">
        <f>_xlfn.XLOOKUP(K2378, CCF!B:B, CCF!C:C)</f>
        <v>85499</v>
      </c>
      <c r="M2378" t="s">
        <v>649</v>
      </c>
    </row>
    <row r="2379" spans="1:13" x14ac:dyDescent="0.3">
      <c r="A2379">
        <v>2378</v>
      </c>
      <c r="B2379" t="s">
        <v>3032</v>
      </c>
      <c r="C2379" s="3">
        <v>36684</v>
      </c>
      <c r="D2379" t="s">
        <v>666</v>
      </c>
      <c r="E2379">
        <v>48</v>
      </c>
      <c r="F2379" s="1">
        <v>45640</v>
      </c>
      <c r="G2379" s="1" t="str">
        <f>TEXT(Table1[[#This Row],[Enrollment date]], "mmm")</f>
        <v>Dec</v>
      </c>
      <c r="H2379" t="s">
        <v>360</v>
      </c>
      <c r="I2379" t="s">
        <v>659</v>
      </c>
      <c r="J2379" t="str">
        <f>_xlfn.XLOOKUP(Table1[[#This Row],[Course ]], CCF!B:B, CCF!A:A)</f>
        <v>DM101</v>
      </c>
      <c r="K2379" t="s">
        <v>365</v>
      </c>
      <c r="L2379">
        <f>_xlfn.XLOOKUP(K2379, CCF!B:B, CCF!C:C)</f>
        <v>85499</v>
      </c>
      <c r="M2379" t="s">
        <v>93</v>
      </c>
    </row>
    <row r="2380" spans="1:13" x14ac:dyDescent="0.3">
      <c r="A2380">
        <v>2379</v>
      </c>
      <c r="B2380" t="s">
        <v>3033</v>
      </c>
      <c r="C2380" s="3">
        <v>56037</v>
      </c>
      <c r="D2380" t="s">
        <v>666</v>
      </c>
      <c r="E2380">
        <v>21</v>
      </c>
      <c r="F2380" s="1">
        <v>45640</v>
      </c>
      <c r="G2380" s="1" t="str">
        <f>TEXT(Table1[[#This Row],[Enrollment date]], "mmm")</f>
        <v>Dec</v>
      </c>
      <c r="H2380" t="s">
        <v>360</v>
      </c>
      <c r="I2380" t="s">
        <v>665</v>
      </c>
      <c r="J2380" t="str">
        <f>_xlfn.XLOOKUP(Table1[[#This Row],[Course ]], CCF!B:B, CCF!A:A)</f>
        <v>BA301</v>
      </c>
      <c r="K2380" t="s">
        <v>364</v>
      </c>
      <c r="L2380">
        <f>_xlfn.XLOOKUP(K2380, CCF!B:B, CCF!C:C)</f>
        <v>59999</v>
      </c>
      <c r="M2380" t="s">
        <v>68</v>
      </c>
    </row>
    <row r="2381" spans="1:13" x14ac:dyDescent="0.3">
      <c r="A2381">
        <v>2380</v>
      </c>
      <c r="B2381" t="s">
        <v>3034</v>
      </c>
      <c r="C2381" s="3">
        <v>24141</v>
      </c>
      <c r="D2381" t="s">
        <v>667</v>
      </c>
      <c r="E2381">
        <v>19</v>
      </c>
      <c r="F2381" s="1">
        <v>45640</v>
      </c>
      <c r="G2381" s="1" t="str">
        <f>TEXT(Table1[[#This Row],[Enrollment date]], "mmm")</f>
        <v>Dec</v>
      </c>
      <c r="H2381" t="s">
        <v>360</v>
      </c>
      <c r="I2381" t="s">
        <v>659</v>
      </c>
      <c r="J2381" t="str">
        <f>_xlfn.XLOOKUP(Table1[[#This Row],[Course ]], CCF!B:B, CCF!A:A)</f>
        <v>FSD103</v>
      </c>
      <c r="K2381" t="s">
        <v>366</v>
      </c>
      <c r="L2381">
        <f>_xlfn.XLOOKUP(K2381, CCF!B:B, CCF!C:C)</f>
        <v>109990</v>
      </c>
      <c r="M2381" t="s">
        <v>27</v>
      </c>
    </row>
    <row r="2382" spans="1:13" x14ac:dyDescent="0.3">
      <c r="A2382">
        <v>2381</v>
      </c>
      <c r="B2382" t="s">
        <v>3035</v>
      </c>
      <c r="C2382" s="3">
        <v>24660</v>
      </c>
      <c r="D2382" t="s">
        <v>666</v>
      </c>
      <c r="E2382">
        <v>23</v>
      </c>
      <c r="F2382" s="1">
        <v>45640</v>
      </c>
      <c r="G2382" s="1" t="str">
        <f>TEXT(Table1[[#This Row],[Enrollment date]], "mmm")</f>
        <v>Dec</v>
      </c>
      <c r="H2382" t="s">
        <v>360</v>
      </c>
      <c r="I2382" t="s">
        <v>661</v>
      </c>
      <c r="J2382" t="str">
        <f>_xlfn.XLOOKUP(Table1[[#This Row],[Course ]], CCF!B:B, CCF!A:A)</f>
        <v>DM101</v>
      </c>
      <c r="K2382" t="s">
        <v>365</v>
      </c>
      <c r="L2382">
        <f>_xlfn.XLOOKUP(K2382, CCF!B:B, CCF!C:C)</f>
        <v>85499</v>
      </c>
      <c r="M2382" t="s">
        <v>16</v>
      </c>
    </row>
    <row r="2383" spans="1:13" x14ac:dyDescent="0.3">
      <c r="A2383">
        <v>2382</v>
      </c>
      <c r="B2383" t="s">
        <v>3036</v>
      </c>
      <c r="C2383" s="3">
        <v>96940</v>
      </c>
      <c r="D2383" t="s">
        <v>666</v>
      </c>
      <c r="E2383">
        <v>55</v>
      </c>
      <c r="F2383" s="1">
        <v>45640</v>
      </c>
      <c r="G2383" s="1" t="str">
        <f>TEXT(Table1[[#This Row],[Enrollment date]], "mmm")</f>
        <v>Dec</v>
      </c>
      <c r="H2383" t="s">
        <v>360</v>
      </c>
      <c r="I2383" t="s">
        <v>661</v>
      </c>
      <c r="J2383" t="str">
        <f>_xlfn.XLOOKUP(Table1[[#This Row],[Course ]], CCF!B:B, CCF!A:A)</f>
        <v>DA202</v>
      </c>
      <c r="K2383" t="s">
        <v>363</v>
      </c>
      <c r="L2383">
        <f>_xlfn.XLOOKUP(K2383, CCF!B:B, CCF!C:C)</f>
        <v>79999</v>
      </c>
      <c r="M2383" t="s">
        <v>73</v>
      </c>
    </row>
    <row r="2384" spans="1:13" x14ac:dyDescent="0.3">
      <c r="A2384">
        <v>2383</v>
      </c>
      <c r="B2384" t="s">
        <v>3037</v>
      </c>
      <c r="C2384" s="3">
        <v>94968</v>
      </c>
      <c r="D2384" t="s">
        <v>667</v>
      </c>
      <c r="E2384">
        <v>43</v>
      </c>
      <c r="F2384" s="1">
        <v>45640</v>
      </c>
      <c r="G2384" s="1" t="str">
        <f>TEXT(Table1[[#This Row],[Enrollment date]], "mmm")</f>
        <v>Dec</v>
      </c>
      <c r="H2384" t="s">
        <v>360</v>
      </c>
      <c r="I2384" t="s">
        <v>661</v>
      </c>
      <c r="J2384" t="str">
        <f>_xlfn.XLOOKUP(Table1[[#This Row],[Course ]], CCF!B:B, CCF!A:A)</f>
        <v>DA202</v>
      </c>
      <c r="K2384" t="s">
        <v>363</v>
      </c>
      <c r="L2384">
        <f>_xlfn.XLOOKUP(K2384, CCF!B:B, CCF!C:C)</f>
        <v>79999</v>
      </c>
      <c r="M2384" t="s">
        <v>16</v>
      </c>
    </row>
    <row r="2385" spans="1:13" x14ac:dyDescent="0.3">
      <c r="A2385">
        <v>2384</v>
      </c>
      <c r="B2385" t="s">
        <v>3038</v>
      </c>
      <c r="C2385" s="3">
        <v>96771</v>
      </c>
      <c r="D2385" t="s">
        <v>666</v>
      </c>
      <c r="E2385">
        <v>28</v>
      </c>
      <c r="F2385" s="1">
        <v>45641</v>
      </c>
      <c r="G2385" s="1" t="str">
        <f>TEXT(Table1[[#This Row],[Enrollment date]], "mmm")</f>
        <v>Dec</v>
      </c>
      <c r="H2385" t="s">
        <v>360</v>
      </c>
      <c r="I2385" t="s">
        <v>660</v>
      </c>
      <c r="J2385" t="str">
        <f>_xlfn.XLOOKUP(Table1[[#This Row],[Course ]], CCF!B:B, CCF!A:A)</f>
        <v>BA301</v>
      </c>
      <c r="K2385" t="s">
        <v>364</v>
      </c>
      <c r="L2385">
        <f>_xlfn.XLOOKUP(K2385, CCF!B:B, CCF!C:C)</f>
        <v>59999</v>
      </c>
      <c r="M2385" t="s">
        <v>86</v>
      </c>
    </row>
    <row r="2386" spans="1:13" x14ac:dyDescent="0.3">
      <c r="A2386">
        <v>2385</v>
      </c>
      <c r="B2386" t="s">
        <v>3039</v>
      </c>
      <c r="C2386" s="3">
        <v>73292</v>
      </c>
      <c r="D2386" t="s">
        <v>666</v>
      </c>
      <c r="E2386">
        <v>45</v>
      </c>
      <c r="F2386" s="1">
        <v>45641</v>
      </c>
      <c r="G2386" s="1" t="str">
        <f>TEXT(Table1[[#This Row],[Enrollment date]], "mmm")</f>
        <v>Dec</v>
      </c>
      <c r="H2386" t="s">
        <v>361</v>
      </c>
      <c r="I2386" t="s">
        <v>659</v>
      </c>
      <c r="J2386" t="str">
        <f>_xlfn.XLOOKUP(Table1[[#This Row],[Course ]], CCF!B:B, CCF!A:A)</f>
        <v>DM101</v>
      </c>
      <c r="K2386" t="s">
        <v>365</v>
      </c>
      <c r="L2386">
        <f>_xlfn.XLOOKUP(K2386, CCF!B:B, CCF!C:C)</f>
        <v>85499</v>
      </c>
      <c r="M2386" t="s">
        <v>406</v>
      </c>
    </row>
    <row r="2387" spans="1:13" x14ac:dyDescent="0.3">
      <c r="A2387">
        <v>2386</v>
      </c>
      <c r="B2387" t="s">
        <v>3040</v>
      </c>
      <c r="C2387" s="3">
        <v>78178</v>
      </c>
      <c r="D2387" t="s">
        <v>667</v>
      </c>
      <c r="E2387">
        <v>36</v>
      </c>
      <c r="F2387" s="1">
        <v>45641</v>
      </c>
      <c r="G2387" s="1" t="str">
        <f>TEXT(Table1[[#This Row],[Enrollment date]], "mmm")</f>
        <v>Dec</v>
      </c>
      <c r="H2387" t="s">
        <v>360</v>
      </c>
      <c r="I2387" t="s">
        <v>661</v>
      </c>
      <c r="J2387" t="str">
        <f>_xlfn.XLOOKUP(Table1[[#This Row],[Course ]], CCF!B:B, CCF!A:A)</f>
        <v>DA202</v>
      </c>
      <c r="K2387" t="s">
        <v>363</v>
      </c>
      <c r="L2387">
        <f>_xlfn.XLOOKUP(K2387, CCF!B:B, CCF!C:C)</f>
        <v>79999</v>
      </c>
      <c r="M2387" t="s">
        <v>117</v>
      </c>
    </row>
    <row r="2388" spans="1:13" x14ac:dyDescent="0.3">
      <c r="A2388">
        <v>2387</v>
      </c>
      <c r="B2388" t="s">
        <v>3041</v>
      </c>
      <c r="C2388" s="3">
        <v>65718</v>
      </c>
      <c r="D2388" t="s">
        <v>666</v>
      </c>
      <c r="E2388">
        <v>22</v>
      </c>
      <c r="F2388" s="1">
        <v>45641</v>
      </c>
      <c r="G2388" s="1" t="str">
        <f>TEXT(Table1[[#This Row],[Enrollment date]], "mmm")</f>
        <v>Dec</v>
      </c>
      <c r="H2388" t="s">
        <v>360</v>
      </c>
      <c r="I2388" t="s">
        <v>660</v>
      </c>
      <c r="J2388" t="str">
        <f>_xlfn.XLOOKUP(Table1[[#This Row],[Course ]], CCF!B:B, CCF!A:A)</f>
        <v>DA202</v>
      </c>
      <c r="K2388" t="s">
        <v>363</v>
      </c>
      <c r="L2388">
        <f>_xlfn.XLOOKUP(K2388, CCF!B:B, CCF!C:C)</f>
        <v>79999</v>
      </c>
      <c r="M2388" t="s">
        <v>43</v>
      </c>
    </row>
    <row r="2389" spans="1:13" x14ac:dyDescent="0.3">
      <c r="A2389">
        <v>2388</v>
      </c>
      <c r="B2389" t="s">
        <v>3042</v>
      </c>
      <c r="C2389" s="3">
        <v>83502</v>
      </c>
      <c r="D2389" t="s">
        <v>666</v>
      </c>
      <c r="E2389">
        <v>22</v>
      </c>
      <c r="F2389" s="1">
        <v>45641</v>
      </c>
      <c r="G2389" s="1" t="str">
        <f>TEXT(Table1[[#This Row],[Enrollment date]], "mmm")</f>
        <v>Dec</v>
      </c>
      <c r="H2389" t="s">
        <v>3</v>
      </c>
      <c r="I2389" t="s">
        <v>663</v>
      </c>
      <c r="J2389" t="str">
        <f>_xlfn.XLOOKUP(Table1[[#This Row],[Course ]], CCF!B:B, CCF!A:A)</f>
        <v>DA202</v>
      </c>
      <c r="K2389" t="s">
        <v>363</v>
      </c>
      <c r="L2389">
        <f>_xlfn.XLOOKUP(K2389, CCF!B:B, CCF!C:C)</f>
        <v>79999</v>
      </c>
      <c r="M2389" t="s">
        <v>16</v>
      </c>
    </row>
    <row r="2390" spans="1:13" x14ac:dyDescent="0.3">
      <c r="A2390">
        <v>2389</v>
      </c>
      <c r="B2390" t="s">
        <v>3043</v>
      </c>
      <c r="C2390" s="3">
        <v>99431</v>
      </c>
      <c r="D2390" t="s">
        <v>666</v>
      </c>
      <c r="E2390">
        <v>43</v>
      </c>
      <c r="F2390" s="1">
        <v>45641</v>
      </c>
      <c r="G2390" s="1" t="str">
        <f>TEXT(Table1[[#This Row],[Enrollment date]], "mmm")</f>
        <v>Dec</v>
      </c>
      <c r="H2390" t="s">
        <v>360</v>
      </c>
      <c r="I2390" t="s">
        <v>660</v>
      </c>
      <c r="J2390" t="str">
        <f>_xlfn.XLOOKUP(Table1[[#This Row],[Course ]], CCF!B:B, CCF!A:A)</f>
        <v>DA202</v>
      </c>
      <c r="K2390" t="s">
        <v>363</v>
      </c>
      <c r="L2390">
        <f>_xlfn.XLOOKUP(K2390, CCF!B:B, CCF!C:C)</f>
        <v>79999</v>
      </c>
      <c r="M2390" t="s">
        <v>27</v>
      </c>
    </row>
    <row r="2391" spans="1:13" x14ac:dyDescent="0.3">
      <c r="A2391">
        <v>2390</v>
      </c>
      <c r="B2391" t="s">
        <v>3044</v>
      </c>
      <c r="C2391" s="3">
        <v>54872</v>
      </c>
      <c r="D2391" t="s">
        <v>666</v>
      </c>
      <c r="E2391">
        <v>30</v>
      </c>
      <c r="F2391" s="1">
        <v>45641</v>
      </c>
      <c r="G2391" s="1" t="str">
        <f>TEXT(Table1[[#This Row],[Enrollment date]], "mmm")</f>
        <v>Dec</v>
      </c>
      <c r="H2391" t="s">
        <v>360</v>
      </c>
      <c r="I2391" t="s">
        <v>663</v>
      </c>
      <c r="J2391" t="str">
        <f>_xlfn.XLOOKUP(Table1[[#This Row],[Course ]], CCF!B:B, CCF!A:A)</f>
        <v>AI001</v>
      </c>
      <c r="K2391" t="s">
        <v>368</v>
      </c>
      <c r="L2391">
        <f>_xlfn.XLOOKUP(K2391, CCF!B:B, CCF!C:C)</f>
        <v>119990</v>
      </c>
      <c r="M2391" t="s">
        <v>503</v>
      </c>
    </row>
    <row r="2392" spans="1:13" x14ac:dyDescent="0.3">
      <c r="A2392">
        <v>2391</v>
      </c>
      <c r="B2392" t="s">
        <v>3045</v>
      </c>
      <c r="C2392" s="3">
        <v>25673</v>
      </c>
      <c r="D2392" t="s">
        <v>666</v>
      </c>
      <c r="E2392">
        <v>34</v>
      </c>
      <c r="F2392" s="1">
        <v>45641</v>
      </c>
      <c r="G2392" s="1" t="str">
        <f>TEXT(Table1[[#This Row],[Enrollment date]], "mmm")</f>
        <v>Dec</v>
      </c>
      <c r="H2392" t="s">
        <v>360</v>
      </c>
      <c r="I2392" t="s">
        <v>659</v>
      </c>
      <c r="J2392" t="str">
        <f>_xlfn.XLOOKUP(Table1[[#This Row],[Course ]], CCF!B:B, CCF!A:A)</f>
        <v>DM101</v>
      </c>
      <c r="K2392" t="s">
        <v>365</v>
      </c>
      <c r="L2392">
        <f>_xlfn.XLOOKUP(K2392, CCF!B:B, CCF!C:C)</f>
        <v>85499</v>
      </c>
      <c r="M2392" t="s">
        <v>320</v>
      </c>
    </row>
    <row r="2393" spans="1:13" x14ac:dyDescent="0.3">
      <c r="A2393">
        <v>2392</v>
      </c>
      <c r="B2393" t="s">
        <v>3046</v>
      </c>
      <c r="C2393" s="3">
        <v>41587</v>
      </c>
      <c r="D2393" t="s">
        <v>667</v>
      </c>
      <c r="E2393">
        <v>26</v>
      </c>
      <c r="F2393" s="1">
        <v>45641</v>
      </c>
      <c r="G2393" s="1" t="str">
        <f>TEXT(Table1[[#This Row],[Enrollment date]], "mmm")</f>
        <v>Dec</v>
      </c>
      <c r="H2393" t="s">
        <v>360</v>
      </c>
      <c r="I2393" t="s">
        <v>661</v>
      </c>
      <c r="J2393" t="str">
        <f>_xlfn.XLOOKUP(Table1[[#This Row],[Course ]], CCF!B:B, CCF!A:A)</f>
        <v>BA301</v>
      </c>
      <c r="K2393" t="s">
        <v>364</v>
      </c>
      <c r="L2393">
        <f>_xlfn.XLOOKUP(K2393, CCF!B:B, CCF!C:C)</f>
        <v>59999</v>
      </c>
      <c r="M2393" t="s">
        <v>27</v>
      </c>
    </row>
    <row r="2394" spans="1:13" x14ac:dyDescent="0.3">
      <c r="A2394">
        <v>2393</v>
      </c>
      <c r="B2394" t="s">
        <v>3047</v>
      </c>
      <c r="C2394" s="3">
        <v>33217</v>
      </c>
      <c r="D2394" t="s">
        <v>666</v>
      </c>
      <c r="E2394">
        <v>32</v>
      </c>
      <c r="F2394" s="1">
        <v>45641</v>
      </c>
      <c r="G2394" s="1" t="str">
        <f>TEXT(Table1[[#This Row],[Enrollment date]], "mmm")</f>
        <v>Dec</v>
      </c>
      <c r="H2394" t="s">
        <v>360</v>
      </c>
      <c r="I2394" t="s">
        <v>659</v>
      </c>
      <c r="J2394" t="str">
        <f>_xlfn.XLOOKUP(Table1[[#This Row],[Course ]], CCF!B:B, CCF!A:A)</f>
        <v>DM101</v>
      </c>
      <c r="K2394" t="s">
        <v>365</v>
      </c>
      <c r="L2394">
        <f>_xlfn.XLOOKUP(K2394, CCF!B:B, CCF!C:C)</f>
        <v>85499</v>
      </c>
      <c r="M2394" t="s">
        <v>27</v>
      </c>
    </row>
    <row r="2395" spans="1:13" x14ac:dyDescent="0.3">
      <c r="A2395">
        <v>2394</v>
      </c>
      <c r="B2395" t="s">
        <v>3048</v>
      </c>
      <c r="C2395" s="3">
        <v>36768</v>
      </c>
      <c r="D2395" t="s">
        <v>666</v>
      </c>
      <c r="E2395">
        <v>42</v>
      </c>
      <c r="F2395" s="1">
        <v>45642</v>
      </c>
      <c r="G2395" s="1" t="str">
        <f>TEXT(Table1[[#This Row],[Enrollment date]], "mmm")</f>
        <v>Dec</v>
      </c>
      <c r="H2395" t="s">
        <v>360</v>
      </c>
      <c r="I2395" t="s">
        <v>660</v>
      </c>
      <c r="J2395" t="str">
        <f>_xlfn.XLOOKUP(Table1[[#This Row],[Course ]], CCF!B:B, CCF!A:A)</f>
        <v>BA301</v>
      </c>
      <c r="K2395" t="s">
        <v>364</v>
      </c>
      <c r="L2395">
        <f>_xlfn.XLOOKUP(K2395, CCF!B:B, CCF!C:C)</f>
        <v>59999</v>
      </c>
      <c r="M2395" t="s">
        <v>91</v>
      </c>
    </row>
    <row r="2396" spans="1:13" x14ac:dyDescent="0.3">
      <c r="A2396">
        <v>2395</v>
      </c>
      <c r="B2396" t="s">
        <v>3049</v>
      </c>
      <c r="C2396" s="3">
        <v>39495</v>
      </c>
      <c r="D2396" t="s">
        <v>666</v>
      </c>
      <c r="E2396">
        <v>21</v>
      </c>
      <c r="F2396" s="1">
        <v>45642</v>
      </c>
      <c r="G2396" s="1" t="str">
        <f>TEXT(Table1[[#This Row],[Enrollment date]], "mmm")</f>
        <v>Dec</v>
      </c>
      <c r="H2396" t="s">
        <v>360</v>
      </c>
      <c r="I2396" t="s">
        <v>660</v>
      </c>
      <c r="J2396" t="str">
        <f>_xlfn.XLOOKUP(Table1[[#This Row],[Course ]], CCF!B:B, CCF!A:A)</f>
        <v>DA202</v>
      </c>
      <c r="K2396" t="s">
        <v>363</v>
      </c>
      <c r="L2396">
        <f>_xlfn.XLOOKUP(K2396, CCF!B:B, CCF!C:C)</f>
        <v>79999</v>
      </c>
      <c r="M2396" t="s">
        <v>198</v>
      </c>
    </row>
    <row r="2397" spans="1:13" x14ac:dyDescent="0.3">
      <c r="A2397">
        <v>2396</v>
      </c>
      <c r="B2397" t="s">
        <v>3050</v>
      </c>
      <c r="C2397" s="3">
        <v>69841</v>
      </c>
      <c r="D2397" t="s">
        <v>666</v>
      </c>
      <c r="E2397">
        <v>36</v>
      </c>
      <c r="F2397" s="1">
        <v>45642</v>
      </c>
      <c r="G2397" s="1" t="str">
        <f>TEXT(Table1[[#This Row],[Enrollment date]], "mmm")</f>
        <v>Dec</v>
      </c>
      <c r="H2397" t="s">
        <v>360</v>
      </c>
      <c r="I2397" t="s">
        <v>659</v>
      </c>
      <c r="J2397" t="str">
        <f>_xlfn.XLOOKUP(Table1[[#This Row],[Course ]], CCF!B:B, CCF!A:A)</f>
        <v>DM101</v>
      </c>
      <c r="K2397" t="s">
        <v>365</v>
      </c>
      <c r="L2397">
        <f>_xlfn.XLOOKUP(K2397, CCF!B:B, CCF!C:C)</f>
        <v>85499</v>
      </c>
      <c r="M2397" t="s">
        <v>650</v>
      </c>
    </row>
    <row r="2398" spans="1:13" x14ac:dyDescent="0.3">
      <c r="A2398">
        <v>2397</v>
      </c>
      <c r="B2398" t="s">
        <v>3051</v>
      </c>
      <c r="C2398" s="3">
        <v>75876</v>
      </c>
      <c r="D2398" t="s">
        <v>666</v>
      </c>
      <c r="E2398">
        <v>46</v>
      </c>
      <c r="F2398" s="1">
        <v>45642</v>
      </c>
      <c r="G2398" s="1" t="str">
        <f>TEXT(Table1[[#This Row],[Enrollment date]], "mmm")</f>
        <v>Dec</v>
      </c>
      <c r="H2398" t="s">
        <v>361</v>
      </c>
      <c r="I2398" t="s">
        <v>659</v>
      </c>
      <c r="J2398" t="str">
        <f>_xlfn.XLOOKUP(Table1[[#This Row],[Course ]], CCF!B:B, CCF!A:A)</f>
        <v>DA202</v>
      </c>
      <c r="K2398" t="s">
        <v>363</v>
      </c>
      <c r="L2398">
        <f>_xlfn.XLOOKUP(K2398, CCF!B:B, CCF!C:C)</f>
        <v>79999</v>
      </c>
      <c r="M2398" t="s">
        <v>111</v>
      </c>
    </row>
    <row r="2399" spans="1:13" x14ac:dyDescent="0.3">
      <c r="A2399">
        <v>2398</v>
      </c>
      <c r="B2399" t="s">
        <v>3052</v>
      </c>
      <c r="C2399" s="3">
        <v>22899</v>
      </c>
      <c r="D2399" t="s">
        <v>666</v>
      </c>
      <c r="E2399">
        <v>26</v>
      </c>
      <c r="F2399" s="1">
        <v>45642</v>
      </c>
      <c r="G2399" s="1" t="str">
        <f>TEXT(Table1[[#This Row],[Enrollment date]], "mmm")</f>
        <v>Dec</v>
      </c>
      <c r="H2399" t="s">
        <v>360</v>
      </c>
      <c r="I2399" t="s">
        <v>659</v>
      </c>
      <c r="J2399" t="str">
        <f>_xlfn.XLOOKUP(Table1[[#This Row],[Course ]], CCF!B:B, CCF!A:A)</f>
        <v>UX401</v>
      </c>
      <c r="K2399" t="s">
        <v>367</v>
      </c>
      <c r="L2399">
        <f>_xlfn.XLOOKUP(K2399, CCF!B:B, CCF!C:C)</f>
        <v>67990</v>
      </c>
      <c r="M2399" t="s">
        <v>9</v>
      </c>
    </row>
    <row r="2400" spans="1:13" x14ac:dyDescent="0.3">
      <c r="A2400">
        <v>2399</v>
      </c>
      <c r="B2400" t="s">
        <v>3053</v>
      </c>
      <c r="C2400" s="3">
        <v>84142</v>
      </c>
      <c r="D2400" t="s">
        <v>666</v>
      </c>
      <c r="E2400">
        <v>19</v>
      </c>
      <c r="F2400" s="1">
        <v>45642</v>
      </c>
      <c r="G2400" s="1" t="str">
        <f>TEXT(Table1[[#This Row],[Enrollment date]], "mmm")</f>
        <v>Dec</v>
      </c>
      <c r="H2400" t="s">
        <v>360</v>
      </c>
      <c r="I2400" t="s">
        <v>659</v>
      </c>
      <c r="J2400" t="str">
        <f>_xlfn.XLOOKUP(Table1[[#This Row],[Course ]], CCF!B:B, CCF!A:A)</f>
        <v>FSD103</v>
      </c>
      <c r="K2400" t="s">
        <v>366</v>
      </c>
      <c r="L2400">
        <f>_xlfn.XLOOKUP(K2400, CCF!B:B, CCF!C:C)</f>
        <v>109990</v>
      </c>
      <c r="M2400" t="s">
        <v>50</v>
      </c>
    </row>
    <row r="2401" spans="1:13" x14ac:dyDescent="0.3">
      <c r="A2401">
        <v>2400</v>
      </c>
      <c r="B2401" t="s">
        <v>3054</v>
      </c>
      <c r="C2401" s="3">
        <v>62985</v>
      </c>
      <c r="D2401" t="s">
        <v>667</v>
      </c>
      <c r="E2401">
        <v>24</v>
      </c>
      <c r="F2401" s="1">
        <v>45643</v>
      </c>
      <c r="G2401" s="1" t="str">
        <f>TEXT(Table1[[#This Row],[Enrollment date]], "mmm")</f>
        <v>Dec</v>
      </c>
      <c r="H2401" t="s">
        <v>360</v>
      </c>
      <c r="I2401" t="s">
        <v>659</v>
      </c>
      <c r="J2401" t="str">
        <f>_xlfn.XLOOKUP(Table1[[#This Row],[Course ]], CCF!B:B, CCF!A:A)</f>
        <v>FSD103</v>
      </c>
      <c r="K2401" t="s">
        <v>366</v>
      </c>
      <c r="L2401">
        <f>_xlfn.XLOOKUP(K2401, CCF!B:B, CCF!C:C)</f>
        <v>109990</v>
      </c>
      <c r="M2401" t="s">
        <v>9</v>
      </c>
    </row>
    <row r="2402" spans="1:13" x14ac:dyDescent="0.3">
      <c r="A2402">
        <v>2401</v>
      </c>
      <c r="B2402" t="s">
        <v>3055</v>
      </c>
      <c r="C2402" s="3">
        <v>27266</v>
      </c>
      <c r="D2402" t="s">
        <v>666</v>
      </c>
      <c r="E2402">
        <v>59</v>
      </c>
      <c r="F2402" s="1">
        <v>45643</v>
      </c>
      <c r="G2402" s="1" t="str">
        <f>TEXT(Table1[[#This Row],[Enrollment date]], "mmm")</f>
        <v>Dec</v>
      </c>
      <c r="H2402" t="s">
        <v>360</v>
      </c>
      <c r="I2402" t="s">
        <v>660</v>
      </c>
      <c r="J2402" t="str">
        <f>_xlfn.XLOOKUP(Table1[[#This Row],[Course ]], CCF!B:B, CCF!A:A)</f>
        <v>DM101</v>
      </c>
      <c r="K2402" t="s">
        <v>365</v>
      </c>
      <c r="L2402">
        <f>_xlfn.XLOOKUP(K2402, CCF!B:B, CCF!C:C)</f>
        <v>85499</v>
      </c>
      <c r="M2402" t="s">
        <v>43</v>
      </c>
    </row>
    <row r="2403" spans="1:13" x14ac:dyDescent="0.3">
      <c r="A2403">
        <v>2402</v>
      </c>
      <c r="B2403" t="s">
        <v>3056</v>
      </c>
      <c r="C2403" s="3">
        <v>76749</v>
      </c>
      <c r="D2403" t="s">
        <v>666</v>
      </c>
      <c r="E2403">
        <v>24</v>
      </c>
      <c r="F2403" s="1">
        <v>45643</v>
      </c>
      <c r="G2403" s="1" t="str">
        <f>TEXT(Table1[[#This Row],[Enrollment date]], "mmm")</f>
        <v>Dec</v>
      </c>
      <c r="H2403" t="s">
        <v>360</v>
      </c>
      <c r="I2403" t="s">
        <v>660</v>
      </c>
      <c r="J2403" t="str">
        <f>_xlfn.XLOOKUP(Table1[[#This Row],[Course ]], CCF!B:B, CCF!A:A)</f>
        <v>FSD103</v>
      </c>
      <c r="K2403" t="s">
        <v>366</v>
      </c>
      <c r="L2403">
        <f>_xlfn.XLOOKUP(K2403, CCF!B:B, CCF!C:C)</f>
        <v>109990</v>
      </c>
      <c r="M2403" t="s">
        <v>27</v>
      </c>
    </row>
    <row r="2404" spans="1:13" x14ac:dyDescent="0.3">
      <c r="A2404">
        <v>2403</v>
      </c>
      <c r="B2404" t="s">
        <v>3057</v>
      </c>
      <c r="C2404" s="3">
        <v>30015</v>
      </c>
      <c r="D2404" t="s">
        <v>666</v>
      </c>
      <c r="E2404">
        <v>46</v>
      </c>
      <c r="F2404" s="1">
        <v>45643</v>
      </c>
      <c r="G2404" s="1" t="str">
        <f>TEXT(Table1[[#This Row],[Enrollment date]], "mmm")</f>
        <v>Dec</v>
      </c>
      <c r="H2404" t="s">
        <v>360</v>
      </c>
      <c r="I2404" t="s">
        <v>661</v>
      </c>
      <c r="J2404" t="str">
        <f>_xlfn.XLOOKUP(Table1[[#This Row],[Course ]], CCF!B:B, CCF!A:A)</f>
        <v>DM101</v>
      </c>
      <c r="K2404" t="s">
        <v>365</v>
      </c>
      <c r="L2404">
        <f>_xlfn.XLOOKUP(K2404, CCF!B:B, CCF!C:C)</f>
        <v>85499</v>
      </c>
      <c r="M2404" t="s">
        <v>86</v>
      </c>
    </row>
    <row r="2405" spans="1:13" x14ac:dyDescent="0.3">
      <c r="A2405">
        <v>2404</v>
      </c>
      <c r="B2405" t="s">
        <v>3058</v>
      </c>
      <c r="C2405" s="3">
        <v>20799</v>
      </c>
      <c r="D2405" t="s">
        <v>666</v>
      </c>
      <c r="E2405">
        <v>41</v>
      </c>
      <c r="F2405" s="1">
        <v>45643</v>
      </c>
      <c r="G2405" s="1" t="str">
        <f>TEXT(Table1[[#This Row],[Enrollment date]], "mmm")</f>
        <v>Dec</v>
      </c>
      <c r="H2405" t="s">
        <v>360</v>
      </c>
      <c r="I2405" t="s">
        <v>663</v>
      </c>
      <c r="J2405" t="str">
        <f>_xlfn.XLOOKUP(Table1[[#This Row],[Course ]], CCF!B:B, CCF!A:A)</f>
        <v>DM101</v>
      </c>
      <c r="K2405" t="s">
        <v>365</v>
      </c>
      <c r="L2405">
        <f>_xlfn.XLOOKUP(K2405, CCF!B:B, CCF!C:C)</f>
        <v>85499</v>
      </c>
      <c r="M2405" t="s">
        <v>27</v>
      </c>
    </row>
    <row r="2406" spans="1:13" x14ac:dyDescent="0.3">
      <c r="A2406">
        <v>2405</v>
      </c>
      <c r="B2406" t="s">
        <v>3059</v>
      </c>
      <c r="C2406" s="3">
        <v>11508</v>
      </c>
      <c r="D2406" t="s">
        <v>666</v>
      </c>
      <c r="E2406">
        <v>28</v>
      </c>
      <c r="F2406" s="1">
        <v>45643</v>
      </c>
      <c r="G2406" s="1" t="str">
        <f>TEXT(Table1[[#This Row],[Enrollment date]], "mmm")</f>
        <v>Dec</v>
      </c>
      <c r="H2406" t="s">
        <v>360</v>
      </c>
      <c r="I2406" t="s">
        <v>660</v>
      </c>
      <c r="J2406" t="str">
        <f>_xlfn.XLOOKUP(Table1[[#This Row],[Course ]], CCF!B:B, CCF!A:A)</f>
        <v>FSD103</v>
      </c>
      <c r="K2406" t="s">
        <v>366</v>
      </c>
      <c r="L2406">
        <f>_xlfn.XLOOKUP(K2406, CCF!B:B, CCF!C:C)</f>
        <v>109990</v>
      </c>
      <c r="M2406" t="s">
        <v>240</v>
      </c>
    </row>
    <row r="2407" spans="1:13" x14ac:dyDescent="0.3">
      <c r="A2407">
        <v>2406</v>
      </c>
      <c r="B2407" t="s">
        <v>3060</v>
      </c>
      <c r="C2407" s="3">
        <v>61886</v>
      </c>
      <c r="D2407" t="s">
        <v>666</v>
      </c>
      <c r="E2407">
        <v>37</v>
      </c>
      <c r="F2407" s="1">
        <v>45643</v>
      </c>
      <c r="G2407" s="1" t="str">
        <f>TEXT(Table1[[#This Row],[Enrollment date]], "mmm")</f>
        <v>Dec</v>
      </c>
      <c r="H2407" t="s">
        <v>360</v>
      </c>
      <c r="I2407" t="s">
        <v>664</v>
      </c>
      <c r="J2407" t="str">
        <f>_xlfn.XLOOKUP(Table1[[#This Row],[Course ]], CCF!B:B, CCF!A:A)</f>
        <v>BA301</v>
      </c>
      <c r="K2407" t="s">
        <v>364</v>
      </c>
      <c r="L2407">
        <f>_xlfn.XLOOKUP(K2407, CCF!B:B, CCF!C:C)</f>
        <v>59999</v>
      </c>
      <c r="M2407" t="s">
        <v>9</v>
      </c>
    </row>
    <row r="2408" spans="1:13" x14ac:dyDescent="0.3">
      <c r="A2408">
        <v>2407</v>
      </c>
      <c r="B2408" t="s">
        <v>3061</v>
      </c>
      <c r="C2408" s="3">
        <v>68338</v>
      </c>
      <c r="D2408" t="s">
        <v>666</v>
      </c>
      <c r="E2408">
        <v>24</v>
      </c>
      <c r="F2408" s="1">
        <v>45643</v>
      </c>
      <c r="G2408" s="1" t="str">
        <f>TEXT(Table1[[#This Row],[Enrollment date]], "mmm")</f>
        <v>Dec</v>
      </c>
      <c r="H2408" t="s">
        <v>360</v>
      </c>
      <c r="I2408" t="s">
        <v>660</v>
      </c>
      <c r="J2408" t="str">
        <f>_xlfn.XLOOKUP(Table1[[#This Row],[Course ]], CCF!B:B, CCF!A:A)</f>
        <v>DM101</v>
      </c>
      <c r="K2408" t="s">
        <v>365</v>
      </c>
      <c r="L2408">
        <f>_xlfn.XLOOKUP(K2408, CCF!B:B, CCF!C:C)</f>
        <v>85499</v>
      </c>
      <c r="M2408" t="s">
        <v>38</v>
      </c>
    </row>
    <row r="2409" spans="1:13" x14ac:dyDescent="0.3">
      <c r="A2409">
        <v>2408</v>
      </c>
      <c r="B2409" t="s">
        <v>3062</v>
      </c>
      <c r="C2409" s="3">
        <v>32496</v>
      </c>
      <c r="D2409" t="s">
        <v>667</v>
      </c>
      <c r="E2409">
        <v>20</v>
      </c>
      <c r="F2409" s="1">
        <v>45643</v>
      </c>
      <c r="G2409" s="1" t="str">
        <f>TEXT(Table1[[#This Row],[Enrollment date]], "mmm")</f>
        <v>Dec</v>
      </c>
      <c r="H2409" t="s">
        <v>360</v>
      </c>
      <c r="I2409" t="s">
        <v>661</v>
      </c>
      <c r="J2409" t="str">
        <f>_xlfn.XLOOKUP(Table1[[#This Row],[Course ]], CCF!B:B, CCF!A:A)</f>
        <v>UX401</v>
      </c>
      <c r="K2409" t="s">
        <v>367</v>
      </c>
      <c r="L2409">
        <f>_xlfn.XLOOKUP(K2409, CCF!B:B, CCF!C:C)</f>
        <v>67990</v>
      </c>
      <c r="M2409" t="s">
        <v>104</v>
      </c>
    </row>
    <row r="2410" spans="1:13" x14ac:dyDescent="0.3">
      <c r="A2410">
        <v>2409</v>
      </c>
      <c r="B2410" t="s">
        <v>3063</v>
      </c>
      <c r="C2410" s="3">
        <v>18144</v>
      </c>
      <c r="D2410" t="s">
        <v>666</v>
      </c>
      <c r="E2410">
        <v>28</v>
      </c>
      <c r="F2410" s="1">
        <v>45643</v>
      </c>
      <c r="G2410" s="1" t="str">
        <f>TEXT(Table1[[#This Row],[Enrollment date]], "mmm")</f>
        <v>Dec</v>
      </c>
      <c r="H2410" t="s">
        <v>360</v>
      </c>
      <c r="I2410" t="s">
        <v>660</v>
      </c>
      <c r="J2410" t="str">
        <f>_xlfn.XLOOKUP(Table1[[#This Row],[Course ]], CCF!B:B, CCF!A:A)</f>
        <v>FSD103</v>
      </c>
      <c r="K2410" t="s">
        <v>366</v>
      </c>
      <c r="L2410">
        <f>_xlfn.XLOOKUP(K2410, CCF!B:B, CCF!C:C)</f>
        <v>109990</v>
      </c>
      <c r="M2410" t="s">
        <v>325</v>
      </c>
    </row>
    <row r="2411" spans="1:13" x14ac:dyDescent="0.3">
      <c r="A2411">
        <v>2410</v>
      </c>
      <c r="B2411" t="s">
        <v>3064</v>
      </c>
      <c r="C2411" s="3">
        <v>97467</v>
      </c>
      <c r="D2411" t="s">
        <v>666</v>
      </c>
      <c r="E2411">
        <v>45</v>
      </c>
      <c r="F2411" s="1">
        <v>45643</v>
      </c>
      <c r="G2411" s="1" t="str">
        <f>TEXT(Table1[[#This Row],[Enrollment date]], "mmm")</f>
        <v>Dec</v>
      </c>
      <c r="H2411" t="s">
        <v>360</v>
      </c>
      <c r="I2411" t="s">
        <v>659</v>
      </c>
      <c r="J2411" t="str">
        <f>_xlfn.XLOOKUP(Table1[[#This Row],[Course ]], CCF!B:B, CCF!A:A)</f>
        <v>AI001</v>
      </c>
      <c r="K2411" t="s">
        <v>368</v>
      </c>
      <c r="L2411">
        <f>_xlfn.XLOOKUP(K2411, CCF!B:B, CCF!C:C)</f>
        <v>119990</v>
      </c>
      <c r="M2411" t="s">
        <v>27</v>
      </c>
    </row>
    <row r="2412" spans="1:13" x14ac:dyDescent="0.3">
      <c r="A2412">
        <v>2411</v>
      </c>
      <c r="B2412" t="s">
        <v>3065</v>
      </c>
      <c r="C2412" s="3">
        <v>34655</v>
      </c>
      <c r="D2412" t="s">
        <v>667</v>
      </c>
      <c r="E2412">
        <v>53</v>
      </c>
      <c r="F2412" s="1">
        <v>45644</v>
      </c>
      <c r="G2412" s="1" t="str">
        <f>TEXT(Table1[[#This Row],[Enrollment date]], "mmm")</f>
        <v>Dec</v>
      </c>
      <c r="H2412" t="s">
        <v>360</v>
      </c>
      <c r="I2412" t="s">
        <v>660</v>
      </c>
      <c r="J2412" t="str">
        <f>_xlfn.XLOOKUP(Table1[[#This Row],[Course ]], CCF!B:B, CCF!A:A)</f>
        <v>DA202</v>
      </c>
      <c r="K2412" t="s">
        <v>363</v>
      </c>
      <c r="L2412">
        <f>_xlfn.XLOOKUP(K2412, CCF!B:B, CCF!C:C)</f>
        <v>79999</v>
      </c>
      <c r="M2412" t="s">
        <v>520</v>
      </c>
    </row>
    <row r="2413" spans="1:13" x14ac:dyDescent="0.3">
      <c r="A2413">
        <v>2412</v>
      </c>
      <c r="B2413" t="s">
        <v>3066</v>
      </c>
      <c r="C2413" s="3">
        <v>21582</v>
      </c>
      <c r="D2413" t="s">
        <v>667</v>
      </c>
      <c r="E2413">
        <v>29</v>
      </c>
      <c r="F2413" s="1">
        <v>45644</v>
      </c>
      <c r="G2413" s="1" t="str">
        <f>TEXT(Table1[[#This Row],[Enrollment date]], "mmm")</f>
        <v>Dec</v>
      </c>
      <c r="H2413" t="s">
        <v>360</v>
      </c>
      <c r="I2413" t="s">
        <v>661</v>
      </c>
      <c r="J2413" t="str">
        <f>_xlfn.XLOOKUP(Table1[[#This Row],[Course ]], CCF!B:B, CCF!A:A)</f>
        <v>DM101</v>
      </c>
      <c r="K2413" t="s">
        <v>365</v>
      </c>
      <c r="L2413">
        <f>_xlfn.XLOOKUP(K2413, CCF!B:B, CCF!C:C)</f>
        <v>85499</v>
      </c>
      <c r="M2413" t="s">
        <v>15</v>
      </c>
    </row>
    <row r="2414" spans="1:13" x14ac:dyDescent="0.3">
      <c r="A2414">
        <v>2413</v>
      </c>
      <c r="B2414" t="s">
        <v>3067</v>
      </c>
      <c r="C2414" s="3">
        <v>23038</v>
      </c>
      <c r="D2414" t="s">
        <v>666</v>
      </c>
      <c r="E2414">
        <v>64</v>
      </c>
      <c r="F2414" s="1">
        <v>45645</v>
      </c>
      <c r="G2414" s="1" t="str">
        <f>TEXT(Table1[[#This Row],[Enrollment date]], "mmm")</f>
        <v>Dec</v>
      </c>
      <c r="H2414" t="s">
        <v>360</v>
      </c>
      <c r="I2414" t="s">
        <v>660</v>
      </c>
      <c r="J2414" t="str">
        <f>_xlfn.XLOOKUP(Table1[[#This Row],[Course ]], CCF!B:B, CCF!A:A)</f>
        <v>DA202</v>
      </c>
      <c r="K2414" t="s">
        <v>363</v>
      </c>
      <c r="L2414">
        <f>_xlfn.XLOOKUP(K2414, CCF!B:B, CCF!C:C)</f>
        <v>79999</v>
      </c>
      <c r="M2414" t="s">
        <v>91</v>
      </c>
    </row>
    <row r="2415" spans="1:13" x14ac:dyDescent="0.3">
      <c r="A2415">
        <v>2414</v>
      </c>
      <c r="B2415" t="s">
        <v>3068</v>
      </c>
      <c r="C2415" s="3">
        <v>12441</v>
      </c>
      <c r="D2415" t="s">
        <v>666</v>
      </c>
      <c r="E2415">
        <v>44</v>
      </c>
      <c r="F2415" s="1">
        <v>45645</v>
      </c>
      <c r="G2415" s="1" t="str">
        <f>TEXT(Table1[[#This Row],[Enrollment date]], "mmm")</f>
        <v>Dec</v>
      </c>
      <c r="H2415" t="s">
        <v>360</v>
      </c>
      <c r="I2415" t="s">
        <v>659</v>
      </c>
      <c r="J2415" t="str">
        <f>_xlfn.XLOOKUP(Table1[[#This Row],[Course ]], CCF!B:B, CCF!A:A)</f>
        <v>DM101</v>
      </c>
      <c r="K2415" t="s">
        <v>365</v>
      </c>
      <c r="L2415">
        <f>_xlfn.XLOOKUP(K2415, CCF!B:B, CCF!C:C)</f>
        <v>85499</v>
      </c>
      <c r="M2415" t="s">
        <v>20</v>
      </c>
    </row>
    <row r="2416" spans="1:13" x14ac:dyDescent="0.3">
      <c r="A2416">
        <v>2415</v>
      </c>
      <c r="B2416" t="s">
        <v>3069</v>
      </c>
      <c r="C2416" s="3">
        <v>20090</v>
      </c>
      <c r="D2416" t="s">
        <v>666</v>
      </c>
      <c r="E2416">
        <v>56</v>
      </c>
      <c r="F2416" s="1">
        <v>45645</v>
      </c>
      <c r="G2416" s="1" t="str">
        <f>TEXT(Table1[[#This Row],[Enrollment date]], "mmm")</f>
        <v>Dec</v>
      </c>
      <c r="H2416" t="s">
        <v>360</v>
      </c>
      <c r="I2416" t="s">
        <v>659</v>
      </c>
      <c r="J2416" t="str">
        <f>_xlfn.XLOOKUP(Table1[[#This Row],[Course ]], CCF!B:B, CCF!A:A)</f>
        <v>DM101</v>
      </c>
      <c r="K2416" t="s">
        <v>365</v>
      </c>
      <c r="L2416">
        <f>_xlfn.XLOOKUP(K2416, CCF!B:B, CCF!C:C)</f>
        <v>85499</v>
      </c>
      <c r="M2416" t="s">
        <v>28</v>
      </c>
    </row>
    <row r="2417" spans="1:13" x14ac:dyDescent="0.3">
      <c r="A2417">
        <v>2416</v>
      </c>
      <c r="B2417" t="s">
        <v>3070</v>
      </c>
      <c r="C2417" s="3">
        <v>10214</v>
      </c>
      <c r="D2417" t="s">
        <v>666</v>
      </c>
      <c r="E2417">
        <v>36</v>
      </c>
      <c r="F2417" s="1">
        <v>45645</v>
      </c>
      <c r="G2417" s="1" t="str">
        <f>TEXT(Table1[[#This Row],[Enrollment date]], "mmm")</f>
        <v>Dec</v>
      </c>
      <c r="H2417" t="s">
        <v>360</v>
      </c>
      <c r="I2417" t="s">
        <v>660</v>
      </c>
      <c r="J2417" t="str">
        <f>_xlfn.XLOOKUP(Table1[[#This Row],[Course ]], CCF!B:B, CCF!A:A)</f>
        <v>UX401</v>
      </c>
      <c r="K2417" t="s">
        <v>367</v>
      </c>
      <c r="L2417">
        <f>_xlfn.XLOOKUP(K2417, CCF!B:B, CCF!C:C)</f>
        <v>67990</v>
      </c>
      <c r="M2417" t="s">
        <v>20</v>
      </c>
    </row>
    <row r="2418" spans="1:13" x14ac:dyDescent="0.3">
      <c r="A2418">
        <v>2417</v>
      </c>
      <c r="B2418" t="s">
        <v>3071</v>
      </c>
      <c r="C2418" s="3">
        <v>45365</v>
      </c>
      <c r="D2418" t="s">
        <v>666</v>
      </c>
      <c r="E2418">
        <v>45</v>
      </c>
      <c r="F2418" s="1">
        <v>45645</v>
      </c>
      <c r="G2418" s="1" t="str">
        <f>TEXT(Table1[[#This Row],[Enrollment date]], "mmm")</f>
        <v>Dec</v>
      </c>
      <c r="H2418" t="s">
        <v>360</v>
      </c>
      <c r="I2418" t="s">
        <v>659</v>
      </c>
      <c r="J2418" t="str">
        <f>_xlfn.XLOOKUP(Table1[[#This Row],[Course ]], CCF!B:B, CCF!A:A)</f>
        <v>DA202</v>
      </c>
      <c r="K2418" t="s">
        <v>363</v>
      </c>
      <c r="L2418">
        <f>_xlfn.XLOOKUP(K2418, CCF!B:B, CCF!C:C)</f>
        <v>79999</v>
      </c>
      <c r="M2418" t="s">
        <v>27</v>
      </c>
    </row>
    <row r="2419" spans="1:13" x14ac:dyDescent="0.3">
      <c r="A2419">
        <v>2418</v>
      </c>
      <c r="B2419" t="s">
        <v>3072</v>
      </c>
      <c r="C2419" s="3">
        <v>36222</v>
      </c>
      <c r="D2419" t="s">
        <v>666</v>
      </c>
      <c r="E2419">
        <v>20</v>
      </c>
      <c r="F2419" s="1">
        <v>45645</v>
      </c>
      <c r="G2419" s="1" t="str">
        <f>TEXT(Table1[[#This Row],[Enrollment date]], "mmm")</f>
        <v>Dec</v>
      </c>
      <c r="H2419" t="s">
        <v>360</v>
      </c>
      <c r="I2419" t="s">
        <v>659</v>
      </c>
      <c r="J2419" t="str">
        <f>_xlfn.XLOOKUP(Table1[[#This Row],[Course ]], CCF!B:B, CCF!A:A)</f>
        <v>DM101</v>
      </c>
      <c r="K2419" t="s">
        <v>365</v>
      </c>
      <c r="L2419">
        <f>_xlfn.XLOOKUP(K2419, CCF!B:B, CCF!C:C)</f>
        <v>85499</v>
      </c>
      <c r="M2419" t="s">
        <v>514</v>
      </c>
    </row>
    <row r="2420" spans="1:13" x14ac:dyDescent="0.3">
      <c r="A2420">
        <v>2419</v>
      </c>
      <c r="B2420" t="s">
        <v>3073</v>
      </c>
      <c r="C2420" s="3">
        <v>43475</v>
      </c>
      <c r="D2420" t="s">
        <v>667</v>
      </c>
      <c r="E2420">
        <v>44</v>
      </c>
      <c r="F2420" s="1">
        <v>45645</v>
      </c>
      <c r="G2420" s="1" t="str">
        <f>TEXT(Table1[[#This Row],[Enrollment date]], "mmm")</f>
        <v>Dec</v>
      </c>
      <c r="H2420" t="s">
        <v>360</v>
      </c>
      <c r="I2420" t="s">
        <v>660</v>
      </c>
      <c r="J2420" t="str">
        <f>_xlfn.XLOOKUP(Table1[[#This Row],[Course ]], CCF!B:B, CCF!A:A)</f>
        <v>DM101</v>
      </c>
      <c r="K2420" t="s">
        <v>365</v>
      </c>
      <c r="L2420">
        <f>_xlfn.XLOOKUP(K2420, CCF!B:B, CCF!C:C)</f>
        <v>85499</v>
      </c>
      <c r="M2420" t="s">
        <v>17</v>
      </c>
    </row>
    <row r="2421" spans="1:13" x14ac:dyDescent="0.3">
      <c r="A2421">
        <v>2420</v>
      </c>
      <c r="B2421" t="s">
        <v>3074</v>
      </c>
      <c r="C2421" s="3">
        <v>87331</v>
      </c>
      <c r="D2421" t="s">
        <v>666</v>
      </c>
      <c r="E2421">
        <v>62</v>
      </c>
      <c r="F2421" s="1">
        <v>45645</v>
      </c>
      <c r="G2421" s="1" t="str">
        <f>TEXT(Table1[[#This Row],[Enrollment date]], "mmm")</f>
        <v>Dec</v>
      </c>
      <c r="H2421" t="s">
        <v>360</v>
      </c>
      <c r="I2421" t="s">
        <v>660</v>
      </c>
      <c r="J2421" t="str">
        <f>_xlfn.XLOOKUP(Table1[[#This Row],[Course ]], CCF!B:B, CCF!A:A)</f>
        <v>FSD103</v>
      </c>
      <c r="K2421" t="s">
        <v>366</v>
      </c>
      <c r="L2421">
        <f>_xlfn.XLOOKUP(K2421, CCF!B:B, CCF!C:C)</f>
        <v>109990</v>
      </c>
      <c r="M2421" t="s">
        <v>34</v>
      </c>
    </row>
    <row r="2422" spans="1:13" x14ac:dyDescent="0.3">
      <c r="A2422">
        <v>2421</v>
      </c>
      <c r="B2422" t="s">
        <v>3075</v>
      </c>
      <c r="C2422" s="3">
        <v>87597</v>
      </c>
      <c r="D2422" t="s">
        <v>666</v>
      </c>
      <c r="E2422">
        <v>27</v>
      </c>
      <c r="F2422" s="1">
        <v>45646</v>
      </c>
      <c r="G2422" s="1" t="str">
        <f>TEXT(Table1[[#This Row],[Enrollment date]], "mmm")</f>
        <v>Dec</v>
      </c>
      <c r="H2422" t="s">
        <v>3</v>
      </c>
      <c r="I2422" t="s">
        <v>663</v>
      </c>
      <c r="J2422" t="str">
        <f>_xlfn.XLOOKUP(Table1[[#This Row],[Course ]], CCF!B:B, CCF!A:A)</f>
        <v>DM101</v>
      </c>
      <c r="K2422" t="s">
        <v>365</v>
      </c>
      <c r="L2422">
        <f>_xlfn.XLOOKUP(K2422, CCF!B:B, CCF!C:C)</f>
        <v>85499</v>
      </c>
      <c r="M2422" t="s">
        <v>651</v>
      </c>
    </row>
    <row r="2423" spans="1:13" x14ac:dyDescent="0.3">
      <c r="A2423">
        <v>2422</v>
      </c>
      <c r="B2423" t="s">
        <v>3076</v>
      </c>
      <c r="C2423" s="3">
        <v>81597</v>
      </c>
      <c r="D2423" t="s">
        <v>666</v>
      </c>
      <c r="E2423">
        <v>65</v>
      </c>
      <c r="F2423" s="1">
        <v>45646</v>
      </c>
      <c r="G2423" s="1" t="str">
        <f>TEXT(Table1[[#This Row],[Enrollment date]], "mmm")</f>
        <v>Dec</v>
      </c>
      <c r="H2423" t="s">
        <v>360</v>
      </c>
      <c r="I2423" t="s">
        <v>661</v>
      </c>
      <c r="J2423" t="str">
        <f>_xlfn.XLOOKUP(Table1[[#This Row],[Course ]], CCF!B:B, CCF!A:A)</f>
        <v>DM101</v>
      </c>
      <c r="K2423" t="s">
        <v>365</v>
      </c>
      <c r="L2423">
        <f>_xlfn.XLOOKUP(K2423, CCF!B:B, CCF!C:C)</f>
        <v>85499</v>
      </c>
      <c r="M2423" t="s">
        <v>65</v>
      </c>
    </row>
    <row r="2424" spans="1:13" x14ac:dyDescent="0.3">
      <c r="A2424">
        <v>2423</v>
      </c>
      <c r="B2424" t="s">
        <v>3077</v>
      </c>
      <c r="C2424" s="3">
        <v>64558</v>
      </c>
      <c r="D2424" t="s">
        <v>666</v>
      </c>
      <c r="E2424">
        <v>45</v>
      </c>
      <c r="F2424" s="1">
        <v>45646</v>
      </c>
      <c r="G2424" s="1" t="str">
        <f>TEXT(Table1[[#This Row],[Enrollment date]], "mmm")</f>
        <v>Dec</v>
      </c>
      <c r="H2424" t="s">
        <v>360</v>
      </c>
      <c r="I2424" t="s">
        <v>663</v>
      </c>
      <c r="J2424" t="str">
        <f>_xlfn.XLOOKUP(Table1[[#This Row],[Course ]], CCF!B:B, CCF!A:A)</f>
        <v>FSD103</v>
      </c>
      <c r="K2424" t="s">
        <v>366</v>
      </c>
      <c r="L2424">
        <f>_xlfn.XLOOKUP(K2424, CCF!B:B, CCF!C:C)</f>
        <v>109990</v>
      </c>
      <c r="M2424" t="s">
        <v>9</v>
      </c>
    </row>
    <row r="2425" spans="1:13" x14ac:dyDescent="0.3">
      <c r="A2425">
        <v>2424</v>
      </c>
      <c r="B2425" t="s">
        <v>3078</v>
      </c>
      <c r="C2425" s="3">
        <v>31448</v>
      </c>
      <c r="D2425" t="s">
        <v>666</v>
      </c>
      <c r="E2425">
        <v>35</v>
      </c>
      <c r="F2425" s="1">
        <v>45646</v>
      </c>
      <c r="G2425" s="1" t="str">
        <f>TEXT(Table1[[#This Row],[Enrollment date]], "mmm")</f>
        <v>Dec</v>
      </c>
      <c r="H2425" t="s">
        <v>360</v>
      </c>
      <c r="I2425" t="s">
        <v>659</v>
      </c>
      <c r="J2425" t="str">
        <f>_xlfn.XLOOKUP(Table1[[#This Row],[Course ]], CCF!B:B, CCF!A:A)</f>
        <v>DM101</v>
      </c>
      <c r="K2425" t="s">
        <v>365</v>
      </c>
      <c r="L2425">
        <f>_xlfn.XLOOKUP(K2425, CCF!B:B, CCF!C:C)</f>
        <v>85499</v>
      </c>
      <c r="M2425" t="s">
        <v>80</v>
      </c>
    </row>
    <row r="2426" spans="1:13" x14ac:dyDescent="0.3">
      <c r="A2426">
        <v>2425</v>
      </c>
      <c r="B2426" t="s">
        <v>3079</v>
      </c>
      <c r="C2426" s="3">
        <v>22656</v>
      </c>
      <c r="D2426" t="s">
        <v>667</v>
      </c>
      <c r="E2426">
        <v>39</v>
      </c>
      <c r="F2426" s="1">
        <v>45646</v>
      </c>
      <c r="G2426" s="1" t="str">
        <f>TEXT(Table1[[#This Row],[Enrollment date]], "mmm")</f>
        <v>Dec</v>
      </c>
      <c r="H2426" t="s">
        <v>360</v>
      </c>
      <c r="I2426" t="s">
        <v>659</v>
      </c>
      <c r="J2426" t="str">
        <f>_xlfn.XLOOKUP(Table1[[#This Row],[Course ]], CCF!B:B, CCF!A:A)</f>
        <v>DM101</v>
      </c>
      <c r="K2426" t="s">
        <v>365</v>
      </c>
      <c r="L2426">
        <f>_xlfn.XLOOKUP(K2426, CCF!B:B, CCF!C:C)</f>
        <v>85499</v>
      </c>
      <c r="M2426" t="s">
        <v>62</v>
      </c>
    </row>
    <row r="2427" spans="1:13" x14ac:dyDescent="0.3">
      <c r="A2427">
        <v>2426</v>
      </c>
      <c r="B2427" t="s">
        <v>3080</v>
      </c>
      <c r="C2427" s="3">
        <v>94620</v>
      </c>
      <c r="D2427" t="s">
        <v>667</v>
      </c>
      <c r="E2427">
        <v>43</v>
      </c>
      <c r="F2427" s="1">
        <v>45646</v>
      </c>
      <c r="G2427" s="1" t="str">
        <f>TEXT(Table1[[#This Row],[Enrollment date]], "mmm")</f>
        <v>Dec</v>
      </c>
      <c r="H2427" t="s">
        <v>360</v>
      </c>
      <c r="I2427" t="s">
        <v>662</v>
      </c>
      <c r="J2427" t="str">
        <f>_xlfn.XLOOKUP(Table1[[#This Row],[Course ]], CCF!B:B, CCF!A:A)</f>
        <v>AI001</v>
      </c>
      <c r="K2427" t="s">
        <v>368</v>
      </c>
      <c r="L2427">
        <f>_xlfn.XLOOKUP(K2427, CCF!B:B, CCF!C:C)</f>
        <v>119990</v>
      </c>
      <c r="M2427" t="s">
        <v>48</v>
      </c>
    </row>
    <row r="2428" spans="1:13" x14ac:dyDescent="0.3">
      <c r="A2428">
        <v>2427</v>
      </c>
      <c r="B2428" t="s">
        <v>3081</v>
      </c>
      <c r="C2428" s="3">
        <v>10358</v>
      </c>
      <c r="D2428" t="s">
        <v>666</v>
      </c>
      <c r="E2428">
        <v>55</v>
      </c>
      <c r="F2428" s="1">
        <v>45646</v>
      </c>
      <c r="G2428" s="1" t="str">
        <f>TEXT(Table1[[#This Row],[Enrollment date]], "mmm")</f>
        <v>Dec</v>
      </c>
      <c r="H2428" t="s">
        <v>360</v>
      </c>
      <c r="I2428" t="s">
        <v>660</v>
      </c>
      <c r="J2428" t="str">
        <f>_xlfn.XLOOKUP(Table1[[#This Row],[Course ]], CCF!B:B, CCF!A:A)</f>
        <v>CC002</v>
      </c>
      <c r="K2428" t="s">
        <v>658</v>
      </c>
      <c r="L2428">
        <f>_xlfn.XLOOKUP(K2428, CCF!B:B, CCF!C:C)</f>
        <v>99990</v>
      </c>
      <c r="M2428" t="s">
        <v>285</v>
      </c>
    </row>
    <row r="2429" spans="1:13" x14ac:dyDescent="0.3">
      <c r="A2429">
        <v>2428</v>
      </c>
      <c r="B2429" t="s">
        <v>3082</v>
      </c>
      <c r="C2429" s="3">
        <v>25707</v>
      </c>
      <c r="D2429" t="s">
        <v>666</v>
      </c>
      <c r="E2429">
        <v>45</v>
      </c>
      <c r="F2429" s="1">
        <v>45646</v>
      </c>
      <c r="G2429" s="1" t="str">
        <f>TEXT(Table1[[#This Row],[Enrollment date]], "mmm")</f>
        <v>Dec</v>
      </c>
      <c r="H2429" t="s">
        <v>360</v>
      </c>
      <c r="I2429" t="s">
        <v>660</v>
      </c>
      <c r="J2429" t="str">
        <f>_xlfn.XLOOKUP(Table1[[#This Row],[Course ]], CCF!B:B, CCF!A:A)</f>
        <v>DA202</v>
      </c>
      <c r="K2429" t="s">
        <v>363</v>
      </c>
      <c r="L2429">
        <f>_xlfn.XLOOKUP(K2429, CCF!B:B, CCF!C:C)</f>
        <v>79999</v>
      </c>
      <c r="M2429" t="s">
        <v>185</v>
      </c>
    </row>
    <row r="2430" spans="1:13" x14ac:dyDescent="0.3">
      <c r="A2430">
        <v>2429</v>
      </c>
      <c r="B2430" t="s">
        <v>3083</v>
      </c>
      <c r="C2430" s="3">
        <v>38535</v>
      </c>
      <c r="D2430" t="s">
        <v>666</v>
      </c>
      <c r="E2430">
        <v>34</v>
      </c>
      <c r="F2430" s="1">
        <v>45647</v>
      </c>
      <c r="G2430" s="1" t="str">
        <f>TEXT(Table1[[#This Row],[Enrollment date]], "mmm")</f>
        <v>Dec</v>
      </c>
      <c r="H2430" t="s">
        <v>360</v>
      </c>
      <c r="I2430" t="s">
        <v>661</v>
      </c>
      <c r="J2430" t="str">
        <f>_xlfn.XLOOKUP(Table1[[#This Row],[Course ]], CCF!B:B, CCF!A:A)</f>
        <v>DM101</v>
      </c>
      <c r="K2430" t="s">
        <v>365</v>
      </c>
      <c r="L2430">
        <f>_xlfn.XLOOKUP(K2430, CCF!B:B, CCF!C:C)</f>
        <v>85499</v>
      </c>
      <c r="M2430" t="s">
        <v>144</v>
      </c>
    </row>
    <row r="2431" spans="1:13" x14ac:dyDescent="0.3">
      <c r="A2431">
        <v>2430</v>
      </c>
      <c r="B2431" t="s">
        <v>3084</v>
      </c>
      <c r="C2431" s="3">
        <v>46138</v>
      </c>
      <c r="D2431" t="s">
        <v>666</v>
      </c>
      <c r="E2431">
        <v>30</v>
      </c>
      <c r="F2431" s="1">
        <v>45647</v>
      </c>
      <c r="G2431" s="1" t="str">
        <f>TEXT(Table1[[#This Row],[Enrollment date]], "mmm")</f>
        <v>Dec</v>
      </c>
      <c r="H2431" t="s">
        <v>360</v>
      </c>
      <c r="I2431" t="s">
        <v>660</v>
      </c>
      <c r="J2431" t="str">
        <f>_xlfn.XLOOKUP(Table1[[#This Row],[Course ]], CCF!B:B, CCF!A:A)</f>
        <v>DM101</v>
      </c>
      <c r="K2431" t="s">
        <v>365</v>
      </c>
      <c r="L2431">
        <f>_xlfn.XLOOKUP(K2431, CCF!B:B, CCF!C:C)</f>
        <v>85499</v>
      </c>
      <c r="M2431" t="s">
        <v>629</v>
      </c>
    </row>
    <row r="2432" spans="1:13" x14ac:dyDescent="0.3">
      <c r="A2432">
        <v>2431</v>
      </c>
      <c r="B2432" t="s">
        <v>3085</v>
      </c>
      <c r="C2432" s="3">
        <v>75981</v>
      </c>
      <c r="D2432" t="s">
        <v>667</v>
      </c>
      <c r="E2432">
        <v>32</v>
      </c>
      <c r="F2432" s="1">
        <v>45647</v>
      </c>
      <c r="G2432" s="1" t="str">
        <f>TEXT(Table1[[#This Row],[Enrollment date]], "mmm")</f>
        <v>Dec</v>
      </c>
      <c r="H2432" t="s">
        <v>360</v>
      </c>
      <c r="I2432" t="s">
        <v>660</v>
      </c>
      <c r="J2432" t="str">
        <f>_xlfn.XLOOKUP(Table1[[#This Row],[Course ]], CCF!B:B, CCF!A:A)</f>
        <v>BA301</v>
      </c>
      <c r="K2432" t="s">
        <v>364</v>
      </c>
      <c r="L2432">
        <f>_xlfn.XLOOKUP(K2432, CCF!B:B, CCF!C:C)</f>
        <v>59999</v>
      </c>
      <c r="M2432" t="s">
        <v>9</v>
      </c>
    </row>
    <row r="2433" spans="1:13" x14ac:dyDescent="0.3">
      <c r="A2433">
        <v>2432</v>
      </c>
      <c r="B2433" t="s">
        <v>3086</v>
      </c>
      <c r="C2433" s="3">
        <v>28565</v>
      </c>
      <c r="D2433" t="s">
        <v>666</v>
      </c>
      <c r="E2433">
        <v>51</v>
      </c>
      <c r="F2433" s="1">
        <v>45647</v>
      </c>
      <c r="G2433" s="1" t="str">
        <f>TEXT(Table1[[#This Row],[Enrollment date]], "mmm")</f>
        <v>Dec</v>
      </c>
      <c r="H2433" t="s">
        <v>360</v>
      </c>
      <c r="I2433" t="s">
        <v>660</v>
      </c>
      <c r="J2433" t="str">
        <f>_xlfn.XLOOKUP(Table1[[#This Row],[Course ]], CCF!B:B, CCF!A:A)</f>
        <v>FSD103</v>
      </c>
      <c r="K2433" t="s">
        <v>366</v>
      </c>
      <c r="L2433">
        <f>_xlfn.XLOOKUP(K2433, CCF!B:B, CCF!C:C)</f>
        <v>109990</v>
      </c>
      <c r="M2433" t="s">
        <v>17</v>
      </c>
    </row>
    <row r="2434" spans="1:13" x14ac:dyDescent="0.3">
      <c r="A2434">
        <v>2433</v>
      </c>
      <c r="B2434" t="s">
        <v>3087</v>
      </c>
      <c r="C2434" s="3">
        <v>26880</v>
      </c>
      <c r="D2434" t="s">
        <v>666</v>
      </c>
      <c r="E2434">
        <v>46</v>
      </c>
      <c r="F2434" s="1">
        <v>45647</v>
      </c>
      <c r="G2434" s="1" t="str">
        <f>TEXT(Table1[[#This Row],[Enrollment date]], "mmm")</f>
        <v>Dec</v>
      </c>
      <c r="H2434" t="s">
        <v>360</v>
      </c>
      <c r="I2434" t="s">
        <v>661</v>
      </c>
      <c r="J2434" t="str">
        <f>_xlfn.XLOOKUP(Table1[[#This Row],[Course ]], CCF!B:B, CCF!A:A)</f>
        <v>DA202</v>
      </c>
      <c r="K2434" t="s">
        <v>363</v>
      </c>
      <c r="L2434">
        <f>_xlfn.XLOOKUP(K2434, CCF!B:B, CCF!C:C)</f>
        <v>79999</v>
      </c>
      <c r="M2434" t="s">
        <v>80</v>
      </c>
    </row>
    <row r="2435" spans="1:13" x14ac:dyDescent="0.3">
      <c r="A2435">
        <v>2434</v>
      </c>
      <c r="B2435" t="s">
        <v>3088</v>
      </c>
      <c r="C2435" s="3">
        <v>39619</v>
      </c>
      <c r="D2435" t="s">
        <v>667</v>
      </c>
      <c r="E2435">
        <v>47</v>
      </c>
      <c r="F2435" s="1">
        <v>45647</v>
      </c>
      <c r="G2435" s="1" t="str">
        <f>TEXT(Table1[[#This Row],[Enrollment date]], "mmm")</f>
        <v>Dec</v>
      </c>
      <c r="H2435" t="s">
        <v>360</v>
      </c>
      <c r="I2435" t="s">
        <v>660</v>
      </c>
      <c r="J2435" t="str">
        <f>_xlfn.XLOOKUP(Table1[[#This Row],[Course ]], CCF!B:B, CCF!A:A)</f>
        <v>DM101</v>
      </c>
      <c r="K2435" t="s">
        <v>365</v>
      </c>
      <c r="L2435">
        <f>_xlfn.XLOOKUP(K2435, CCF!B:B, CCF!C:C)</f>
        <v>85499</v>
      </c>
      <c r="M2435" t="s">
        <v>9</v>
      </c>
    </row>
    <row r="2436" spans="1:13" x14ac:dyDescent="0.3">
      <c r="A2436">
        <v>2435</v>
      </c>
      <c r="B2436" t="s">
        <v>2414</v>
      </c>
      <c r="C2436" s="3">
        <v>65241</v>
      </c>
      <c r="D2436" t="s">
        <v>666</v>
      </c>
      <c r="E2436">
        <v>39</v>
      </c>
      <c r="F2436" s="1">
        <v>45647</v>
      </c>
      <c r="G2436" s="1" t="str">
        <f>TEXT(Table1[[#This Row],[Enrollment date]], "mmm")</f>
        <v>Dec</v>
      </c>
      <c r="H2436" t="s">
        <v>360</v>
      </c>
      <c r="I2436" t="s">
        <v>659</v>
      </c>
      <c r="J2436" t="str">
        <f>_xlfn.XLOOKUP(Table1[[#This Row],[Course ]], CCF!B:B, CCF!A:A)</f>
        <v>DM101</v>
      </c>
      <c r="K2436" t="s">
        <v>365</v>
      </c>
      <c r="L2436">
        <f>_xlfn.XLOOKUP(K2436, CCF!B:B, CCF!C:C)</f>
        <v>85499</v>
      </c>
      <c r="M2436" t="s">
        <v>652</v>
      </c>
    </row>
    <row r="2437" spans="1:13" x14ac:dyDescent="0.3">
      <c r="A2437">
        <v>2436</v>
      </c>
      <c r="B2437" t="s">
        <v>3089</v>
      </c>
      <c r="C2437" s="3">
        <v>20130</v>
      </c>
      <c r="D2437" t="s">
        <v>667</v>
      </c>
      <c r="E2437">
        <v>35</v>
      </c>
      <c r="F2437" s="1">
        <v>45647</v>
      </c>
      <c r="G2437" s="1" t="str">
        <f>TEXT(Table1[[#This Row],[Enrollment date]], "mmm")</f>
        <v>Dec</v>
      </c>
      <c r="H2437" t="s">
        <v>360</v>
      </c>
      <c r="I2437" t="s">
        <v>664</v>
      </c>
      <c r="J2437" t="str">
        <f>_xlfn.XLOOKUP(Table1[[#This Row],[Course ]], CCF!B:B, CCF!A:A)</f>
        <v>UX401</v>
      </c>
      <c r="K2437" t="s">
        <v>367</v>
      </c>
      <c r="L2437">
        <f>_xlfn.XLOOKUP(K2437, CCF!B:B, CCF!C:C)</f>
        <v>67990</v>
      </c>
      <c r="M2437" t="s">
        <v>43</v>
      </c>
    </row>
    <row r="2438" spans="1:13" x14ac:dyDescent="0.3">
      <c r="A2438">
        <v>2437</v>
      </c>
      <c r="B2438" t="s">
        <v>3090</v>
      </c>
      <c r="C2438" s="3">
        <v>91510</v>
      </c>
      <c r="D2438" t="s">
        <v>666</v>
      </c>
      <c r="E2438">
        <v>44</v>
      </c>
      <c r="F2438" s="1">
        <v>45647</v>
      </c>
      <c r="G2438" s="1" t="str">
        <f>TEXT(Table1[[#This Row],[Enrollment date]], "mmm")</f>
        <v>Dec</v>
      </c>
      <c r="H2438" t="s">
        <v>3</v>
      </c>
      <c r="I2438" t="s">
        <v>661</v>
      </c>
      <c r="J2438" t="str">
        <f>_xlfn.XLOOKUP(Table1[[#This Row],[Course ]], CCF!B:B, CCF!A:A)</f>
        <v>DM101</v>
      </c>
      <c r="K2438" t="s">
        <v>365</v>
      </c>
      <c r="L2438">
        <f>_xlfn.XLOOKUP(K2438, CCF!B:B, CCF!C:C)</f>
        <v>85499</v>
      </c>
      <c r="M2438" t="s">
        <v>325</v>
      </c>
    </row>
    <row r="2439" spans="1:13" x14ac:dyDescent="0.3">
      <c r="A2439">
        <v>2438</v>
      </c>
      <c r="B2439" t="s">
        <v>3091</v>
      </c>
      <c r="C2439" s="3">
        <v>41979</v>
      </c>
      <c r="D2439" t="s">
        <v>667</v>
      </c>
      <c r="E2439">
        <v>39</v>
      </c>
      <c r="F2439" s="1">
        <v>45647</v>
      </c>
      <c r="G2439" s="1" t="str">
        <f>TEXT(Table1[[#This Row],[Enrollment date]], "mmm")</f>
        <v>Dec</v>
      </c>
      <c r="H2439" t="s">
        <v>360</v>
      </c>
      <c r="I2439" t="s">
        <v>663</v>
      </c>
      <c r="J2439" t="str">
        <f>_xlfn.XLOOKUP(Table1[[#This Row],[Course ]], CCF!B:B, CCF!A:A)</f>
        <v>BA301</v>
      </c>
      <c r="K2439" t="s">
        <v>364</v>
      </c>
      <c r="L2439">
        <f>_xlfn.XLOOKUP(K2439, CCF!B:B, CCF!C:C)</f>
        <v>59999</v>
      </c>
      <c r="M2439" t="s">
        <v>16</v>
      </c>
    </row>
    <row r="2440" spans="1:13" x14ac:dyDescent="0.3">
      <c r="A2440">
        <v>2439</v>
      </c>
      <c r="B2440" t="s">
        <v>3092</v>
      </c>
      <c r="C2440" s="3">
        <v>37940</v>
      </c>
      <c r="D2440" t="s">
        <v>666</v>
      </c>
      <c r="E2440">
        <v>50</v>
      </c>
      <c r="F2440" s="1">
        <v>45647</v>
      </c>
      <c r="G2440" s="1" t="str">
        <f>TEXT(Table1[[#This Row],[Enrollment date]], "mmm")</f>
        <v>Dec</v>
      </c>
      <c r="H2440" t="s">
        <v>360</v>
      </c>
      <c r="I2440" t="s">
        <v>660</v>
      </c>
      <c r="J2440" t="str">
        <f>_xlfn.XLOOKUP(Table1[[#This Row],[Course ]], CCF!B:B, CCF!A:A)</f>
        <v>DA202</v>
      </c>
      <c r="K2440" t="s">
        <v>363</v>
      </c>
      <c r="L2440">
        <f>_xlfn.XLOOKUP(K2440, CCF!B:B, CCF!C:C)</f>
        <v>79999</v>
      </c>
      <c r="M2440" t="s">
        <v>43</v>
      </c>
    </row>
    <row r="2441" spans="1:13" x14ac:dyDescent="0.3">
      <c r="A2441">
        <v>2440</v>
      </c>
      <c r="B2441" t="s">
        <v>3093</v>
      </c>
      <c r="C2441" s="3">
        <v>89774</v>
      </c>
      <c r="D2441" t="s">
        <v>666</v>
      </c>
      <c r="E2441">
        <v>76</v>
      </c>
      <c r="F2441" s="1">
        <v>45648</v>
      </c>
      <c r="G2441" s="1" t="str">
        <f>TEXT(Table1[[#This Row],[Enrollment date]], "mmm")</f>
        <v>Dec</v>
      </c>
      <c r="H2441" t="s">
        <v>360</v>
      </c>
      <c r="I2441" t="s">
        <v>664</v>
      </c>
      <c r="J2441" t="str">
        <f>_xlfn.XLOOKUP(Table1[[#This Row],[Course ]], CCF!B:B, CCF!A:A)</f>
        <v>DM101</v>
      </c>
      <c r="K2441" t="s">
        <v>365</v>
      </c>
      <c r="L2441">
        <f>_xlfn.XLOOKUP(K2441, CCF!B:B, CCF!C:C)</f>
        <v>85499</v>
      </c>
      <c r="M2441" t="s">
        <v>80</v>
      </c>
    </row>
    <row r="2442" spans="1:13" x14ac:dyDescent="0.3">
      <c r="A2442">
        <v>2441</v>
      </c>
      <c r="B2442" t="s">
        <v>3094</v>
      </c>
      <c r="C2442" s="3">
        <v>28752</v>
      </c>
      <c r="D2442" t="s">
        <v>666</v>
      </c>
      <c r="E2442">
        <v>78</v>
      </c>
      <c r="F2442" s="1">
        <v>45648</v>
      </c>
      <c r="G2442" s="1" t="str">
        <f>TEXT(Table1[[#This Row],[Enrollment date]], "mmm")</f>
        <v>Dec</v>
      </c>
      <c r="H2442" t="s">
        <v>360</v>
      </c>
      <c r="I2442" t="s">
        <v>659</v>
      </c>
      <c r="J2442" t="str">
        <f>_xlfn.XLOOKUP(Table1[[#This Row],[Course ]], CCF!B:B, CCF!A:A)</f>
        <v>DM101</v>
      </c>
      <c r="K2442" t="s">
        <v>365</v>
      </c>
      <c r="L2442">
        <f>_xlfn.XLOOKUP(K2442, CCF!B:B, CCF!C:C)</f>
        <v>85499</v>
      </c>
      <c r="M2442" t="s">
        <v>9</v>
      </c>
    </row>
    <row r="2443" spans="1:13" x14ac:dyDescent="0.3">
      <c r="A2443">
        <v>2442</v>
      </c>
      <c r="B2443" t="s">
        <v>3095</v>
      </c>
      <c r="C2443" s="3">
        <v>20646</v>
      </c>
      <c r="D2443" t="s">
        <v>666</v>
      </c>
      <c r="E2443">
        <v>23</v>
      </c>
      <c r="F2443" s="1">
        <v>45648</v>
      </c>
      <c r="G2443" s="1" t="str">
        <f>TEXT(Table1[[#This Row],[Enrollment date]], "mmm")</f>
        <v>Dec</v>
      </c>
      <c r="H2443" t="s">
        <v>360</v>
      </c>
      <c r="I2443" t="s">
        <v>665</v>
      </c>
      <c r="J2443" t="str">
        <f>_xlfn.XLOOKUP(Table1[[#This Row],[Course ]], CCF!B:B, CCF!A:A)</f>
        <v>DM101</v>
      </c>
      <c r="K2443" t="s">
        <v>365</v>
      </c>
      <c r="L2443">
        <f>_xlfn.XLOOKUP(K2443, CCF!B:B, CCF!C:C)</f>
        <v>85499</v>
      </c>
      <c r="M2443" t="s">
        <v>16</v>
      </c>
    </row>
    <row r="2444" spans="1:13" x14ac:dyDescent="0.3">
      <c r="A2444">
        <v>2443</v>
      </c>
      <c r="B2444" t="s">
        <v>3096</v>
      </c>
      <c r="C2444" s="3">
        <v>63439</v>
      </c>
      <c r="D2444" t="s">
        <v>667</v>
      </c>
      <c r="E2444">
        <v>27</v>
      </c>
      <c r="F2444" s="1">
        <v>45648</v>
      </c>
      <c r="G2444" s="1" t="str">
        <f>TEXT(Table1[[#This Row],[Enrollment date]], "mmm")</f>
        <v>Dec</v>
      </c>
      <c r="H2444" t="s">
        <v>360</v>
      </c>
      <c r="I2444" t="s">
        <v>659</v>
      </c>
      <c r="J2444" t="str">
        <f>_xlfn.XLOOKUP(Table1[[#This Row],[Course ]], CCF!B:B, CCF!A:A)</f>
        <v>FSD103</v>
      </c>
      <c r="K2444" t="s">
        <v>366</v>
      </c>
      <c r="L2444">
        <f>_xlfn.XLOOKUP(K2444, CCF!B:B, CCF!C:C)</f>
        <v>109990</v>
      </c>
      <c r="M2444" t="s">
        <v>33</v>
      </c>
    </row>
    <row r="2445" spans="1:13" x14ac:dyDescent="0.3">
      <c r="A2445">
        <v>2444</v>
      </c>
      <c r="B2445" t="s">
        <v>3097</v>
      </c>
      <c r="C2445" s="3">
        <v>31165</v>
      </c>
      <c r="D2445" t="s">
        <v>667</v>
      </c>
      <c r="E2445">
        <v>28</v>
      </c>
      <c r="F2445" s="1">
        <v>45648</v>
      </c>
      <c r="G2445" s="1" t="str">
        <f>TEXT(Table1[[#This Row],[Enrollment date]], "mmm")</f>
        <v>Dec</v>
      </c>
      <c r="H2445" t="s">
        <v>360</v>
      </c>
      <c r="I2445" t="s">
        <v>659</v>
      </c>
      <c r="J2445" t="str">
        <f>_xlfn.XLOOKUP(Table1[[#This Row],[Course ]], CCF!B:B, CCF!A:A)</f>
        <v>DM101</v>
      </c>
      <c r="K2445" t="s">
        <v>365</v>
      </c>
      <c r="L2445">
        <f>_xlfn.XLOOKUP(K2445, CCF!B:B, CCF!C:C)</f>
        <v>85499</v>
      </c>
      <c r="M2445" t="s">
        <v>208</v>
      </c>
    </row>
    <row r="2446" spans="1:13" x14ac:dyDescent="0.3">
      <c r="A2446">
        <v>2445</v>
      </c>
      <c r="B2446" t="s">
        <v>2218</v>
      </c>
      <c r="C2446" s="3">
        <v>63008</v>
      </c>
      <c r="D2446" t="s">
        <v>666</v>
      </c>
      <c r="E2446">
        <v>52</v>
      </c>
      <c r="F2446" s="1">
        <v>45648</v>
      </c>
      <c r="G2446" s="1" t="str">
        <f>TEXT(Table1[[#This Row],[Enrollment date]], "mmm")</f>
        <v>Dec</v>
      </c>
      <c r="H2446" t="s">
        <v>360</v>
      </c>
      <c r="I2446" t="s">
        <v>660</v>
      </c>
      <c r="J2446" t="str">
        <f>_xlfn.XLOOKUP(Table1[[#This Row],[Course ]], CCF!B:B, CCF!A:A)</f>
        <v>DM101</v>
      </c>
      <c r="K2446" t="s">
        <v>365</v>
      </c>
      <c r="L2446">
        <f>_xlfn.XLOOKUP(K2446, CCF!B:B, CCF!C:C)</f>
        <v>85499</v>
      </c>
      <c r="M2446" t="s">
        <v>91</v>
      </c>
    </row>
    <row r="2447" spans="1:13" x14ac:dyDescent="0.3">
      <c r="A2447">
        <v>2446</v>
      </c>
      <c r="B2447" t="s">
        <v>3098</v>
      </c>
      <c r="C2447" s="3">
        <v>64444</v>
      </c>
      <c r="D2447" t="s">
        <v>666</v>
      </c>
      <c r="E2447">
        <v>43</v>
      </c>
      <c r="F2447" s="1">
        <v>45648</v>
      </c>
      <c r="G2447" s="1" t="str">
        <f>TEXT(Table1[[#This Row],[Enrollment date]], "mmm")</f>
        <v>Dec</v>
      </c>
      <c r="H2447" t="s">
        <v>360</v>
      </c>
      <c r="I2447" t="s">
        <v>660</v>
      </c>
      <c r="J2447" t="str">
        <f>_xlfn.XLOOKUP(Table1[[#This Row],[Course ]], CCF!B:B, CCF!A:A)</f>
        <v>CC002</v>
      </c>
      <c r="K2447" t="s">
        <v>658</v>
      </c>
      <c r="L2447">
        <f>_xlfn.XLOOKUP(K2447, CCF!B:B, CCF!C:C)</f>
        <v>99990</v>
      </c>
      <c r="M2447" t="s">
        <v>18</v>
      </c>
    </row>
    <row r="2448" spans="1:13" x14ac:dyDescent="0.3">
      <c r="A2448">
        <v>2447</v>
      </c>
      <c r="B2448" t="s">
        <v>3099</v>
      </c>
      <c r="C2448" s="3">
        <v>99587</v>
      </c>
      <c r="D2448" t="s">
        <v>666</v>
      </c>
      <c r="E2448">
        <v>26</v>
      </c>
      <c r="F2448" s="1">
        <v>45648</v>
      </c>
      <c r="G2448" s="1" t="str">
        <f>TEXT(Table1[[#This Row],[Enrollment date]], "mmm")</f>
        <v>Dec</v>
      </c>
      <c r="H2448" t="s">
        <v>360</v>
      </c>
      <c r="I2448" t="s">
        <v>660</v>
      </c>
      <c r="J2448" t="str">
        <f>_xlfn.XLOOKUP(Table1[[#This Row],[Course ]], CCF!B:B, CCF!A:A)</f>
        <v>DM101</v>
      </c>
      <c r="K2448" t="s">
        <v>365</v>
      </c>
      <c r="L2448">
        <f>_xlfn.XLOOKUP(K2448, CCF!B:B, CCF!C:C)</f>
        <v>85499</v>
      </c>
      <c r="M2448" t="s">
        <v>158</v>
      </c>
    </row>
    <row r="2449" spans="1:13" x14ac:dyDescent="0.3">
      <c r="A2449">
        <v>2448</v>
      </c>
      <c r="B2449" t="s">
        <v>3100</v>
      </c>
      <c r="C2449" s="3">
        <v>85660</v>
      </c>
      <c r="D2449" t="s">
        <v>666</v>
      </c>
      <c r="E2449">
        <v>39</v>
      </c>
      <c r="F2449" s="1">
        <v>45648</v>
      </c>
      <c r="G2449" s="1" t="str">
        <f>TEXT(Table1[[#This Row],[Enrollment date]], "mmm")</f>
        <v>Dec</v>
      </c>
      <c r="H2449" t="s">
        <v>360</v>
      </c>
      <c r="I2449" t="s">
        <v>661</v>
      </c>
      <c r="J2449" t="str">
        <f>_xlfn.XLOOKUP(Table1[[#This Row],[Course ]], CCF!B:B, CCF!A:A)</f>
        <v>DM101</v>
      </c>
      <c r="K2449" t="s">
        <v>365</v>
      </c>
      <c r="L2449">
        <f>_xlfn.XLOOKUP(K2449, CCF!B:B, CCF!C:C)</f>
        <v>85499</v>
      </c>
      <c r="M2449" t="s">
        <v>653</v>
      </c>
    </row>
    <row r="2450" spans="1:13" x14ac:dyDescent="0.3">
      <c r="A2450">
        <v>2449</v>
      </c>
      <c r="B2450" t="s">
        <v>3101</v>
      </c>
      <c r="C2450" s="3">
        <v>90721</v>
      </c>
      <c r="D2450" t="s">
        <v>666</v>
      </c>
      <c r="E2450">
        <v>51</v>
      </c>
      <c r="F2450" s="1">
        <v>45649</v>
      </c>
      <c r="G2450" s="1" t="str">
        <f>TEXT(Table1[[#This Row],[Enrollment date]], "mmm")</f>
        <v>Dec</v>
      </c>
      <c r="H2450" t="s">
        <v>360</v>
      </c>
      <c r="I2450" t="s">
        <v>660</v>
      </c>
      <c r="J2450" t="str">
        <f>_xlfn.XLOOKUP(Table1[[#This Row],[Course ]], CCF!B:B, CCF!A:A)</f>
        <v>DM101</v>
      </c>
      <c r="K2450" t="s">
        <v>365</v>
      </c>
      <c r="L2450">
        <f>_xlfn.XLOOKUP(K2450, CCF!B:B, CCF!C:C)</f>
        <v>85499</v>
      </c>
      <c r="M2450" t="s">
        <v>47</v>
      </c>
    </row>
    <row r="2451" spans="1:13" x14ac:dyDescent="0.3">
      <c r="A2451">
        <v>2450</v>
      </c>
      <c r="B2451" t="s">
        <v>3102</v>
      </c>
      <c r="C2451" s="3">
        <v>74688</v>
      </c>
      <c r="D2451" t="s">
        <v>666</v>
      </c>
      <c r="E2451">
        <v>38</v>
      </c>
      <c r="F2451" s="1">
        <v>45649</v>
      </c>
      <c r="G2451" s="1" t="str">
        <f>TEXT(Table1[[#This Row],[Enrollment date]], "mmm")</f>
        <v>Dec</v>
      </c>
      <c r="H2451" t="s">
        <v>360</v>
      </c>
      <c r="I2451" t="s">
        <v>661</v>
      </c>
      <c r="J2451" t="str">
        <f>_xlfn.XLOOKUP(Table1[[#This Row],[Course ]], CCF!B:B, CCF!A:A)</f>
        <v>DA202</v>
      </c>
      <c r="K2451" t="s">
        <v>363</v>
      </c>
      <c r="L2451">
        <f>_xlfn.XLOOKUP(K2451, CCF!B:B, CCF!C:C)</f>
        <v>79999</v>
      </c>
      <c r="M2451" t="s">
        <v>27</v>
      </c>
    </row>
    <row r="2452" spans="1:13" x14ac:dyDescent="0.3">
      <c r="A2452">
        <v>2451</v>
      </c>
      <c r="B2452" t="s">
        <v>3103</v>
      </c>
      <c r="C2452" s="3">
        <v>84521</v>
      </c>
      <c r="D2452" t="s">
        <v>667</v>
      </c>
      <c r="E2452">
        <v>57</v>
      </c>
      <c r="F2452" s="1">
        <v>45649</v>
      </c>
      <c r="G2452" s="1" t="str">
        <f>TEXT(Table1[[#This Row],[Enrollment date]], "mmm")</f>
        <v>Dec</v>
      </c>
      <c r="H2452" t="s">
        <v>360</v>
      </c>
      <c r="I2452" t="s">
        <v>660</v>
      </c>
      <c r="J2452" t="str">
        <f>_xlfn.XLOOKUP(Table1[[#This Row],[Course ]], CCF!B:B, CCF!A:A)</f>
        <v>BA301</v>
      </c>
      <c r="K2452" t="s">
        <v>364</v>
      </c>
      <c r="L2452">
        <f>_xlfn.XLOOKUP(K2452, CCF!B:B, CCF!C:C)</f>
        <v>59999</v>
      </c>
      <c r="M2452" t="s">
        <v>654</v>
      </c>
    </row>
    <row r="2453" spans="1:13" x14ac:dyDescent="0.3">
      <c r="A2453">
        <v>2452</v>
      </c>
      <c r="B2453" t="s">
        <v>3104</v>
      </c>
      <c r="C2453" s="3">
        <v>15178</v>
      </c>
      <c r="D2453" t="s">
        <v>667</v>
      </c>
      <c r="E2453">
        <v>44</v>
      </c>
      <c r="F2453" s="1">
        <v>45649</v>
      </c>
      <c r="G2453" s="1" t="str">
        <f>TEXT(Table1[[#This Row],[Enrollment date]], "mmm")</f>
        <v>Dec</v>
      </c>
      <c r="H2453" t="s">
        <v>360</v>
      </c>
      <c r="I2453" t="s">
        <v>663</v>
      </c>
      <c r="J2453" t="str">
        <f>_xlfn.XLOOKUP(Table1[[#This Row],[Course ]], CCF!B:B, CCF!A:A)</f>
        <v>DM101</v>
      </c>
      <c r="K2453" t="s">
        <v>365</v>
      </c>
      <c r="L2453">
        <f>_xlfn.XLOOKUP(K2453, CCF!B:B, CCF!C:C)</f>
        <v>85499</v>
      </c>
      <c r="M2453" t="s">
        <v>11</v>
      </c>
    </row>
    <row r="2454" spans="1:13" x14ac:dyDescent="0.3">
      <c r="A2454">
        <v>2453</v>
      </c>
      <c r="B2454" t="s">
        <v>3105</v>
      </c>
      <c r="C2454" s="3">
        <v>18255</v>
      </c>
      <c r="D2454" t="s">
        <v>666</v>
      </c>
      <c r="E2454">
        <v>41</v>
      </c>
      <c r="F2454" s="1">
        <v>45649</v>
      </c>
      <c r="G2454" s="1" t="str">
        <f>TEXT(Table1[[#This Row],[Enrollment date]], "mmm")</f>
        <v>Dec</v>
      </c>
      <c r="H2454" t="s">
        <v>360</v>
      </c>
      <c r="I2454" t="s">
        <v>662</v>
      </c>
      <c r="J2454" t="str">
        <f>_xlfn.XLOOKUP(Table1[[#This Row],[Course ]], CCF!B:B, CCF!A:A)</f>
        <v>DA202</v>
      </c>
      <c r="K2454" t="s">
        <v>363</v>
      </c>
      <c r="L2454">
        <f>_xlfn.XLOOKUP(K2454, CCF!B:B, CCF!C:C)</f>
        <v>79999</v>
      </c>
      <c r="M2454" t="s">
        <v>67</v>
      </c>
    </row>
    <row r="2455" spans="1:13" x14ac:dyDescent="0.3">
      <c r="A2455">
        <v>2454</v>
      </c>
      <c r="B2455" t="s">
        <v>3106</v>
      </c>
      <c r="C2455" s="3">
        <v>57433</v>
      </c>
      <c r="D2455" t="s">
        <v>666</v>
      </c>
      <c r="E2455">
        <v>39</v>
      </c>
      <c r="F2455" s="1">
        <v>45649</v>
      </c>
      <c r="G2455" s="1" t="str">
        <f>TEXT(Table1[[#This Row],[Enrollment date]], "mmm")</f>
        <v>Dec</v>
      </c>
      <c r="H2455" t="s">
        <v>360</v>
      </c>
      <c r="I2455" t="s">
        <v>662</v>
      </c>
      <c r="J2455" t="str">
        <f>_xlfn.XLOOKUP(Table1[[#This Row],[Course ]], CCF!B:B, CCF!A:A)</f>
        <v>DM101</v>
      </c>
      <c r="K2455" t="s">
        <v>365</v>
      </c>
      <c r="L2455">
        <f>_xlfn.XLOOKUP(K2455, CCF!B:B, CCF!C:C)</f>
        <v>85499</v>
      </c>
      <c r="M2455" t="s">
        <v>30</v>
      </c>
    </row>
    <row r="2456" spans="1:13" x14ac:dyDescent="0.3">
      <c r="A2456">
        <v>2455</v>
      </c>
      <c r="B2456" t="s">
        <v>3107</v>
      </c>
      <c r="C2456" s="3">
        <v>17496</v>
      </c>
      <c r="D2456" t="s">
        <v>667</v>
      </c>
      <c r="E2456">
        <v>65</v>
      </c>
      <c r="F2456" s="1">
        <v>45649</v>
      </c>
      <c r="G2456" s="1" t="str">
        <f>TEXT(Table1[[#This Row],[Enrollment date]], "mmm")</f>
        <v>Dec</v>
      </c>
      <c r="H2456" t="s">
        <v>360</v>
      </c>
      <c r="I2456" t="s">
        <v>660</v>
      </c>
      <c r="J2456" t="str">
        <f>_xlfn.XLOOKUP(Table1[[#This Row],[Course ]], CCF!B:B, CCF!A:A)</f>
        <v>DA202</v>
      </c>
      <c r="K2456" t="s">
        <v>363</v>
      </c>
      <c r="L2456">
        <f>_xlfn.XLOOKUP(K2456, CCF!B:B, CCF!C:C)</f>
        <v>79999</v>
      </c>
      <c r="M2456" t="s">
        <v>16</v>
      </c>
    </row>
    <row r="2457" spans="1:13" x14ac:dyDescent="0.3">
      <c r="A2457">
        <v>2456</v>
      </c>
      <c r="B2457" t="s">
        <v>3108</v>
      </c>
      <c r="C2457" s="3">
        <v>21325</v>
      </c>
      <c r="D2457" t="s">
        <v>666</v>
      </c>
      <c r="E2457">
        <v>63</v>
      </c>
      <c r="F2457" s="1">
        <v>45650</v>
      </c>
      <c r="G2457" s="1" t="str">
        <f>TEXT(Table1[[#This Row],[Enrollment date]], "mmm")</f>
        <v>Dec</v>
      </c>
      <c r="H2457" t="s">
        <v>360</v>
      </c>
      <c r="I2457" t="s">
        <v>664</v>
      </c>
      <c r="J2457" t="str">
        <f>_xlfn.XLOOKUP(Table1[[#This Row],[Course ]], CCF!B:B, CCF!A:A)</f>
        <v>UX401</v>
      </c>
      <c r="K2457" t="s">
        <v>367</v>
      </c>
      <c r="L2457">
        <f>_xlfn.XLOOKUP(K2457, CCF!B:B, CCF!C:C)</f>
        <v>67990</v>
      </c>
      <c r="M2457" t="s">
        <v>106</v>
      </c>
    </row>
    <row r="2458" spans="1:13" x14ac:dyDescent="0.3">
      <c r="A2458">
        <v>2457</v>
      </c>
      <c r="B2458" t="s">
        <v>3109</v>
      </c>
      <c r="C2458" s="3">
        <v>65127</v>
      </c>
      <c r="D2458" t="s">
        <v>666</v>
      </c>
      <c r="E2458">
        <v>20</v>
      </c>
      <c r="F2458" s="1">
        <v>45650</v>
      </c>
      <c r="G2458" s="1" t="str">
        <f>TEXT(Table1[[#This Row],[Enrollment date]], "mmm")</f>
        <v>Dec</v>
      </c>
      <c r="H2458" t="s">
        <v>360</v>
      </c>
      <c r="I2458" t="s">
        <v>665</v>
      </c>
      <c r="J2458" t="str">
        <f>_xlfn.XLOOKUP(Table1[[#This Row],[Course ]], CCF!B:B, CCF!A:A)</f>
        <v>DM101</v>
      </c>
      <c r="K2458" t="s">
        <v>365</v>
      </c>
      <c r="L2458">
        <f>_xlfn.XLOOKUP(K2458, CCF!B:B, CCF!C:C)</f>
        <v>85499</v>
      </c>
      <c r="M2458" t="s">
        <v>38</v>
      </c>
    </row>
    <row r="2459" spans="1:13" x14ac:dyDescent="0.3">
      <c r="A2459">
        <v>2458</v>
      </c>
      <c r="B2459" t="s">
        <v>3110</v>
      </c>
      <c r="C2459" s="3">
        <v>76310</v>
      </c>
      <c r="D2459" t="s">
        <v>666</v>
      </c>
      <c r="E2459">
        <v>44</v>
      </c>
      <c r="F2459" s="1">
        <v>45650</v>
      </c>
      <c r="G2459" s="1" t="str">
        <f>TEXT(Table1[[#This Row],[Enrollment date]], "mmm")</f>
        <v>Dec</v>
      </c>
      <c r="H2459" t="s">
        <v>360</v>
      </c>
      <c r="I2459" t="s">
        <v>659</v>
      </c>
      <c r="J2459" t="str">
        <f>_xlfn.XLOOKUP(Table1[[#This Row],[Course ]], CCF!B:B, CCF!A:A)</f>
        <v>DA202</v>
      </c>
      <c r="K2459" t="s">
        <v>363</v>
      </c>
      <c r="L2459">
        <f>_xlfn.XLOOKUP(K2459, CCF!B:B, CCF!C:C)</f>
        <v>79999</v>
      </c>
      <c r="M2459" t="s">
        <v>9</v>
      </c>
    </row>
    <row r="2460" spans="1:13" x14ac:dyDescent="0.3">
      <c r="A2460">
        <v>2459</v>
      </c>
      <c r="B2460" t="s">
        <v>3111</v>
      </c>
      <c r="C2460" s="3">
        <v>90349</v>
      </c>
      <c r="D2460" t="s">
        <v>666</v>
      </c>
      <c r="E2460">
        <v>42</v>
      </c>
      <c r="F2460" s="1">
        <v>45650</v>
      </c>
      <c r="G2460" s="1" t="str">
        <f>TEXT(Table1[[#This Row],[Enrollment date]], "mmm")</f>
        <v>Dec</v>
      </c>
      <c r="H2460" t="s">
        <v>360</v>
      </c>
      <c r="I2460" t="s">
        <v>661</v>
      </c>
      <c r="J2460" t="str">
        <f>_xlfn.XLOOKUP(Table1[[#This Row],[Course ]], CCF!B:B, CCF!A:A)</f>
        <v>FSD103</v>
      </c>
      <c r="K2460" t="s">
        <v>366</v>
      </c>
      <c r="L2460">
        <f>_xlfn.XLOOKUP(K2460, CCF!B:B, CCF!C:C)</f>
        <v>109990</v>
      </c>
      <c r="M2460" t="s">
        <v>254</v>
      </c>
    </row>
    <row r="2461" spans="1:13" x14ac:dyDescent="0.3">
      <c r="A2461">
        <v>2460</v>
      </c>
      <c r="B2461" t="s">
        <v>3112</v>
      </c>
      <c r="C2461" s="3">
        <v>89803</v>
      </c>
      <c r="D2461" t="s">
        <v>666</v>
      </c>
      <c r="E2461">
        <v>59</v>
      </c>
      <c r="F2461" s="1">
        <v>45650</v>
      </c>
      <c r="G2461" s="1" t="str">
        <f>TEXT(Table1[[#This Row],[Enrollment date]], "mmm")</f>
        <v>Dec</v>
      </c>
      <c r="H2461" t="s">
        <v>360</v>
      </c>
      <c r="I2461" t="s">
        <v>661</v>
      </c>
      <c r="J2461" t="str">
        <f>_xlfn.XLOOKUP(Table1[[#This Row],[Course ]], CCF!B:B, CCF!A:A)</f>
        <v>DA202</v>
      </c>
      <c r="K2461" t="s">
        <v>363</v>
      </c>
      <c r="L2461">
        <f>_xlfn.XLOOKUP(K2461, CCF!B:B, CCF!C:C)</f>
        <v>79999</v>
      </c>
      <c r="M2461" t="s">
        <v>18</v>
      </c>
    </row>
    <row r="2462" spans="1:13" x14ac:dyDescent="0.3">
      <c r="A2462">
        <v>2461</v>
      </c>
      <c r="B2462" t="s">
        <v>3113</v>
      </c>
      <c r="C2462" s="3">
        <v>14585</v>
      </c>
      <c r="D2462" t="s">
        <v>666</v>
      </c>
      <c r="E2462">
        <v>34</v>
      </c>
      <c r="F2462" s="1">
        <v>45650</v>
      </c>
      <c r="G2462" s="1" t="str">
        <f>TEXT(Table1[[#This Row],[Enrollment date]], "mmm")</f>
        <v>Dec</v>
      </c>
      <c r="H2462" t="s">
        <v>360</v>
      </c>
      <c r="I2462" t="s">
        <v>660</v>
      </c>
      <c r="J2462" t="str">
        <f>_xlfn.XLOOKUP(Table1[[#This Row],[Course ]], CCF!B:B, CCF!A:A)</f>
        <v>DA202</v>
      </c>
      <c r="K2462" t="s">
        <v>363</v>
      </c>
      <c r="L2462">
        <f>_xlfn.XLOOKUP(K2462, CCF!B:B, CCF!C:C)</f>
        <v>79999</v>
      </c>
      <c r="M2462" t="s">
        <v>9</v>
      </c>
    </row>
    <row r="2463" spans="1:13" x14ac:dyDescent="0.3">
      <c r="A2463">
        <v>2462</v>
      </c>
      <c r="B2463" t="s">
        <v>3114</v>
      </c>
      <c r="C2463" s="3">
        <v>14001</v>
      </c>
      <c r="D2463" t="s">
        <v>666</v>
      </c>
      <c r="E2463">
        <v>49</v>
      </c>
      <c r="F2463" s="1">
        <v>45650</v>
      </c>
      <c r="G2463" s="1" t="str">
        <f>TEXT(Table1[[#This Row],[Enrollment date]], "mmm")</f>
        <v>Dec</v>
      </c>
      <c r="H2463" t="s">
        <v>360</v>
      </c>
      <c r="I2463" t="s">
        <v>659</v>
      </c>
      <c r="J2463" t="str">
        <f>_xlfn.XLOOKUP(Table1[[#This Row],[Course ]], CCF!B:B, CCF!A:A)</f>
        <v>BA301</v>
      </c>
      <c r="K2463" t="s">
        <v>364</v>
      </c>
      <c r="L2463">
        <f>_xlfn.XLOOKUP(K2463, CCF!B:B, CCF!C:C)</f>
        <v>59999</v>
      </c>
      <c r="M2463" t="s">
        <v>655</v>
      </c>
    </row>
    <row r="2464" spans="1:13" x14ac:dyDescent="0.3">
      <c r="A2464">
        <v>2463</v>
      </c>
      <c r="B2464" t="s">
        <v>3115</v>
      </c>
      <c r="C2464" s="3">
        <v>94713</v>
      </c>
      <c r="D2464" t="s">
        <v>667</v>
      </c>
      <c r="E2464">
        <v>31</v>
      </c>
      <c r="F2464" s="1">
        <v>45650</v>
      </c>
      <c r="G2464" s="1" t="str">
        <f>TEXT(Table1[[#This Row],[Enrollment date]], "mmm")</f>
        <v>Dec</v>
      </c>
      <c r="H2464" t="s">
        <v>360</v>
      </c>
      <c r="I2464" t="s">
        <v>662</v>
      </c>
      <c r="J2464" t="str">
        <f>_xlfn.XLOOKUP(Table1[[#This Row],[Course ]], CCF!B:B, CCF!A:A)</f>
        <v>BA301</v>
      </c>
      <c r="K2464" t="s">
        <v>364</v>
      </c>
      <c r="L2464">
        <f>_xlfn.XLOOKUP(K2464, CCF!B:B, CCF!C:C)</f>
        <v>59999</v>
      </c>
      <c r="M2464" t="s">
        <v>185</v>
      </c>
    </row>
    <row r="2465" spans="1:13" x14ac:dyDescent="0.3">
      <c r="A2465">
        <v>2464</v>
      </c>
      <c r="B2465" t="s">
        <v>3116</v>
      </c>
      <c r="C2465" s="3">
        <v>97570</v>
      </c>
      <c r="D2465" t="s">
        <v>667</v>
      </c>
      <c r="E2465">
        <v>19</v>
      </c>
      <c r="F2465" s="1">
        <v>45650</v>
      </c>
      <c r="G2465" s="1" t="str">
        <f>TEXT(Table1[[#This Row],[Enrollment date]], "mmm")</f>
        <v>Dec</v>
      </c>
      <c r="H2465" t="s">
        <v>360</v>
      </c>
      <c r="I2465" t="s">
        <v>661</v>
      </c>
      <c r="J2465" t="str">
        <f>_xlfn.XLOOKUP(Table1[[#This Row],[Course ]], CCF!B:B, CCF!A:A)</f>
        <v>DM101</v>
      </c>
      <c r="K2465" t="s">
        <v>365</v>
      </c>
      <c r="L2465">
        <f>_xlfn.XLOOKUP(K2465, CCF!B:B, CCF!C:C)</f>
        <v>85499</v>
      </c>
      <c r="M2465" t="s">
        <v>9</v>
      </c>
    </row>
    <row r="2466" spans="1:13" x14ac:dyDescent="0.3">
      <c r="A2466">
        <v>2465</v>
      </c>
      <c r="B2466" t="s">
        <v>3117</v>
      </c>
      <c r="C2466" s="3">
        <v>27073</v>
      </c>
      <c r="D2466" t="s">
        <v>666</v>
      </c>
      <c r="E2466">
        <v>31</v>
      </c>
      <c r="F2466" s="1">
        <v>45651</v>
      </c>
      <c r="G2466" s="1" t="str">
        <f>TEXT(Table1[[#This Row],[Enrollment date]], "mmm")</f>
        <v>Dec</v>
      </c>
      <c r="H2466" t="s">
        <v>360</v>
      </c>
      <c r="I2466" t="s">
        <v>660</v>
      </c>
      <c r="J2466" t="str">
        <f>_xlfn.XLOOKUP(Table1[[#This Row],[Course ]], CCF!B:B, CCF!A:A)</f>
        <v>FSD103</v>
      </c>
      <c r="K2466" t="s">
        <v>366</v>
      </c>
      <c r="L2466">
        <f>_xlfn.XLOOKUP(K2466, CCF!B:B, CCF!C:C)</f>
        <v>109990</v>
      </c>
      <c r="M2466" t="s">
        <v>166</v>
      </c>
    </row>
    <row r="2467" spans="1:13" x14ac:dyDescent="0.3">
      <c r="A2467">
        <v>2466</v>
      </c>
      <c r="B2467" t="s">
        <v>3118</v>
      </c>
      <c r="C2467" s="3">
        <v>38874</v>
      </c>
      <c r="D2467" t="s">
        <v>666</v>
      </c>
      <c r="E2467">
        <v>44</v>
      </c>
      <c r="F2467" s="1">
        <v>45651</v>
      </c>
      <c r="G2467" s="1" t="str">
        <f>TEXT(Table1[[#This Row],[Enrollment date]], "mmm")</f>
        <v>Dec</v>
      </c>
      <c r="H2467" t="s">
        <v>360</v>
      </c>
      <c r="I2467" t="s">
        <v>660</v>
      </c>
      <c r="J2467" t="str">
        <f>_xlfn.XLOOKUP(Table1[[#This Row],[Course ]], CCF!B:B, CCF!A:A)</f>
        <v>DM101</v>
      </c>
      <c r="K2467" t="s">
        <v>365</v>
      </c>
      <c r="L2467">
        <f>_xlfn.XLOOKUP(K2467, CCF!B:B, CCF!C:C)</f>
        <v>85499</v>
      </c>
      <c r="M2467" t="s">
        <v>175</v>
      </c>
    </row>
    <row r="2468" spans="1:13" x14ac:dyDescent="0.3">
      <c r="A2468">
        <v>2467</v>
      </c>
      <c r="B2468" t="s">
        <v>3119</v>
      </c>
      <c r="C2468" s="3">
        <v>93137</v>
      </c>
      <c r="D2468" t="s">
        <v>667</v>
      </c>
      <c r="E2468">
        <v>28</v>
      </c>
      <c r="F2468" s="1">
        <v>45651</v>
      </c>
      <c r="G2468" s="1" t="str">
        <f>TEXT(Table1[[#This Row],[Enrollment date]], "mmm")</f>
        <v>Dec</v>
      </c>
      <c r="H2468" t="s">
        <v>360</v>
      </c>
      <c r="I2468" t="s">
        <v>659</v>
      </c>
      <c r="J2468" t="str">
        <f>_xlfn.XLOOKUP(Table1[[#This Row],[Course ]], CCF!B:B, CCF!A:A)</f>
        <v>DA202</v>
      </c>
      <c r="K2468" t="s">
        <v>363</v>
      </c>
      <c r="L2468">
        <f>_xlfn.XLOOKUP(K2468, CCF!B:B, CCF!C:C)</f>
        <v>79999</v>
      </c>
      <c r="M2468" t="s">
        <v>9</v>
      </c>
    </row>
    <row r="2469" spans="1:13" x14ac:dyDescent="0.3">
      <c r="A2469">
        <v>2468</v>
      </c>
      <c r="B2469" t="s">
        <v>3120</v>
      </c>
      <c r="C2469" s="3">
        <v>37611</v>
      </c>
      <c r="D2469" t="s">
        <v>666</v>
      </c>
      <c r="E2469">
        <v>59</v>
      </c>
      <c r="F2469" s="1">
        <v>45651</v>
      </c>
      <c r="G2469" s="1" t="str">
        <f>TEXT(Table1[[#This Row],[Enrollment date]], "mmm")</f>
        <v>Dec</v>
      </c>
      <c r="H2469" t="s">
        <v>360</v>
      </c>
      <c r="I2469" t="s">
        <v>659</v>
      </c>
      <c r="J2469" t="str">
        <f>_xlfn.XLOOKUP(Table1[[#This Row],[Course ]], CCF!B:B, CCF!A:A)</f>
        <v>DA202</v>
      </c>
      <c r="K2469" t="s">
        <v>363</v>
      </c>
      <c r="L2469">
        <f>_xlfn.XLOOKUP(K2469, CCF!B:B, CCF!C:C)</f>
        <v>79999</v>
      </c>
      <c r="M2469" t="s">
        <v>144</v>
      </c>
    </row>
    <row r="2470" spans="1:13" x14ac:dyDescent="0.3">
      <c r="A2470">
        <v>2469</v>
      </c>
      <c r="B2470" t="s">
        <v>3121</v>
      </c>
      <c r="C2470" s="3">
        <v>42273</v>
      </c>
      <c r="D2470" t="s">
        <v>666</v>
      </c>
      <c r="E2470">
        <v>41</v>
      </c>
      <c r="F2470" s="1">
        <v>45651</v>
      </c>
      <c r="G2470" s="1" t="str">
        <f>TEXT(Table1[[#This Row],[Enrollment date]], "mmm")</f>
        <v>Dec</v>
      </c>
      <c r="H2470" t="s">
        <v>3</v>
      </c>
      <c r="I2470" t="s">
        <v>660</v>
      </c>
      <c r="J2470" t="str">
        <f>_xlfn.XLOOKUP(Table1[[#This Row],[Course ]], CCF!B:B, CCF!A:A)</f>
        <v>DM101</v>
      </c>
      <c r="K2470" t="s">
        <v>365</v>
      </c>
      <c r="L2470">
        <f>_xlfn.XLOOKUP(K2470, CCF!B:B, CCF!C:C)</f>
        <v>85499</v>
      </c>
      <c r="M2470" t="s">
        <v>656</v>
      </c>
    </row>
    <row r="2471" spans="1:13" x14ac:dyDescent="0.3">
      <c r="A2471">
        <v>2470</v>
      </c>
      <c r="B2471" t="s">
        <v>3122</v>
      </c>
      <c r="C2471" s="3">
        <v>77120</v>
      </c>
      <c r="D2471" t="s">
        <v>666</v>
      </c>
      <c r="E2471">
        <v>24</v>
      </c>
      <c r="F2471" s="1">
        <v>45652</v>
      </c>
      <c r="G2471" s="1" t="str">
        <f>TEXT(Table1[[#This Row],[Enrollment date]], "mmm")</f>
        <v>Dec</v>
      </c>
      <c r="H2471" t="s">
        <v>361</v>
      </c>
      <c r="I2471" t="s">
        <v>659</v>
      </c>
      <c r="J2471" t="str">
        <f>_xlfn.XLOOKUP(Table1[[#This Row],[Course ]], CCF!B:B, CCF!A:A)</f>
        <v>DM101</v>
      </c>
      <c r="K2471" t="s">
        <v>365</v>
      </c>
      <c r="L2471">
        <f>_xlfn.XLOOKUP(K2471, CCF!B:B, CCF!C:C)</f>
        <v>85499</v>
      </c>
      <c r="M2471" t="s">
        <v>434</v>
      </c>
    </row>
    <row r="2472" spans="1:13" x14ac:dyDescent="0.3">
      <c r="A2472">
        <v>2471</v>
      </c>
      <c r="B2472" t="s">
        <v>3123</v>
      </c>
      <c r="C2472" s="3">
        <v>64274</v>
      </c>
      <c r="D2472" t="s">
        <v>667</v>
      </c>
      <c r="E2472">
        <v>44</v>
      </c>
      <c r="F2472" s="1">
        <v>45652</v>
      </c>
      <c r="G2472" s="1" t="str">
        <f>TEXT(Table1[[#This Row],[Enrollment date]], "mmm")</f>
        <v>Dec</v>
      </c>
      <c r="H2472" t="s">
        <v>360</v>
      </c>
      <c r="I2472" t="s">
        <v>659</v>
      </c>
      <c r="J2472" t="str">
        <f>_xlfn.XLOOKUP(Table1[[#This Row],[Course ]], CCF!B:B, CCF!A:A)</f>
        <v>DA202</v>
      </c>
      <c r="K2472" t="s">
        <v>363</v>
      </c>
      <c r="L2472">
        <f>_xlfn.XLOOKUP(K2472, CCF!B:B, CCF!C:C)</f>
        <v>79999</v>
      </c>
      <c r="M2472" t="s">
        <v>214</v>
      </c>
    </row>
    <row r="2473" spans="1:13" x14ac:dyDescent="0.3">
      <c r="A2473">
        <v>2472</v>
      </c>
      <c r="B2473" t="s">
        <v>3124</v>
      </c>
      <c r="C2473" s="3">
        <v>49325</v>
      </c>
      <c r="D2473" t="s">
        <v>666</v>
      </c>
      <c r="E2473">
        <v>27</v>
      </c>
      <c r="F2473" s="1">
        <v>45652</v>
      </c>
      <c r="G2473" s="1" t="str">
        <f>TEXT(Table1[[#This Row],[Enrollment date]], "mmm")</f>
        <v>Dec</v>
      </c>
      <c r="H2473" t="s">
        <v>360</v>
      </c>
      <c r="I2473" t="s">
        <v>663</v>
      </c>
      <c r="J2473" t="str">
        <f>_xlfn.XLOOKUP(Table1[[#This Row],[Course ]], CCF!B:B, CCF!A:A)</f>
        <v>DA202</v>
      </c>
      <c r="K2473" t="s">
        <v>363</v>
      </c>
      <c r="L2473">
        <f>_xlfn.XLOOKUP(K2473, CCF!B:B, CCF!C:C)</f>
        <v>79999</v>
      </c>
      <c r="M2473" t="s">
        <v>159</v>
      </c>
    </row>
    <row r="2474" spans="1:13" x14ac:dyDescent="0.3">
      <c r="A2474">
        <v>2473</v>
      </c>
      <c r="B2474" t="s">
        <v>3125</v>
      </c>
      <c r="C2474" s="3">
        <v>42764</v>
      </c>
      <c r="D2474" t="s">
        <v>666</v>
      </c>
      <c r="E2474">
        <v>33</v>
      </c>
      <c r="F2474" s="1">
        <v>45652</v>
      </c>
      <c r="G2474" s="1" t="str">
        <f>TEXT(Table1[[#This Row],[Enrollment date]], "mmm")</f>
        <v>Dec</v>
      </c>
      <c r="H2474" t="s">
        <v>360</v>
      </c>
      <c r="I2474" t="s">
        <v>662</v>
      </c>
      <c r="J2474" t="str">
        <f>_xlfn.XLOOKUP(Table1[[#This Row],[Course ]], CCF!B:B, CCF!A:A)</f>
        <v>DM101</v>
      </c>
      <c r="K2474" t="s">
        <v>365</v>
      </c>
      <c r="L2474">
        <f>_xlfn.XLOOKUP(K2474, CCF!B:B, CCF!C:C)</f>
        <v>85499</v>
      </c>
      <c r="M2474" t="s">
        <v>238</v>
      </c>
    </row>
    <row r="2475" spans="1:13" x14ac:dyDescent="0.3">
      <c r="A2475">
        <v>2474</v>
      </c>
      <c r="B2475" t="s">
        <v>3126</v>
      </c>
      <c r="C2475" s="3">
        <v>22108</v>
      </c>
      <c r="D2475" t="s">
        <v>666</v>
      </c>
      <c r="E2475">
        <v>24</v>
      </c>
      <c r="F2475" s="1">
        <v>45653</v>
      </c>
      <c r="G2475" s="1" t="str">
        <f>TEXT(Table1[[#This Row],[Enrollment date]], "mmm")</f>
        <v>Dec</v>
      </c>
      <c r="H2475" t="s">
        <v>360</v>
      </c>
      <c r="I2475" t="s">
        <v>660</v>
      </c>
      <c r="J2475" t="str">
        <f>_xlfn.XLOOKUP(Table1[[#This Row],[Course ]], CCF!B:B, CCF!A:A)</f>
        <v>DM101</v>
      </c>
      <c r="K2475" t="s">
        <v>365</v>
      </c>
      <c r="L2475">
        <f>_xlfn.XLOOKUP(K2475, CCF!B:B, CCF!C:C)</f>
        <v>85499</v>
      </c>
      <c r="M2475" t="s">
        <v>209</v>
      </c>
    </row>
    <row r="2476" spans="1:13" x14ac:dyDescent="0.3">
      <c r="A2476">
        <v>2475</v>
      </c>
      <c r="B2476" t="s">
        <v>3127</v>
      </c>
      <c r="C2476" s="3">
        <v>21607</v>
      </c>
      <c r="D2476" t="s">
        <v>666</v>
      </c>
      <c r="E2476">
        <v>29</v>
      </c>
      <c r="F2476" s="1">
        <v>45653</v>
      </c>
      <c r="G2476" s="1" t="str">
        <f>TEXT(Table1[[#This Row],[Enrollment date]], "mmm")</f>
        <v>Dec</v>
      </c>
      <c r="H2476" t="s">
        <v>360</v>
      </c>
      <c r="I2476" t="s">
        <v>660</v>
      </c>
      <c r="J2476" t="str">
        <f>_xlfn.XLOOKUP(Table1[[#This Row],[Course ]], CCF!B:B, CCF!A:A)</f>
        <v>BA301</v>
      </c>
      <c r="K2476" t="s">
        <v>364</v>
      </c>
      <c r="L2476">
        <f>_xlfn.XLOOKUP(K2476, CCF!B:B, CCF!C:C)</f>
        <v>59999</v>
      </c>
      <c r="M2476" t="s">
        <v>30</v>
      </c>
    </row>
    <row r="2477" spans="1:13" x14ac:dyDescent="0.3">
      <c r="A2477">
        <v>2476</v>
      </c>
      <c r="B2477" t="s">
        <v>3128</v>
      </c>
      <c r="C2477" s="3">
        <v>41739</v>
      </c>
      <c r="D2477" t="s">
        <v>666</v>
      </c>
      <c r="E2477">
        <v>18</v>
      </c>
      <c r="F2477" s="1">
        <v>45653</v>
      </c>
      <c r="G2477" s="1" t="str">
        <f>TEXT(Table1[[#This Row],[Enrollment date]], "mmm")</f>
        <v>Dec</v>
      </c>
      <c r="H2477" t="s">
        <v>360</v>
      </c>
      <c r="I2477" t="s">
        <v>660</v>
      </c>
      <c r="J2477" t="str">
        <f>_xlfn.XLOOKUP(Table1[[#This Row],[Course ]], CCF!B:B, CCF!A:A)</f>
        <v>DA202</v>
      </c>
      <c r="K2477" t="s">
        <v>363</v>
      </c>
      <c r="L2477">
        <f>_xlfn.XLOOKUP(K2477, CCF!B:B, CCF!C:C)</f>
        <v>79999</v>
      </c>
      <c r="M2477" t="s">
        <v>259</v>
      </c>
    </row>
    <row r="2478" spans="1:13" x14ac:dyDescent="0.3">
      <c r="A2478">
        <v>2477</v>
      </c>
      <c r="B2478" t="s">
        <v>3129</v>
      </c>
      <c r="C2478" s="3">
        <v>13325</v>
      </c>
      <c r="D2478" t="s">
        <v>666</v>
      </c>
      <c r="E2478">
        <v>34</v>
      </c>
      <c r="F2478" s="1">
        <v>45653</v>
      </c>
      <c r="G2478" s="1" t="str">
        <f>TEXT(Table1[[#This Row],[Enrollment date]], "mmm")</f>
        <v>Dec</v>
      </c>
      <c r="H2478" t="s">
        <v>360</v>
      </c>
      <c r="I2478" t="s">
        <v>660</v>
      </c>
      <c r="J2478" t="str">
        <f>_xlfn.XLOOKUP(Table1[[#This Row],[Course ]], CCF!B:B, CCF!A:A)</f>
        <v>DA202</v>
      </c>
      <c r="K2478" t="s">
        <v>363</v>
      </c>
      <c r="L2478">
        <f>_xlfn.XLOOKUP(K2478, CCF!B:B, CCF!C:C)</f>
        <v>79999</v>
      </c>
      <c r="M2478" t="s">
        <v>38</v>
      </c>
    </row>
    <row r="2479" spans="1:13" x14ac:dyDescent="0.3">
      <c r="A2479">
        <v>2478</v>
      </c>
      <c r="B2479" t="s">
        <v>3130</v>
      </c>
      <c r="C2479" s="3">
        <v>97321</v>
      </c>
      <c r="D2479" t="s">
        <v>666</v>
      </c>
      <c r="E2479">
        <v>23</v>
      </c>
      <c r="F2479" s="1">
        <v>45654</v>
      </c>
      <c r="G2479" s="1" t="str">
        <f>TEXT(Table1[[#This Row],[Enrollment date]], "mmm")</f>
        <v>Dec</v>
      </c>
      <c r="H2479" t="s">
        <v>360</v>
      </c>
      <c r="I2479" t="s">
        <v>660</v>
      </c>
      <c r="J2479" t="str">
        <f>_xlfn.XLOOKUP(Table1[[#This Row],[Course ]], CCF!B:B, CCF!A:A)</f>
        <v>DA202</v>
      </c>
      <c r="K2479" t="s">
        <v>363</v>
      </c>
      <c r="L2479">
        <f>_xlfn.XLOOKUP(K2479, CCF!B:B, CCF!C:C)</f>
        <v>79999</v>
      </c>
      <c r="M2479" t="s">
        <v>20</v>
      </c>
    </row>
    <row r="2480" spans="1:13" x14ac:dyDescent="0.3">
      <c r="A2480">
        <v>2479</v>
      </c>
      <c r="B2480" t="s">
        <v>3131</v>
      </c>
      <c r="C2480" s="3">
        <v>65871</v>
      </c>
      <c r="D2480" t="s">
        <v>666</v>
      </c>
      <c r="E2480">
        <v>40</v>
      </c>
      <c r="F2480" s="1">
        <v>45654</v>
      </c>
      <c r="G2480" s="1" t="str">
        <f>TEXT(Table1[[#This Row],[Enrollment date]], "mmm")</f>
        <v>Dec</v>
      </c>
      <c r="H2480" t="s">
        <v>361</v>
      </c>
      <c r="I2480" t="s">
        <v>661</v>
      </c>
      <c r="J2480" t="str">
        <f>_xlfn.XLOOKUP(Table1[[#This Row],[Course ]], CCF!B:B, CCF!A:A)</f>
        <v>DA202</v>
      </c>
      <c r="K2480" t="s">
        <v>363</v>
      </c>
      <c r="L2480">
        <f>_xlfn.XLOOKUP(K2480, CCF!B:B, CCF!C:C)</f>
        <v>79999</v>
      </c>
      <c r="M2480" t="s">
        <v>145</v>
      </c>
    </row>
    <row r="2481" spans="1:13" x14ac:dyDescent="0.3">
      <c r="A2481">
        <v>2480</v>
      </c>
      <c r="B2481" t="s">
        <v>3132</v>
      </c>
      <c r="C2481" s="3">
        <v>49574</v>
      </c>
      <c r="D2481" t="s">
        <v>666</v>
      </c>
      <c r="E2481">
        <v>47</v>
      </c>
      <c r="F2481" s="1">
        <v>45654</v>
      </c>
      <c r="G2481" s="1" t="str">
        <f>TEXT(Table1[[#This Row],[Enrollment date]], "mmm")</f>
        <v>Dec</v>
      </c>
      <c r="H2481" t="s">
        <v>360</v>
      </c>
      <c r="I2481" t="s">
        <v>661</v>
      </c>
      <c r="J2481" t="str">
        <f>_xlfn.XLOOKUP(Table1[[#This Row],[Course ]], CCF!B:B, CCF!A:A)</f>
        <v>DM101</v>
      </c>
      <c r="K2481" t="s">
        <v>365</v>
      </c>
      <c r="L2481">
        <f>_xlfn.XLOOKUP(K2481, CCF!B:B, CCF!C:C)</f>
        <v>85499</v>
      </c>
      <c r="M2481" t="s">
        <v>27</v>
      </c>
    </row>
    <row r="2482" spans="1:13" x14ac:dyDescent="0.3">
      <c r="A2482">
        <v>2481</v>
      </c>
      <c r="B2482" t="s">
        <v>3133</v>
      </c>
      <c r="C2482" s="3">
        <v>36300</v>
      </c>
      <c r="D2482" t="s">
        <v>666</v>
      </c>
      <c r="E2482">
        <v>26</v>
      </c>
      <c r="F2482" s="1">
        <v>45654</v>
      </c>
      <c r="G2482" s="1" t="str">
        <f>TEXT(Table1[[#This Row],[Enrollment date]], "mmm")</f>
        <v>Dec</v>
      </c>
      <c r="H2482" t="s">
        <v>360</v>
      </c>
      <c r="I2482" t="s">
        <v>659</v>
      </c>
      <c r="J2482" t="str">
        <f>_xlfn.XLOOKUP(Table1[[#This Row],[Course ]], CCF!B:B, CCF!A:A)</f>
        <v>DA202</v>
      </c>
      <c r="K2482" t="s">
        <v>363</v>
      </c>
      <c r="L2482">
        <f>_xlfn.XLOOKUP(K2482, CCF!B:B, CCF!C:C)</f>
        <v>79999</v>
      </c>
      <c r="M2482" t="s">
        <v>375</v>
      </c>
    </row>
    <row r="2483" spans="1:13" x14ac:dyDescent="0.3">
      <c r="A2483">
        <v>2482</v>
      </c>
      <c r="B2483" t="s">
        <v>3134</v>
      </c>
      <c r="C2483" s="3">
        <v>25530</v>
      </c>
      <c r="D2483" t="s">
        <v>667</v>
      </c>
      <c r="E2483">
        <v>48</v>
      </c>
      <c r="F2483" s="1">
        <v>45655</v>
      </c>
      <c r="G2483" s="1" t="str">
        <f>TEXT(Table1[[#This Row],[Enrollment date]], "mmm")</f>
        <v>Dec</v>
      </c>
      <c r="H2483" t="s">
        <v>360</v>
      </c>
      <c r="I2483" t="s">
        <v>660</v>
      </c>
      <c r="J2483" t="str">
        <f>_xlfn.XLOOKUP(Table1[[#This Row],[Course ]], CCF!B:B, CCF!A:A)</f>
        <v>DA202</v>
      </c>
      <c r="K2483" t="s">
        <v>363</v>
      </c>
      <c r="L2483">
        <f>_xlfn.XLOOKUP(K2483, CCF!B:B, CCF!C:C)</f>
        <v>79999</v>
      </c>
      <c r="M2483" t="s">
        <v>43</v>
      </c>
    </row>
    <row r="2484" spans="1:13" x14ac:dyDescent="0.3">
      <c r="A2484">
        <v>2483</v>
      </c>
      <c r="B2484" t="s">
        <v>3135</v>
      </c>
      <c r="C2484" s="3">
        <v>60443</v>
      </c>
      <c r="D2484" t="s">
        <v>666</v>
      </c>
      <c r="E2484">
        <v>28</v>
      </c>
      <c r="F2484" s="1">
        <v>45656</v>
      </c>
      <c r="G2484" s="1" t="str">
        <f>TEXT(Table1[[#This Row],[Enrollment date]], "mmm")</f>
        <v>Dec</v>
      </c>
      <c r="H2484" t="s">
        <v>360</v>
      </c>
      <c r="I2484" t="s">
        <v>660</v>
      </c>
      <c r="J2484" t="str">
        <f>_xlfn.XLOOKUP(Table1[[#This Row],[Course ]], CCF!B:B, CCF!A:A)</f>
        <v>DM101</v>
      </c>
      <c r="K2484" t="s">
        <v>365</v>
      </c>
      <c r="L2484">
        <f>_xlfn.XLOOKUP(K2484, CCF!B:B, CCF!C:C)</f>
        <v>85499</v>
      </c>
      <c r="M2484" t="s">
        <v>9</v>
      </c>
    </row>
    <row r="2485" spans="1:13" x14ac:dyDescent="0.3">
      <c r="A2485">
        <v>2484</v>
      </c>
      <c r="B2485" t="s">
        <v>3136</v>
      </c>
      <c r="C2485" s="3">
        <v>86770</v>
      </c>
      <c r="D2485" t="s">
        <v>666</v>
      </c>
      <c r="E2485">
        <v>31</v>
      </c>
      <c r="F2485" s="1">
        <v>45656</v>
      </c>
      <c r="G2485" s="1" t="str">
        <f>TEXT(Table1[[#This Row],[Enrollment date]], "mmm")</f>
        <v>Dec</v>
      </c>
      <c r="H2485" t="s">
        <v>3</v>
      </c>
      <c r="I2485" t="s">
        <v>661</v>
      </c>
      <c r="J2485" t="str">
        <f>_xlfn.XLOOKUP(Table1[[#This Row],[Course ]], CCF!B:B, CCF!A:A)</f>
        <v>DA202</v>
      </c>
      <c r="K2485" t="s">
        <v>363</v>
      </c>
      <c r="L2485">
        <f>_xlfn.XLOOKUP(K2485, CCF!B:B, CCF!C:C)</f>
        <v>79999</v>
      </c>
      <c r="M2485" t="s">
        <v>168</v>
      </c>
    </row>
    <row r="2486" spans="1:13" x14ac:dyDescent="0.3">
      <c r="A2486">
        <v>2485</v>
      </c>
      <c r="B2486" t="s">
        <v>3137</v>
      </c>
      <c r="C2486" s="3">
        <v>86351</v>
      </c>
      <c r="D2486" t="s">
        <v>666</v>
      </c>
      <c r="E2486">
        <v>39</v>
      </c>
      <c r="F2486" s="1">
        <v>45656</v>
      </c>
      <c r="G2486" s="1" t="str">
        <f>TEXT(Table1[[#This Row],[Enrollment date]], "mmm")</f>
        <v>Dec</v>
      </c>
      <c r="H2486" t="s">
        <v>360</v>
      </c>
      <c r="I2486" t="s">
        <v>663</v>
      </c>
      <c r="J2486" t="str">
        <f>_xlfn.XLOOKUP(Table1[[#This Row],[Course ]], CCF!B:B, CCF!A:A)</f>
        <v>FSD103</v>
      </c>
      <c r="K2486" t="s">
        <v>366</v>
      </c>
      <c r="L2486">
        <f>_xlfn.XLOOKUP(K2486, CCF!B:B, CCF!C:C)</f>
        <v>109990</v>
      </c>
      <c r="M2486" t="s">
        <v>134</v>
      </c>
    </row>
    <row r="2487" spans="1:13" x14ac:dyDescent="0.3">
      <c r="A2487">
        <v>2486</v>
      </c>
      <c r="B2487" t="s">
        <v>3138</v>
      </c>
      <c r="C2487" s="3">
        <v>94539</v>
      </c>
      <c r="D2487" t="s">
        <v>667</v>
      </c>
      <c r="E2487">
        <v>25</v>
      </c>
      <c r="F2487" s="1">
        <v>45656</v>
      </c>
      <c r="G2487" s="1" t="str">
        <f>TEXT(Table1[[#This Row],[Enrollment date]], "mmm")</f>
        <v>Dec</v>
      </c>
      <c r="H2487" t="s">
        <v>360</v>
      </c>
      <c r="I2487" t="s">
        <v>659</v>
      </c>
      <c r="J2487" t="str">
        <f>_xlfn.XLOOKUP(Table1[[#This Row],[Course ]], CCF!B:B, CCF!A:A)</f>
        <v>BA301</v>
      </c>
      <c r="K2487" t="s">
        <v>364</v>
      </c>
      <c r="L2487">
        <f>_xlfn.XLOOKUP(K2487, CCF!B:B, CCF!C:C)</f>
        <v>59999</v>
      </c>
      <c r="M2487" t="s">
        <v>212</v>
      </c>
    </row>
    <row r="2488" spans="1:13" x14ac:dyDescent="0.3">
      <c r="A2488">
        <v>2487</v>
      </c>
      <c r="B2488" t="s">
        <v>3139</v>
      </c>
      <c r="C2488" s="3">
        <v>76660</v>
      </c>
      <c r="D2488" t="s">
        <v>666</v>
      </c>
      <c r="E2488">
        <v>71</v>
      </c>
      <c r="F2488" s="1">
        <v>45656</v>
      </c>
      <c r="G2488" s="1" t="str">
        <f>TEXT(Table1[[#This Row],[Enrollment date]], "mmm")</f>
        <v>Dec</v>
      </c>
      <c r="H2488" t="s">
        <v>360</v>
      </c>
      <c r="I2488" t="s">
        <v>660</v>
      </c>
      <c r="J2488" t="str">
        <f>_xlfn.XLOOKUP(Table1[[#This Row],[Course ]], CCF!B:B, CCF!A:A)</f>
        <v>BA301</v>
      </c>
      <c r="K2488" t="s">
        <v>364</v>
      </c>
      <c r="L2488">
        <f>_xlfn.XLOOKUP(K2488, CCF!B:B, CCF!C:C)</f>
        <v>59999</v>
      </c>
      <c r="M2488" t="s">
        <v>255</v>
      </c>
    </row>
    <row r="2489" spans="1:13" x14ac:dyDescent="0.3">
      <c r="A2489">
        <v>2488</v>
      </c>
      <c r="B2489" t="s">
        <v>3140</v>
      </c>
      <c r="C2489" s="3">
        <v>41316</v>
      </c>
      <c r="D2489" t="s">
        <v>666</v>
      </c>
      <c r="E2489">
        <v>32</v>
      </c>
      <c r="F2489" s="1">
        <v>45656</v>
      </c>
      <c r="G2489" s="1" t="str">
        <f>TEXT(Table1[[#This Row],[Enrollment date]], "mmm")</f>
        <v>Dec</v>
      </c>
      <c r="H2489" t="s">
        <v>360</v>
      </c>
      <c r="I2489" t="s">
        <v>660</v>
      </c>
      <c r="J2489" t="str">
        <f>_xlfn.XLOOKUP(Table1[[#This Row],[Course ]], CCF!B:B, CCF!A:A)</f>
        <v>DA202</v>
      </c>
      <c r="K2489" t="s">
        <v>363</v>
      </c>
      <c r="L2489">
        <f>_xlfn.XLOOKUP(K2489, CCF!B:B, CCF!C:C)</f>
        <v>79999</v>
      </c>
      <c r="M2489" t="s">
        <v>7</v>
      </c>
    </row>
    <row r="2490" spans="1:13" x14ac:dyDescent="0.3">
      <c r="A2490">
        <v>2489</v>
      </c>
      <c r="B2490" t="s">
        <v>3141</v>
      </c>
      <c r="C2490" s="3">
        <v>64119</v>
      </c>
      <c r="D2490" t="s">
        <v>666</v>
      </c>
      <c r="E2490">
        <v>31</v>
      </c>
      <c r="F2490" s="1">
        <v>45656</v>
      </c>
      <c r="G2490" s="1" t="str">
        <f>TEXT(Table1[[#This Row],[Enrollment date]], "mmm")</f>
        <v>Dec</v>
      </c>
      <c r="H2490" t="s">
        <v>360</v>
      </c>
      <c r="I2490" t="s">
        <v>660</v>
      </c>
      <c r="J2490" t="str">
        <f>_xlfn.XLOOKUP(Table1[[#This Row],[Course ]], CCF!B:B, CCF!A:A)</f>
        <v>DA202</v>
      </c>
      <c r="K2490" t="s">
        <v>363</v>
      </c>
      <c r="L2490">
        <f>_xlfn.XLOOKUP(K2490, CCF!B:B, CCF!C:C)</f>
        <v>79999</v>
      </c>
      <c r="M2490" t="s">
        <v>502</v>
      </c>
    </row>
    <row r="2491" spans="1:13" x14ac:dyDescent="0.3">
      <c r="A2491">
        <v>2490</v>
      </c>
      <c r="B2491" t="s">
        <v>3142</v>
      </c>
      <c r="C2491" s="3">
        <v>26511</v>
      </c>
      <c r="D2491" t="s">
        <v>666</v>
      </c>
      <c r="E2491">
        <v>22</v>
      </c>
      <c r="F2491" s="1">
        <v>45656</v>
      </c>
      <c r="G2491" s="1" t="str">
        <f>TEXT(Table1[[#This Row],[Enrollment date]], "mmm")</f>
        <v>Dec</v>
      </c>
      <c r="H2491" t="s">
        <v>3</v>
      </c>
      <c r="I2491" t="s">
        <v>659</v>
      </c>
      <c r="J2491" t="str">
        <f>_xlfn.XLOOKUP(Table1[[#This Row],[Course ]], CCF!B:B, CCF!A:A)</f>
        <v>FSD103</v>
      </c>
      <c r="K2491" t="s">
        <v>366</v>
      </c>
      <c r="L2491">
        <f>_xlfn.XLOOKUP(K2491, CCF!B:B, CCF!C:C)</f>
        <v>109990</v>
      </c>
      <c r="M2491" t="s">
        <v>20</v>
      </c>
    </row>
    <row r="2492" spans="1:13" x14ac:dyDescent="0.3">
      <c r="A2492">
        <v>2491</v>
      </c>
      <c r="B2492" t="s">
        <v>3143</v>
      </c>
      <c r="C2492" s="3">
        <v>14531</v>
      </c>
      <c r="D2492" t="s">
        <v>666</v>
      </c>
      <c r="E2492">
        <v>32</v>
      </c>
      <c r="F2492" s="1">
        <v>45656</v>
      </c>
      <c r="G2492" s="1" t="str">
        <f>TEXT(Table1[[#This Row],[Enrollment date]], "mmm")</f>
        <v>Dec</v>
      </c>
      <c r="H2492" t="s">
        <v>360</v>
      </c>
      <c r="I2492" t="s">
        <v>659</v>
      </c>
      <c r="J2492" t="str">
        <f>_xlfn.XLOOKUP(Table1[[#This Row],[Course ]], CCF!B:B, CCF!A:A)</f>
        <v>BA301</v>
      </c>
      <c r="K2492" t="s">
        <v>364</v>
      </c>
      <c r="L2492">
        <f>_xlfn.XLOOKUP(K2492, CCF!B:B, CCF!C:C)</f>
        <v>59999</v>
      </c>
      <c r="M2492" t="s">
        <v>116</v>
      </c>
    </row>
    <row r="2493" spans="1:13" x14ac:dyDescent="0.3">
      <c r="A2493">
        <v>2492</v>
      </c>
      <c r="B2493" t="s">
        <v>3144</v>
      </c>
      <c r="C2493" s="3">
        <v>69547</v>
      </c>
      <c r="D2493" t="s">
        <v>666</v>
      </c>
      <c r="E2493">
        <v>36</v>
      </c>
      <c r="F2493" s="1">
        <v>45657</v>
      </c>
      <c r="G2493" s="1" t="str">
        <f>TEXT(Table1[[#This Row],[Enrollment date]], "mmm")</f>
        <v>Dec</v>
      </c>
      <c r="H2493" t="s">
        <v>360</v>
      </c>
      <c r="I2493" t="s">
        <v>664</v>
      </c>
      <c r="J2493" t="str">
        <f>_xlfn.XLOOKUP(Table1[[#This Row],[Course ]], CCF!B:B, CCF!A:A)</f>
        <v>DA202</v>
      </c>
      <c r="K2493" t="s">
        <v>363</v>
      </c>
      <c r="L2493">
        <f>_xlfn.XLOOKUP(K2493, CCF!B:B, CCF!C:C)</f>
        <v>79999</v>
      </c>
      <c r="M2493" t="s">
        <v>16</v>
      </c>
    </row>
    <row r="2494" spans="1:13" x14ac:dyDescent="0.3">
      <c r="A2494">
        <v>2493</v>
      </c>
      <c r="B2494" t="s">
        <v>3145</v>
      </c>
      <c r="C2494" s="3">
        <v>76583</v>
      </c>
      <c r="D2494" t="s">
        <v>667</v>
      </c>
      <c r="E2494">
        <v>49</v>
      </c>
      <c r="F2494" s="1">
        <v>45657</v>
      </c>
      <c r="G2494" s="1" t="str">
        <f>TEXT(Table1[[#This Row],[Enrollment date]], "mmm")</f>
        <v>Dec</v>
      </c>
      <c r="H2494" t="s">
        <v>360</v>
      </c>
      <c r="I2494" t="s">
        <v>660</v>
      </c>
      <c r="J2494" t="str">
        <f>_xlfn.XLOOKUP(Table1[[#This Row],[Course ]], CCF!B:B, CCF!A:A)</f>
        <v>BA301</v>
      </c>
      <c r="K2494" t="s">
        <v>364</v>
      </c>
      <c r="L2494">
        <f>_xlfn.XLOOKUP(K2494, CCF!B:B, CCF!C:C)</f>
        <v>59999</v>
      </c>
      <c r="M2494" t="s">
        <v>38</v>
      </c>
    </row>
    <row r="2495" spans="1:13" x14ac:dyDescent="0.3">
      <c r="A2495">
        <v>2494</v>
      </c>
      <c r="B2495" t="s">
        <v>3146</v>
      </c>
      <c r="C2495" s="3">
        <v>64834</v>
      </c>
      <c r="D2495" t="s">
        <v>667</v>
      </c>
      <c r="E2495">
        <v>65</v>
      </c>
      <c r="F2495" s="1">
        <v>45657</v>
      </c>
      <c r="G2495" s="1" t="str">
        <f>TEXT(Table1[[#This Row],[Enrollment date]], "mmm")</f>
        <v>Dec</v>
      </c>
      <c r="H2495" t="s">
        <v>360</v>
      </c>
      <c r="I2495" t="s">
        <v>660</v>
      </c>
      <c r="J2495" t="str">
        <f>_xlfn.XLOOKUP(Table1[[#This Row],[Course ]], CCF!B:B, CCF!A:A)</f>
        <v>DM101</v>
      </c>
      <c r="K2495" t="s">
        <v>365</v>
      </c>
      <c r="L2495">
        <f>_xlfn.XLOOKUP(K2495, CCF!B:B, CCF!C:C)</f>
        <v>85499</v>
      </c>
      <c r="M2495" t="s">
        <v>657</v>
      </c>
    </row>
    <row r="2496" spans="1:13" x14ac:dyDescent="0.3">
      <c r="A2496">
        <v>2495</v>
      </c>
      <c r="B2496" t="s">
        <v>3147</v>
      </c>
      <c r="C2496" s="3">
        <v>61959</v>
      </c>
      <c r="D2496" t="s">
        <v>667</v>
      </c>
      <c r="E2496">
        <v>36</v>
      </c>
      <c r="F2496" s="1">
        <v>45657</v>
      </c>
      <c r="G2496" s="1" t="str">
        <f>TEXT(Table1[[#This Row],[Enrollment date]], "mmm")</f>
        <v>Dec</v>
      </c>
      <c r="H2496" t="s">
        <v>360</v>
      </c>
      <c r="I2496" t="s">
        <v>660</v>
      </c>
      <c r="J2496" t="str">
        <f>_xlfn.XLOOKUP(Table1[[#This Row],[Course ]], CCF!B:B, CCF!A:A)</f>
        <v>BA301</v>
      </c>
      <c r="K2496" t="s">
        <v>364</v>
      </c>
      <c r="L2496">
        <f>_xlfn.XLOOKUP(K2496, CCF!B:B, CCF!C:C)</f>
        <v>59999</v>
      </c>
      <c r="M2496" t="s">
        <v>86</v>
      </c>
    </row>
    <row r="2497" spans="1:13" x14ac:dyDescent="0.3">
      <c r="A2497">
        <v>2496</v>
      </c>
      <c r="B2497" t="s">
        <v>3148</v>
      </c>
      <c r="C2497" s="3">
        <v>81296</v>
      </c>
      <c r="D2497" t="s">
        <v>666</v>
      </c>
      <c r="E2497">
        <v>39</v>
      </c>
      <c r="F2497" s="1">
        <v>45657</v>
      </c>
      <c r="G2497" s="1" t="str">
        <f>TEXT(Table1[[#This Row],[Enrollment date]], "mmm")</f>
        <v>Dec</v>
      </c>
      <c r="H2497" t="s">
        <v>361</v>
      </c>
      <c r="I2497" t="s">
        <v>659</v>
      </c>
      <c r="J2497" t="str">
        <f>_xlfn.XLOOKUP(Table1[[#This Row],[Course ]], CCF!B:B, CCF!A:A)</f>
        <v>FSD103</v>
      </c>
      <c r="K2497" t="s">
        <v>366</v>
      </c>
      <c r="L2497">
        <f>_xlfn.XLOOKUP(K2497, CCF!B:B, CCF!C:C)</f>
        <v>109990</v>
      </c>
      <c r="M2497" t="s">
        <v>9</v>
      </c>
    </row>
    <row r="2498" spans="1:13" x14ac:dyDescent="0.3">
      <c r="A2498">
        <v>2497</v>
      </c>
      <c r="B2498" t="s">
        <v>3149</v>
      </c>
      <c r="C2498" s="3">
        <v>96882</v>
      </c>
      <c r="D2498" t="s">
        <v>667</v>
      </c>
      <c r="E2498">
        <v>56</v>
      </c>
      <c r="F2498" s="1">
        <v>45657</v>
      </c>
      <c r="G2498" s="1" t="str">
        <f>TEXT(Table1[[#This Row],[Enrollment date]], "mmm")</f>
        <v>Dec</v>
      </c>
      <c r="H2498" t="s">
        <v>360</v>
      </c>
      <c r="I2498" t="s">
        <v>660</v>
      </c>
      <c r="J2498" t="str">
        <f>_xlfn.XLOOKUP(Table1[[#This Row],[Course ]], CCF!B:B, CCF!A:A)</f>
        <v>BA301</v>
      </c>
      <c r="K2498" t="s">
        <v>364</v>
      </c>
      <c r="L2498">
        <f>_xlfn.XLOOKUP(K2498, CCF!B:B, CCF!C:C)</f>
        <v>59999</v>
      </c>
      <c r="M2498" t="s">
        <v>17</v>
      </c>
    </row>
    <row r="2499" spans="1:13" x14ac:dyDescent="0.3">
      <c r="A2499">
        <v>2498</v>
      </c>
      <c r="B2499" t="s">
        <v>3150</v>
      </c>
      <c r="C2499" s="3">
        <v>84132</v>
      </c>
      <c r="D2499" t="s">
        <v>666</v>
      </c>
      <c r="E2499">
        <v>70</v>
      </c>
      <c r="F2499" s="1">
        <v>45657</v>
      </c>
      <c r="G2499" s="1" t="str">
        <f>TEXT(Table1[[#This Row],[Enrollment date]], "mmm")</f>
        <v>Dec</v>
      </c>
      <c r="H2499" t="s">
        <v>360</v>
      </c>
      <c r="I2499" t="s">
        <v>660</v>
      </c>
      <c r="J2499" t="str">
        <f>_xlfn.XLOOKUP(Table1[[#This Row],[Course ]], CCF!B:B, CCF!A:A)</f>
        <v>DA202</v>
      </c>
      <c r="K2499" t="s">
        <v>363</v>
      </c>
      <c r="L2499">
        <f>_xlfn.XLOOKUP(K2499, CCF!B:B, CCF!C:C)</f>
        <v>79999</v>
      </c>
      <c r="M2499" t="s">
        <v>20</v>
      </c>
    </row>
    <row r="2500" spans="1:13" x14ac:dyDescent="0.3">
      <c r="A2500">
        <v>2499</v>
      </c>
      <c r="B2500" t="s">
        <v>3151</v>
      </c>
      <c r="C2500" s="3">
        <v>32472</v>
      </c>
      <c r="D2500" t="s">
        <v>666</v>
      </c>
      <c r="E2500">
        <v>50</v>
      </c>
      <c r="F2500" s="1">
        <v>45657</v>
      </c>
      <c r="G2500" s="1" t="str">
        <f>TEXT(Table1[[#This Row],[Enrollment date]], "mmm")</f>
        <v>Dec</v>
      </c>
      <c r="H2500" t="s">
        <v>3</v>
      </c>
      <c r="I2500" t="s">
        <v>660</v>
      </c>
      <c r="J2500" t="str">
        <f>_xlfn.XLOOKUP(Table1[[#This Row],[Course ]], CCF!B:B, CCF!A:A)</f>
        <v>DA202</v>
      </c>
      <c r="K2500" t="s">
        <v>363</v>
      </c>
      <c r="L2500">
        <f>_xlfn.XLOOKUP(K2500, CCF!B:B, CCF!C:C)</f>
        <v>79999</v>
      </c>
      <c r="M2500" t="s">
        <v>163</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039C-122B-4B0C-B28F-A7B23552BA73}">
  <dimension ref="A1:AM13"/>
  <sheetViews>
    <sheetView showGridLines="0" tabSelected="1" zoomScale="99" zoomScaleNormal="110" workbookViewId="0"/>
  </sheetViews>
  <sheetFormatPr defaultRowHeight="14.4" x14ac:dyDescent="0.3"/>
  <cols>
    <col min="6" max="7" width="10.77734375" bestFit="1" customWidth="1"/>
  </cols>
  <sheetData>
    <row r="1" spans="1:39" s="6" customFormat="1"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row>
    <row r="2" spans="1:39" s="7" customFormat="1" x14ac:dyDescent="0.3"/>
    <row r="3" spans="1:39" s="7" customFormat="1" x14ac:dyDescent="0.3"/>
    <row r="13" spans="1:39" x14ac:dyDescent="0.3">
      <c r="E13">
        <f>KPIs!A4</f>
        <v>2499</v>
      </c>
      <c r="F13">
        <f>KPIs!B4</f>
        <v>202057238</v>
      </c>
      <c r="G13">
        <f>KPIs!C4</f>
        <v>80855.23729491797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B3FD2-8D6A-4A91-955E-492136C39006}">
  <dimension ref="A1:AM13"/>
  <sheetViews>
    <sheetView showGridLines="0" workbookViewId="0"/>
  </sheetViews>
  <sheetFormatPr defaultRowHeight="14.4" x14ac:dyDescent="0.3"/>
  <cols>
    <col min="6" max="7" width="10.77734375" bestFit="1" customWidth="1"/>
  </cols>
  <sheetData>
    <row r="1" spans="1:39" s="6" customFormat="1"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row>
    <row r="2" spans="1:39" s="7" customFormat="1" x14ac:dyDescent="0.3"/>
    <row r="3" spans="1:39" s="7" customFormat="1" x14ac:dyDescent="0.3"/>
    <row r="13" spans="1:39" x14ac:dyDescent="0.3">
      <c r="E13">
        <f>KPIs!A4</f>
        <v>2499</v>
      </c>
      <c r="F13">
        <f>KPIs!B4</f>
        <v>202057238</v>
      </c>
      <c r="G13">
        <f>KPIs!C4</f>
        <v>80855.23729491797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0DC12-1961-4038-8B38-2D934CB9A85B}">
  <dimension ref="A4:B13"/>
  <sheetViews>
    <sheetView workbookViewId="0">
      <selection activeCell="B5" sqref="B5"/>
    </sheetView>
  </sheetViews>
  <sheetFormatPr defaultRowHeight="14.4" x14ac:dyDescent="0.3"/>
  <cols>
    <col min="1" max="1" width="19.77734375" bestFit="1" customWidth="1"/>
    <col min="2" max="2" width="20.44140625" bestFit="1" customWidth="1"/>
  </cols>
  <sheetData>
    <row r="4" spans="1:2" x14ac:dyDescent="0.3">
      <c r="A4" s="2" t="s">
        <v>349</v>
      </c>
      <c r="B4" t="s">
        <v>3163</v>
      </c>
    </row>
    <row r="5" spans="1:2" x14ac:dyDescent="0.3">
      <c r="A5" s="3" t="s">
        <v>368</v>
      </c>
      <c r="B5" s="8">
        <v>23</v>
      </c>
    </row>
    <row r="6" spans="1:2" x14ac:dyDescent="0.3">
      <c r="A6" s="3" t="s">
        <v>364</v>
      </c>
      <c r="B6" s="8">
        <v>359</v>
      </c>
    </row>
    <row r="7" spans="1:2" x14ac:dyDescent="0.3">
      <c r="A7" s="3" t="s">
        <v>658</v>
      </c>
      <c r="B7" s="8">
        <v>6</v>
      </c>
    </row>
    <row r="8" spans="1:2" x14ac:dyDescent="0.3">
      <c r="A8" s="3" t="s">
        <v>363</v>
      </c>
      <c r="B8" s="8">
        <v>824</v>
      </c>
    </row>
    <row r="9" spans="1:2" x14ac:dyDescent="0.3">
      <c r="A9" s="3" t="s">
        <v>365</v>
      </c>
      <c r="B9" s="8">
        <v>995</v>
      </c>
    </row>
    <row r="10" spans="1:2" x14ac:dyDescent="0.3">
      <c r="A10" s="3" t="s">
        <v>366</v>
      </c>
      <c r="B10" s="8">
        <v>159</v>
      </c>
    </row>
    <row r="11" spans="1:2" x14ac:dyDescent="0.3">
      <c r="A11" s="3" t="s">
        <v>3152</v>
      </c>
      <c r="B11" s="8">
        <v>14</v>
      </c>
    </row>
    <row r="12" spans="1:2" x14ac:dyDescent="0.3">
      <c r="A12" s="3" t="s">
        <v>367</v>
      </c>
      <c r="B12" s="8">
        <v>119</v>
      </c>
    </row>
    <row r="13" spans="1:2" x14ac:dyDescent="0.3">
      <c r="A13" s="3" t="s">
        <v>3160</v>
      </c>
      <c r="B13" s="8">
        <v>2499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CAB2-986A-4F80-AE04-8F75B93AED3E}">
  <dimension ref="A4:B12"/>
  <sheetViews>
    <sheetView workbookViewId="0">
      <selection activeCell="A4" sqref="A4"/>
    </sheetView>
  </sheetViews>
  <sheetFormatPr defaultRowHeight="14.4" x14ac:dyDescent="0.3"/>
  <cols>
    <col min="1" max="1" width="13.77734375" bestFit="1" customWidth="1"/>
    <col min="2" max="2" width="20.44140625" bestFit="1" customWidth="1"/>
  </cols>
  <sheetData>
    <row r="4" spans="1:2" x14ac:dyDescent="0.3">
      <c r="A4" s="2" t="s">
        <v>349</v>
      </c>
      <c r="B4" t="s">
        <v>3163</v>
      </c>
    </row>
    <row r="5" spans="1:2" x14ac:dyDescent="0.3">
      <c r="A5" s="3" t="s">
        <v>665</v>
      </c>
      <c r="B5" s="8">
        <v>100</v>
      </c>
    </row>
    <row r="6" spans="1:2" x14ac:dyDescent="0.3">
      <c r="A6" s="3" t="s">
        <v>660</v>
      </c>
      <c r="B6" s="8">
        <v>875</v>
      </c>
    </row>
    <row r="7" spans="1:2" x14ac:dyDescent="0.3">
      <c r="A7" s="3" t="s">
        <v>661</v>
      </c>
      <c r="B7" s="8">
        <v>532</v>
      </c>
    </row>
    <row r="8" spans="1:2" x14ac:dyDescent="0.3">
      <c r="A8" s="3" t="s">
        <v>662</v>
      </c>
      <c r="B8" s="8">
        <v>144</v>
      </c>
    </row>
    <row r="9" spans="1:2" x14ac:dyDescent="0.3">
      <c r="A9" s="3" t="s">
        <v>663</v>
      </c>
      <c r="B9" s="8">
        <v>144</v>
      </c>
    </row>
    <row r="10" spans="1:2" x14ac:dyDescent="0.3">
      <c r="A10" s="3" t="s">
        <v>659</v>
      </c>
      <c r="B10" s="8">
        <v>593</v>
      </c>
    </row>
    <row r="11" spans="1:2" x14ac:dyDescent="0.3">
      <c r="A11" s="3" t="s">
        <v>664</v>
      </c>
      <c r="B11" s="8">
        <v>111</v>
      </c>
    </row>
    <row r="12" spans="1:2" x14ac:dyDescent="0.3">
      <c r="A12" s="3" t="s">
        <v>3160</v>
      </c>
      <c r="B12" s="8">
        <v>2499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2872-F6E9-410F-9DA1-EC07EF5A21D6}">
  <dimension ref="A4:B13"/>
  <sheetViews>
    <sheetView workbookViewId="0">
      <selection activeCell="F7" sqref="F7"/>
    </sheetView>
  </sheetViews>
  <sheetFormatPr defaultRowHeight="14.4" x14ac:dyDescent="0.3"/>
  <cols>
    <col min="1" max="1" width="19.77734375" bestFit="1" customWidth="1"/>
    <col min="2" max="2" width="11.109375" bestFit="1" customWidth="1"/>
  </cols>
  <sheetData>
    <row r="4" spans="1:2" x14ac:dyDescent="0.3">
      <c r="A4" s="2" t="s">
        <v>349</v>
      </c>
      <c r="B4" t="s">
        <v>3161</v>
      </c>
    </row>
    <row r="5" spans="1:2" x14ac:dyDescent="0.3">
      <c r="A5" s="3" t="s">
        <v>368</v>
      </c>
      <c r="B5" s="8">
        <v>2759770</v>
      </c>
    </row>
    <row r="6" spans="1:2" x14ac:dyDescent="0.3">
      <c r="A6" s="3" t="s">
        <v>364</v>
      </c>
      <c r="B6" s="8">
        <v>21539641</v>
      </c>
    </row>
    <row r="7" spans="1:2" x14ac:dyDescent="0.3">
      <c r="A7" s="3" t="s">
        <v>658</v>
      </c>
      <c r="B7" s="8">
        <v>599940</v>
      </c>
    </row>
    <row r="8" spans="1:2" x14ac:dyDescent="0.3">
      <c r="A8" s="3" t="s">
        <v>363</v>
      </c>
      <c r="B8" s="8">
        <v>65919176</v>
      </c>
    </row>
    <row r="9" spans="1:2" x14ac:dyDescent="0.3">
      <c r="A9" s="3" t="s">
        <v>365</v>
      </c>
      <c r="B9" s="8">
        <v>85071505</v>
      </c>
    </row>
    <row r="10" spans="1:2" x14ac:dyDescent="0.3">
      <c r="A10" s="3" t="s">
        <v>366</v>
      </c>
      <c r="B10" s="8">
        <v>17488410</v>
      </c>
    </row>
    <row r="11" spans="1:2" x14ac:dyDescent="0.3">
      <c r="A11" s="3" t="s">
        <v>3152</v>
      </c>
      <c r="B11" s="8">
        <v>587986</v>
      </c>
    </row>
    <row r="12" spans="1:2" x14ac:dyDescent="0.3">
      <c r="A12" s="3" t="s">
        <v>367</v>
      </c>
      <c r="B12" s="8">
        <v>8090810</v>
      </c>
    </row>
    <row r="13" spans="1:2" x14ac:dyDescent="0.3">
      <c r="A13" s="3" t="s">
        <v>3160</v>
      </c>
      <c r="B13" s="8">
        <v>202057238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DD6F8-36B8-4419-852D-E9C61F88AA1D}">
  <dimension ref="A5:B18"/>
  <sheetViews>
    <sheetView topLeftCell="B3" workbookViewId="0">
      <selection activeCell="J25" sqref="J25"/>
    </sheetView>
  </sheetViews>
  <sheetFormatPr defaultRowHeight="14.4" x14ac:dyDescent="0.3"/>
  <cols>
    <col min="1" max="1" width="12.5546875" bestFit="1" customWidth="1"/>
    <col min="2" max="3" width="20.44140625" bestFit="1" customWidth="1"/>
  </cols>
  <sheetData>
    <row r="5" spans="1:2" x14ac:dyDescent="0.3">
      <c r="A5" s="2" t="s">
        <v>349</v>
      </c>
      <c r="B5" t="s">
        <v>3163</v>
      </c>
    </row>
    <row r="6" spans="1:2" x14ac:dyDescent="0.3">
      <c r="A6" s="3" t="s">
        <v>350</v>
      </c>
      <c r="B6" s="8">
        <v>218</v>
      </c>
    </row>
    <row r="7" spans="1:2" x14ac:dyDescent="0.3">
      <c r="A7" s="3" t="s">
        <v>351</v>
      </c>
      <c r="B7" s="8">
        <v>192</v>
      </c>
    </row>
    <row r="8" spans="1:2" x14ac:dyDescent="0.3">
      <c r="A8" s="3" t="s">
        <v>352</v>
      </c>
      <c r="B8" s="8">
        <v>227</v>
      </c>
    </row>
    <row r="9" spans="1:2" x14ac:dyDescent="0.3">
      <c r="A9" s="3" t="s">
        <v>3166</v>
      </c>
      <c r="B9" s="8">
        <v>201</v>
      </c>
    </row>
    <row r="10" spans="1:2" x14ac:dyDescent="0.3">
      <c r="A10" s="3" t="s">
        <v>3167</v>
      </c>
      <c r="B10" s="8">
        <v>221</v>
      </c>
    </row>
    <row r="11" spans="1:2" x14ac:dyDescent="0.3">
      <c r="A11" s="3" t="s">
        <v>3168</v>
      </c>
      <c r="B11" s="8">
        <v>204</v>
      </c>
    </row>
    <row r="12" spans="1:2" x14ac:dyDescent="0.3">
      <c r="A12" s="3" t="s">
        <v>3169</v>
      </c>
      <c r="B12" s="8">
        <v>225</v>
      </c>
    </row>
    <row r="13" spans="1:2" x14ac:dyDescent="0.3">
      <c r="A13" s="3" t="s">
        <v>3170</v>
      </c>
      <c r="B13" s="8">
        <v>204</v>
      </c>
    </row>
    <row r="14" spans="1:2" x14ac:dyDescent="0.3">
      <c r="A14" s="3" t="s">
        <v>3171</v>
      </c>
      <c r="B14" s="8">
        <v>201</v>
      </c>
    </row>
    <row r="15" spans="1:2" x14ac:dyDescent="0.3">
      <c r="A15" s="3" t="s">
        <v>3172</v>
      </c>
      <c r="B15" s="8">
        <v>186</v>
      </c>
    </row>
    <row r="16" spans="1:2" x14ac:dyDescent="0.3">
      <c r="A16" s="3" t="s">
        <v>3173</v>
      </c>
      <c r="B16" s="8">
        <v>211</v>
      </c>
    </row>
    <row r="17" spans="1:2" x14ac:dyDescent="0.3">
      <c r="A17" s="3" t="s">
        <v>3174</v>
      </c>
      <c r="B17" s="8">
        <v>209</v>
      </c>
    </row>
    <row r="18" spans="1:2" x14ac:dyDescent="0.3">
      <c r="A18" s="3" t="s">
        <v>3160</v>
      </c>
      <c r="B18" s="8">
        <v>2499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036D-DFA8-483E-B558-D6609DEE5D69}">
  <dimension ref="A5:B8"/>
  <sheetViews>
    <sheetView workbookViewId="0">
      <selection activeCell="M12" sqref="M12"/>
    </sheetView>
  </sheetViews>
  <sheetFormatPr defaultRowHeight="14.4" x14ac:dyDescent="0.3"/>
  <cols>
    <col min="1" max="1" width="12.5546875" bestFit="1" customWidth="1"/>
    <col min="2" max="2" width="20.44140625" bestFit="1" customWidth="1"/>
  </cols>
  <sheetData>
    <row r="5" spans="1:2" x14ac:dyDescent="0.3">
      <c r="A5" s="2" t="s">
        <v>349</v>
      </c>
      <c r="B5" t="s">
        <v>3163</v>
      </c>
    </row>
    <row r="6" spans="1:2" x14ac:dyDescent="0.3">
      <c r="A6" s="3" t="s">
        <v>666</v>
      </c>
      <c r="B6" s="8">
        <v>1752</v>
      </c>
    </row>
    <row r="7" spans="1:2" x14ac:dyDescent="0.3">
      <c r="A7" s="3" t="s">
        <v>667</v>
      </c>
      <c r="B7" s="8">
        <v>747</v>
      </c>
    </row>
    <row r="8" spans="1:2" x14ac:dyDescent="0.3">
      <c r="A8" s="3" t="s">
        <v>3160</v>
      </c>
      <c r="B8" s="8">
        <v>2499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201E4-86C6-4503-A080-95C2E5827AA1}">
  <dimension ref="B4:C8"/>
  <sheetViews>
    <sheetView workbookViewId="0">
      <selection activeCell="C15" sqref="C15"/>
    </sheetView>
  </sheetViews>
  <sheetFormatPr defaultRowHeight="14.4" x14ac:dyDescent="0.3"/>
  <cols>
    <col min="2" max="2" width="12.5546875" bestFit="1" customWidth="1"/>
    <col min="3" max="3" width="20.44140625" bestFit="1" customWidth="1"/>
  </cols>
  <sheetData>
    <row r="4" spans="2:3" x14ac:dyDescent="0.3">
      <c r="B4" s="2" t="s">
        <v>349</v>
      </c>
      <c r="C4" t="s">
        <v>3163</v>
      </c>
    </row>
    <row r="5" spans="2:3" x14ac:dyDescent="0.3">
      <c r="B5" s="3" t="s">
        <v>361</v>
      </c>
      <c r="C5" s="8">
        <v>68</v>
      </c>
    </row>
    <row r="6" spans="2:3" x14ac:dyDescent="0.3">
      <c r="B6" s="3" t="s">
        <v>360</v>
      </c>
      <c r="C6" s="8">
        <v>2323</v>
      </c>
    </row>
    <row r="7" spans="2:3" x14ac:dyDescent="0.3">
      <c r="B7" s="3" t="s">
        <v>3</v>
      </c>
      <c r="C7" s="8">
        <v>108</v>
      </c>
    </row>
    <row r="8" spans="2:3" x14ac:dyDescent="0.3">
      <c r="B8" s="3" t="s">
        <v>3160</v>
      </c>
      <c r="C8" s="8">
        <v>2499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D20D-D68B-4D97-94ED-5FD68D821001}">
  <dimension ref="B4:C7"/>
  <sheetViews>
    <sheetView workbookViewId="0">
      <selection activeCell="G26" sqref="G26"/>
    </sheetView>
  </sheetViews>
  <sheetFormatPr defaultRowHeight="14.4" x14ac:dyDescent="0.3"/>
  <cols>
    <col min="2" max="2" width="12.5546875" bestFit="1" customWidth="1"/>
    <col min="3" max="3" width="20.44140625" bestFit="1" customWidth="1"/>
  </cols>
  <sheetData>
    <row r="4" spans="2:3" x14ac:dyDescent="0.3">
      <c r="B4" s="2" t="s">
        <v>349</v>
      </c>
      <c r="C4" t="s">
        <v>3163</v>
      </c>
    </row>
    <row r="5" spans="2:3" x14ac:dyDescent="0.3">
      <c r="B5" s="3" t="s">
        <v>9</v>
      </c>
      <c r="C5" s="8">
        <v>206</v>
      </c>
    </row>
    <row r="6" spans="2:3" x14ac:dyDescent="0.3">
      <c r="B6" s="3" t="s">
        <v>16</v>
      </c>
      <c r="C6" s="8">
        <v>164</v>
      </c>
    </row>
    <row r="7" spans="2:3" x14ac:dyDescent="0.3">
      <c r="B7" s="3" t="s">
        <v>3160</v>
      </c>
      <c r="C7" s="8">
        <v>370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B2C2-5346-421B-89D4-AD2328D26962}">
  <dimension ref="A3:C4"/>
  <sheetViews>
    <sheetView workbookViewId="0">
      <selection activeCell="C3" sqref="C3"/>
    </sheetView>
  </sheetViews>
  <sheetFormatPr defaultRowHeight="14.4" x14ac:dyDescent="0.3"/>
  <cols>
    <col min="1" max="1" width="20.44140625" bestFit="1" customWidth="1"/>
    <col min="2" max="2" width="11.109375" bestFit="1" customWidth="1"/>
    <col min="3" max="3" width="14.33203125" bestFit="1" customWidth="1"/>
    <col min="5" max="5" width="12.5546875" bestFit="1" customWidth="1"/>
    <col min="6" max="7" width="20.44140625" bestFit="1" customWidth="1"/>
    <col min="9" max="9" width="12.5546875" bestFit="1" customWidth="1"/>
    <col min="10" max="11" width="20.44140625" bestFit="1" customWidth="1"/>
  </cols>
  <sheetData>
    <row r="3" spans="1:3" x14ac:dyDescent="0.3">
      <c r="A3" t="s">
        <v>3163</v>
      </c>
      <c r="B3" t="s">
        <v>3161</v>
      </c>
      <c r="C3" t="s">
        <v>3164</v>
      </c>
    </row>
    <row r="4" spans="1:3" x14ac:dyDescent="0.3">
      <c r="A4" s="8">
        <v>2499</v>
      </c>
      <c r="B4" s="8">
        <v>202057238</v>
      </c>
      <c r="C4" s="8">
        <v>80855.23729491797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523EC-B94C-4A1C-B56C-0BFF499B4EB3}">
  <dimension ref="A1:D9"/>
  <sheetViews>
    <sheetView workbookViewId="0">
      <selection activeCell="I8" sqref="I8"/>
    </sheetView>
  </sheetViews>
  <sheetFormatPr defaultRowHeight="14.4" x14ac:dyDescent="0.3"/>
  <cols>
    <col min="1" max="1" width="11.33203125" bestFit="1" customWidth="1"/>
    <col min="2" max="2" width="19.77734375" bestFit="1" customWidth="1"/>
    <col min="5" max="5" width="19.77734375" bestFit="1" customWidth="1"/>
  </cols>
  <sheetData>
    <row r="1" spans="1:4" x14ac:dyDescent="0.3">
      <c r="A1" t="s">
        <v>358</v>
      </c>
      <c r="B1" t="s">
        <v>362</v>
      </c>
      <c r="C1" t="s">
        <v>359</v>
      </c>
    </row>
    <row r="2" spans="1:4" x14ac:dyDescent="0.3">
      <c r="A2" t="s">
        <v>3153</v>
      </c>
      <c r="B2" t="s">
        <v>363</v>
      </c>
      <c r="C2" s="4">
        <v>79999</v>
      </c>
      <c r="D2" s="4"/>
    </row>
    <row r="3" spans="1:4" x14ac:dyDescent="0.3">
      <c r="A3" t="s">
        <v>3154</v>
      </c>
      <c r="B3" t="s">
        <v>364</v>
      </c>
      <c r="C3" s="4">
        <v>59999</v>
      </c>
    </row>
    <row r="4" spans="1:4" x14ac:dyDescent="0.3">
      <c r="A4" t="s">
        <v>3155</v>
      </c>
      <c r="B4" t="s">
        <v>365</v>
      </c>
      <c r="C4" s="4">
        <v>85499</v>
      </c>
    </row>
    <row r="5" spans="1:4" x14ac:dyDescent="0.3">
      <c r="A5" t="s">
        <v>3156</v>
      </c>
      <c r="B5" t="s">
        <v>366</v>
      </c>
      <c r="C5" s="4">
        <v>109990</v>
      </c>
    </row>
    <row r="6" spans="1:4" x14ac:dyDescent="0.3">
      <c r="A6" t="s">
        <v>3157</v>
      </c>
      <c r="B6" t="s">
        <v>367</v>
      </c>
      <c r="C6" s="4">
        <v>67990</v>
      </c>
    </row>
    <row r="7" spans="1:4" x14ac:dyDescent="0.3">
      <c r="A7" t="s">
        <v>3162</v>
      </c>
      <c r="B7" t="s">
        <v>3152</v>
      </c>
      <c r="C7" s="4">
        <v>41999</v>
      </c>
    </row>
    <row r="8" spans="1:4" x14ac:dyDescent="0.3">
      <c r="A8" t="s">
        <v>3158</v>
      </c>
      <c r="B8" t="s">
        <v>368</v>
      </c>
      <c r="C8" s="4">
        <v>119990</v>
      </c>
    </row>
    <row r="9" spans="1:4" x14ac:dyDescent="0.3">
      <c r="A9" t="s">
        <v>3159</v>
      </c>
      <c r="B9" t="s">
        <v>658</v>
      </c>
      <c r="C9" s="4">
        <v>99990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Edtech Sales Data</vt:lpstr>
      <vt:lpstr>BussOverview</vt:lpstr>
      <vt:lpstr>Mkt&amp;course</vt:lpstr>
      <vt:lpstr>Enrllmnt by course</vt:lpstr>
      <vt:lpstr>Enrollment by Lead Source</vt:lpstr>
      <vt:lpstr>Revenue by course</vt:lpstr>
      <vt:lpstr>Monthly enrollments</vt:lpstr>
      <vt:lpstr>Enrollment by gender</vt:lpstr>
      <vt:lpstr>Enrollment status</vt:lpstr>
      <vt:lpstr>Enrollment by City</vt:lpstr>
      <vt:lpstr>KPIs</vt:lpstr>
      <vt:lpstr>CCF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Nipun Singh</cp:lastModifiedBy>
  <dcterms:created xsi:type="dcterms:W3CDTF">2023-02-04T04:11:04Z</dcterms:created>
  <dcterms:modified xsi:type="dcterms:W3CDTF">2026-02-17T13:25:32Z</dcterms:modified>
</cp:coreProperties>
</file>